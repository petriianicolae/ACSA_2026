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1"/>
  <workbookPr/>
  <xr:revisionPtr revIDLastSave="1" documentId="11_61975389F3002019E9140543C55DED9C7836E296" xr6:coauthVersionLast="47" xr6:coauthVersionMax="47" xr10:uidLastSave="{732639D5-B2A3-4B68-9451-896E5296EA53}"/>
  <bookViews>
    <workbookView xWindow="0" yWindow="0" windowWidth="23256" windowHeight="13176" xr2:uid="{00000000-000D-0000-FFFF-FFFF00000000}"/>
  </bookViews>
  <sheets>
    <sheet name="Paper_1" sheetId="5" r:id="rId1"/>
    <sheet name="Reference" sheetId="6" r:id="rId2"/>
    <sheet name="Figure Paper 1" sheetId="7" r:id="rId3"/>
  </sheets>
  <definedNames>
    <definedName name="Z_025A7AC2_695F_47D3_9E57_A5E831DF09B4_.wvu.FilterData" localSheetId="0" hidden="1">Paper_1!$C$1:$C$959</definedName>
    <definedName name="Z_04A97E93_A9DC_4C1B_B4C3_A558315B82FE_.wvu.FilterData" localSheetId="0" hidden="1">Paper_1!$C$1:$C$959</definedName>
    <definedName name="Z_0590267C_CCEC_42A0_A715_2D949FCD4392_.wvu.FilterData" localSheetId="0" hidden="1">Paper_1!$C$1:$C$959</definedName>
    <definedName name="Z_0A5BFFCF_226F_4CA4_A868_8C1E591DF9E5_.wvu.FilterData" localSheetId="0" hidden="1">Paper_1!$A$1:$W$338</definedName>
    <definedName name="Z_0B0F2042_CC56_4C54_98F8_4FFFD2D3810B_.wvu.FilterData" localSheetId="0" hidden="1">Paper_1!$C$1:$C$959</definedName>
    <definedName name="Z_0F767810_6CFE_4948_89FC_5562DF1E5DA6_.wvu.FilterData" localSheetId="0" hidden="1">Paper_1!$C$1:$C$959</definedName>
    <definedName name="Z_1488BABD_90C7_4705_99AA_2D3CAD858875_.wvu.FilterData" localSheetId="0" hidden="1">Paper_1!$C$1:$C$959</definedName>
    <definedName name="Z_17B9FE8B_3D16_4C01_B473_D2CF8E545FFB_.wvu.FilterData" localSheetId="0" hidden="1">Paper_1!$C$1:$C$959</definedName>
    <definedName name="Z_1F0D97C5_E850_48A4_92AC_7A4616B60FDA_.wvu.FilterData" localSheetId="0" hidden="1">Paper_1!$C$1:$C$959</definedName>
    <definedName name="Z_222E66B3_9E17_49DF_B581_D0873A645027_.wvu.FilterData" localSheetId="0" hidden="1">Paper_1!$B$1:$B$959</definedName>
    <definedName name="Z_313E5414_8FB1_4B4C_9831_EA4BA4469F27_.wvu.FilterData" localSheetId="0" hidden="1">Paper_1!$A$1:$W$959</definedName>
    <definedName name="Z_372D1D1E_142C_4194_A0DD_689D94A246DE_.wvu.FilterData" localSheetId="0" hidden="1">Paper_1!$C$1:$C$959</definedName>
    <definedName name="Z_37D615BE_7420_42DD_BAE2_7F51DCED6BAB_.wvu.FilterData" localSheetId="0" hidden="1">Paper_1!$C$1:$C$959</definedName>
    <definedName name="Z_38F00476_24FD_4EA2_8436_2D76EBD0A8DF_.wvu.FilterData" localSheetId="0" hidden="1">Paper_1!$A$1:$W$338</definedName>
    <definedName name="Z_3FB5F56C_89DE_4C32_869D_E6525536F318_.wvu.FilterData" localSheetId="0" hidden="1">Paper_1!$C$1:$C$959</definedName>
    <definedName name="Z_4398FFA0_D69F_4DDE_BFBE_0EADA06C4A16_.wvu.FilterData" localSheetId="0" hidden="1">Paper_1!$C$1:$C$959</definedName>
    <definedName name="Z_48B750AB_A6FE_419F_BF71_04BE9EF337DB_.wvu.FilterData" localSheetId="0" hidden="1">Paper_1!$B$1:$B$959</definedName>
    <definedName name="Z_4A067BC4_D2E6_4FB2_8678_980D99240757_.wvu.FilterData" localSheetId="0" hidden="1">Paper_1!$A$1:$W$959</definedName>
    <definedName name="Z_4C1E1C7D_57E0_4A0D_8D2E_3FE0B7ADDDD7_.wvu.FilterData" localSheetId="0" hidden="1">Paper_1!$A$1:$W$338</definedName>
    <definedName name="Z_4D2DFF6D_5952_4D62_A59C_8D85AA173D33_.wvu.FilterData" localSheetId="0" hidden="1">Paper_1!$A$1:$W$338</definedName>
    <definedName name="Z_4E214EB7_A561_4E22_8884_0514B86E0E63_.wvu.FilterData" localSheetId="0" hidden="1">Paper_1!$A$1:$W$959</definedName>
    <definedName name="Z_4EAD3F2D_5E45_4066_8D34_6297B3E3BE1E_.wvu.FilterData" localSheetId="0" hidden="1">Paper_1!$C$1:$C$959</definedName>
    <definedName name="Z_4FF1465E_A06C_449A_8181_99398A9708CB_.wvu.FilterData" localSheetId="0" hidden="1">Paper_1!$C$1:$C$959</definedName>
    <definedName name="Z_56FFFF34_C789_45A9_B318_6B002FD92CEC_.wvu.FilterData" localSheetId="0" hidden="1">Paper_1!$C$1:$C$959</definedName>
    <definedName name="Z_593818F9_56E2_47F4_A6DF_0455D4101279_.wvu.FilterData" localSheetId="0" hidden="1">Paper_1!$C$1:$C$959</definedName>
    <definedName name="Z_5B38700D_B6C9_4546_A6C1_B210AD8F72FB_.wvu.FilterData" localSheetId="0" hidden="1">Paper_1!$C$1:$C$959</definedName>
    <definedName name="Z_5ECA9C19_17C2_4B53_91E9_0C17F8CA4217_.wvu.FilterData" localSheetId="0" hidden="1">Paper_1!$C$1:$C$959</definedName>
    <definedName name="Z_603FDBA1_D4FE_4AB7_9531_6364C782BA8D_.wvu.FilterData" localSheetId="0" hidden="1">Paper_1!$C$1:$C$959</definedName>
    <definedName name="Z_62BEFFAC_61AB_45E5_89EF_3D708EC59F37_.wvu.FilterData" localSheetId="0" hidden="1">Paper_1!$C$1:$C$959</definedName>
    <definedName name="Z_64501680_B516_41FC_AA40_5944C37CD813_.wvu.FilterData" localSheetId="0" hidden="1">Paper_1!$C$1:$C$959</definedName>
    <definedName name="Z_67631504_4C33_4648_9C4A_A62C3D85A17A_.wvu.FilterData" localSheetId="0" hidden="1">Paper_1!$A$1:$W$338</definedName>
    <definedName name="Z_6C878C6E_462B_4321_B1C1_92E4316CB75E_.wvu.FilterData" localSheetId="0" hidden="1">Paper_1!$C$1:$C$959</definedName>
    <definedName name="Z_6EC1CD78_F8A4_4929_BE58_AE6FD52EF834_.wvu.FilterData" localSheetId="0" hidden="1">Paper_1!$A$1:$W$338</definedName>
    <definedName name="Z_75DE4009_0809_4060_88CF_2E286DAF5F04_.wvu.FilterData" localSheetId="0" hidden="1">Paper_1!$A$1:$W$338</definedName>
    <definedName name="Z_760662CC_CB64_421D_9CB8_BFDB7F453921_.wvu.FilterData" localSheetId="0" hidden="1">Paper_1!$C$1:$C$959</definedName>
    <definedName name="Z_76DE560E_37F3_4170_9F2C_E5BAC227BC31_.wvu.FilterData" localSheetId="0" hidden="1">Paper_1!$A$1:$W$338</definedName>
    <definedName name="Z_7B124DA9_48B0_40B6_9712_4A03AFFC8E57_.wvu.FilterData" localSheetId="0" hidden="1">Paper_1!$C$1:$C$959</definedName>
    <definedName name="Z_84B80BEF_2750_4CC2_B01B_F580FFFD29AB_.wvu.FilterData" localSheetId="0" hidden="1">Paper_1!$C$1:$C$959</definedName>
    <definedName name="Z_8636EF91_5B33_406F_8DA3_A150D471CD61_.wvu.FilterData" localSheetId="0" hidden="1">Paper_1!$A$1:$W$338</definedName>
    <definedName name="Z_8F77FD58_8227_4A26_B0F7_8D50011D5C21_.wvu.FilterData" localSheetId="0" hidden="1">Paper_1!$A$1:$W$338</definedName>
    <definedName name="Z_90AA115C_D4C0_406A_800D_7A62E7944F42_.wvu.FilterData" localSheetId="0" hidden="1">Paper_1!$C$1:$C$959</definedName>
    <definedName name="Z_91C26420_5839_44E0_A41A_CFD93A90A732_.wvu.FilterData" localSheetId="0" hidden="1">Paper_1!$C$1:$C$959</definedName>
    <definedName name="Z_9289254D_A94E_49FC_AD9F_CD028511AD4E_.wvu.FilterData" localSheetId="0" hidden="1">Paper_1!$A$1:$W$338</definedName>
    <definedName name="Z_997057DB_BB51_462C_B40D_52256B7B0B14_.wvu.FilterData" localSheetId="0" hidden="1">Paper_1!$C$1:$C$959</definedName>
    <definedName name="Z_9AA74D9C_3162_4459_AE12_2528934FDDC6_.wvu.FilterData" localSheetId="0" hidden="1">Paper_1!$Y$1:$AE$338</definedName>
    <definedName name="Z_9D64603E_BCCA_4745_AD55_C8F1E2CC7DF6_.wvu.FilterData" localSheetId="0" hidden="1">Paper_1!$B$1:$B$959</definedName>
    <definedName name="Z_9F2E8597_23D6_4579_A79C_C9B4E6C0E833_.wvu.FilterData" localSheetId="0" hidden="1">Paper_1!$C$1:$C$959</definedName>
    <definedName name="Z_A4CBE3E8_8BD0_4873_BEFE_72F2355A6C60_.wvu.FilterData" localSheetId="0" hidden="1">Paper_1!$C$1:$C$959</definedName>
    <definedName name="Z_A6471E58_1A21_4644_B7AD_51CB66E2DA25_.wvu.FilterData" localSheetId="0" hidden="1">Paper_1!$A$1:$W$338</definedName>
    <definedName name="Z_A69627FA_D41F_4A11_9932_FD073A78D696_.wvu.FilterData" localSheetId="0" hidden="1">Paper_1!$C$1:$C$959</definedName>
    <definedName name="Z_A8C0CDB0_7B34_4059_8893_504201EB1479_.wvu.FilterData" localSheetId="0" hidden="1">Paper_1!$B$1:$B$959</definedName>
    <definedName name="Z_AEF95CDA_7E45_4F86_9841_CD61BFA8E623_.wvu.FilterData" localSheetId="0" hidden="1">Paper_1!$A$1:$W$338</definedName>
    <definedName name="Z_B0349FB7_F0B2_4360_BF68_D92EE07C2670_.wvu.FilterData" localSheetId="0" hidden="1">Paper_1!$A$1:$W$308</definedName>
    <definedName name="Z_B1147BCB_CB95_4E6E_8179_7D58F01161D2_.wvu.FilterData" localSheetId="0" hidden="1">Paper_1!$C$1:$C$959</definedName>
    <definedName name="Z_C2346DAF_3C6B_4EC4_ADAD_017E8199E43A_.wvu.FilterData" localSheetId="0" hidden="1">Paper_1!$C$1:$C$959</definedName>
    <definedName name="Z_CAF0EA69_01F3_4F11_887F_99EA6AEAB662_.wvu.FilterData" localSheetId="0" hidden="1">Paper_1!$A$1:$W$338</definedName>
    <definedName name="Z_CC70E333_17CF_4338_82E0_AD72DF37C24E_.wvu.FilterData" localSheetId="0" hidden="1">Paper_1!$C$1:$C$959</definedName>
    <definedName name="Z_CEE893ED_1E8A_47C2_8459_948C3B1D964B_.wvu.FilterData" localSheetId="0" hidden="1">Paper_1!$C$1:$C$959</definedName>
    <definedName name="Z_D074A271_151C_4CE3_B0D9_35E92897068B_.wvu.FilterData" localSheetId="0" hidden="1">Paper_1!$C$1:$C$959</definedName>
    <definedName name="Z_D430B3E1_E60C_4671_8FA8_1D383D225278_.wvu.FilterData" localSheetId="0" hidden="1">Paper_1!$C$1:$C$959</definedName>
    <definedName name="Z_D4C268AC_0785_4E67_A6AC_F9ABF6704EE3_.wvu.FilterData" localSheetId="0" hidden="1">Paper_1!#REF!</definedName>
    <definedName name="Z_D8D4B69D_A22D_4F29_86F0_152D8CF50CD4_.wvu.FilterData" localSheetId="0" hidden="1">Paper_1!$D$1:$D$959</definedName>
    <definedName name="Z_DA392475_1661_4B54_8BFF_094FFA109104_.wvu.FilterData" localSheetId="0" hidden="1">Paper_1!$C$1:$C$959</definedName>
    <definedName name="Z_DBD08A63_DAD5_48CF_80CB_5B7B05966D15_.wvu.FilterData" localSheetId="0" hidden="1">Paper_1!$C$1:$C$959</definedName>
    <definedName name="Z_DC1A5D44_85B8_498A_96BF_E0FFE02DC92F_.wvu.FilterData" localSheetId="0" hidden="1">Paper_1!$C$1:$C$959</definedName>
    <definedName name="Z_DE04874D_EF80_420E_A982_41623F990B46_.wvu.FilterData" localSheetId="0" hidden="1">Paper_1!$C$1:$C$959</definedName>
    <definedName name="Z_E1AA0A4B_6776_4296_B342_5D8947C93E5F_.wvu.FilterData" localSheetId="0" hidden="1">Paper_1!$A$1:$W$338</definedName>
    <definedName name="Z_E2A59C1E_06CD_47F7_A24D_FE09CD9EF22C_.wvu.FilterData" localSheetId="0" hidden="1">Paper_1!$A$1:$W$959</definedName>
    <definedName name="Z_E4FDEB58_F6D4_4F20_8021_4A7F37853C62_.wvu.FilterData" localSheetId="0" hidden="1">Paper_1!$C$1:$C$959</definedName>
    <definedName name="Z_E5FF392C_5593_4D9B_8773_BA4230B65DD9_.wvu.FilterData" localSheetId="0" hidden="1">Paper_1!$A$1:$W$959</definedName>
    <definedName name="Z_E7212AA7_B944_427B_9823_DB5F24223252_.wvu.FilterData" localSheetId="0" hidden="1">Paper_1!$C$1:$C$959</definedName>
    <definedName name="Z_EB6C5EC7_28BB_497C_8E72_B7C1296A946A_.wvu.FilterData" localSheetId="0" hidden="1">Paper_1!$C$1:$C$959</definedName>
    <definedName name="Z_EB9B1935_DCA7_484B_92DF_4C387FD8D288_.wvu.FilterData" localSheetId="0" hidden="1">Paper_1!$A$1:$W$338</definedName>
    <definedName name="Z_F0409DDC_EEB4_40E6_94FD_C6B766E4239D_.wvu.FilterData" localSheetId="0" hidden="1">Paper_1!$C$1:$C$959</definedName>
    <definedName name="Z_F8B02C56_7360_44D2_9782_00BD52FAFCA8_.wvu.FilterData" localSheetId="0" hidden="1">Paper_1!$A$1:$W$338</definedName>
    <definedName name="Z_FC2CB815_B2E0_4A25_A9C8_10AFFC5C8B1B_.wvu.FilterData" localSheetId="0" hidden="1">Paper_1!$C$1:$C$959</definedName>
    <definedName name="Z_FF987B10_FB23_4B06_938D_0CD5FF652E74_.wvu.FilterData" localSheetId="0" hidden="1">Paper_1!$C$1:$C$959</definedName>
  </definedNames>
  <calcPr calcId="191028"/>
  <customWorkbookViews>
    <customWorkbookView name="Filtro 41" guid="{DC1A5D44-85B8-498A-96BF-E0FFE02DC92F}" maximized="1" windowWidth="0" windowHeight="0" activeSheetId="0"/>
    <customWorkbookView name="Filtro 40" guid="{D430B3E1-E60C-4671-8FA8-1D383D225278}" maximized="1" windowWidth="0" windowHeight="0" activeSheetId="0"/>
    <customWorkbookView name="Filtro 43" guid="{222E66B3-9E17-49DF-B581-D0873A645027}" maximized="1" windowWidth="0" windowHeight="0" activeSheetId="0"/>
    <customWorkbookView name="Filtro 42" guid="{8F77FD58-8227-4A26-B0F7-8D50011D5C21}" maximized="1" windowWidth="0" windowHeight="0" activeSheetId="0"/>
    <customWorkbookView name="Filtro 45" guid="{D8D4B69D-A22D-4F29-86F0-152D8CF50CD4}" maximized="1" windowWidth="0" windowHeight="0" activeSheetId="0"/>
    <customWorkbookView name="Filtro 44" guid="{A6471E58-1A21-4644-B7AD-51CB66E2DA25}" maximized="1" windowWidth="0" windowHeight="0" activeSheetId="0"/>
    <customWorkbookView name="Filtro 47" guid="{9D64603E-BCCA-4745-AD55-C8F1E2CC7DF6}" maximized="1" windowWidth="0" windowHeight="0" activeSheetId="0"/>
    <customWorkbookView name="Filtro 46" guid="{E1AA0A4B-6776-4296-B342-5D8947C93E5F}" maximized="1" windowWidth="0" windowHeight="0" activeSheetId="0"/>
    <customWorkbookView name="Filtro 49" guid="{1F0D97C5-E850-48A4-92AC-7A4616B60FDA}" maximized="1" windowWidth="0" windowHeight="0" activeSheetId="0"/>
    <customWorkbookView name="Filtro 48" guid="{75DE4009-0809-4060-88CF-2E286DAF5F04}" maximized="1" windowWidth="0" windowHeight="0" activeSheetId="0"/>
    <customWorkbookView name="Filtro 3" guid="{D4C268AC-0785-4E67-A6AC-F9ABF6704EE3}" maximized="1" windowWidth="0" windowHeight="0" activeSheetId="0"/>
    <customWorkbookView name="Filtro 2" guid="{372D1D1E-142C-4194-A0DD-689D94A246DE}" maximized="1" windowWidth="0" windowHeight="0" activeSheetId="0"/>
    <customWorkbookView name="Filtro 1" guid="{4E214EB7-A561-4E22-8884-0514B86E0E63}" maximized="1" windowWidth="0" windowHeight="0" activeSheetId="0"/>
    <customWorkbookView name="Filtro 7" guid="{DE04874D-EF80-420E-A982-41623F990B46}" maximized="1" windowWidth="0" windowHeight="0" activeSheetId="0"/>
    <customWorkbookView name="Filtro 6" guid="{313E5414-8FB1-4B4C-9831-EA4BA4469F27}" maximized="1" windowWidth="0" windowHeight="0" activeSheetId="0"/>
    <customWorkbookView name="Filtro 5" guid="{997057DB-BB51-462C-B40D-52256B7B0B14}" maximized="1" windowWidth="0" windowHeight="0" activeSheetId="0"/>
    <customWorkbookView name="Filtro 4" guid="{4A067BC4-D2E6-4FB2-8678-980D99240757}" maximized="1" windowWidth="0" windowHeight="0" activeSheetId="0"/>
    <customWorkbookView name="Filtro 70" guid="{67631504-4C33-4648-9C4A-A62C3D85A17A}" maximized="1" windowWidth="0" windowHeight="0" activeSheetId="0"/>
    <customWorkbookView name="Filtro 72" guid="{0F767810-6CFE-4948-89FC-5562DF1E5DA6}" maximized="1" windowWidth="0" windowHeight="0" activeSheetId="0"/>
    <customWorkbookView name="Filtro 71" guid="{025A7AC2-695F-47D3-9E57-A5E831DF09B4}" maximized="1" windowWidth="0" windowHeight="0" activeSheetId="0"/>
    <customWorkbookView name="Filtro 30" guid="{B0349FB7-F0B2-4360-BF68-D92EE07C2670}" maximized="1" windowWidth="0" windowHeight="0" activeSheetId="0"/>
    <customWorkbookView name="Filtro 74" guid="{0A5BFFCF-226F-4CA4-A868-8C1E591DF9E5}" maximized="1" windowWidth="0" windowHeight="0" activeSheetId="0"/>
    <customWorkbookView name="Filtro 73" guid="{0590267C-CCEC-42A0-A715-2D949FCD4392}" maximized="1" windowWidth="0" windowHeight="0" activeSheetId="0"/>
    <customWorkbookView name="Filtro 76" guid="{3FB5F56C-89DE-4C32-869D-E6525536F318}" maximized="1" windowWidth="0" windowHeight="0" activeSheetId="0"/>
    <customWorkbookView name="Filtro 32" guid="{4D2DFF6D-5952-4D62-A59C-8D85AA173D33}" maximized="1" windowWidth="0" windowHeight="0" activeSheetId="0"/>
    <customWorkbookView name="Filtro 31" guid="{38F00476-24FD-4EA2-8436-2D76EBD0A8DF}" maximized="1" windowWidth="0" windowHeight="0" activeSheetId="0"/>
    <customWorkbookView name="Filtro 75" guid="{6EC1CD78-F8A4-4929-BE58-AE6FD52EF834}" maximized="1" windowWidth="0" windowHeight="0" activeSheetId="0"/>
    <customWorkbookView name="Filtro 34" guid="{9F2E8597-23D6-4579-A79C-C9B4E6C0E833}" maximized="1" windowWidth="0" windowHeight="0" activeSheetId="0"/>
    <customWorkbookView name="Filtro 77" guid="{CEE893ED-1E8A-47C2-8459-948C3B1D964B}" maximized="1" windowWidth="0" windowHeight="0" activeSheetId="0"/>
    <customWorkbookView name="Filtro 33" guid="{76DE560E-37F3-4170-9F2C-E5BAC227BC31}" maximized="1" windowWidth="0" windowHeight="0" activeSheetId="0"/>
    <customWorkbookView name="Filtro 36" guid="{EB9B1935-DCA7-484B-92DF-4C387FD8D288}" maximized="1" windowWidth="0" windowHeight="0" activeSheetId="0"/>
    <customWorkbookView name="Filtro 35" guid="{AEF95CDA-7E45-4F86-9841-CD61BFA8E623}" maximized="1" windowWidth="0" windowHeight="0" activeSheetId="0"/>
    <customWorkbookView name="Filtro 38" guid="{A69627FA-D41F-4A11-9932-FD073A78D696}" maximized="1" windowWidth="0" windowHeight="0" activeSheetId="0"/>
    <customWorkbookView name="Filtro 37" guid="{FF987B10-FB23-4B06-938D-0CD5FF652E74}" maximized="1" windowWidth="0" windowHeight="0" activeSheetId="0"/>
    <customWorkbookView name="Filtro 39" guid="{84B80BEF-2750-4CC2-B01B-F580FFFD29AB}" maximized="1" windowWidth="0" windowHeight="0" activeSheetId="0"/>
    <customWorkbookView name="Filtro 19" guid="{760662CC-CB64-421D-9CB8-BFDB7F453921}" maximized="1" windowWidth="0" windowHeight="0" activeSheetId="0"/>
    <customWorkbookView name="Filtro 61" guid="{8636EF91-5B33-406F-8DA3-A150D471CD61}" maximized="1" windowWidth="0" windowHeight="0" activeSheetId="0"/>
    <customWorkbookView name="Filtro 60" guid="{9AA74D9C-3162-4459-AE12-2528934FDDC6}" maximized="1" windowWidth="0" windowHeight="0" activeSheetId="0"/>
    <customWorkbookView name="Filtro 63" guid="{F8B02C56-7360-44D2-9782-00BD52FAFCA8}" maximized="1" windowWidth="0" windowHeight="0" activeSheetId="0"/>
    <customWorkbookView name="Filtro 62" guid="{5ECA9C19-17C2-4B53-91E9-0C17F8CA4217}" maximized="1" windowWidth="0" windowHeight="0" activeSheetId="0"/>
    <customWorkbookView name="Filtro 65" guid="{91C26420-5839-44E0-A41A-CFD93A90A732}" maximized="1" windowWidth="0" windowHeight="0" activeSheetId="0"/>
    <customWorkbookView name="Filtro 21" guid="{C2346DAF-3C6B-4EC4-ADAD-017E8199E43A}" maximized="1" windowWidth="0" windowHeight="0" activeSheetId="0"/>
    <customWorkbookView name="Filtro 20" guid="{A8C0CDB0-7B34-4059-8893-504201EB1479}" maximized="1" windowWidth="0" windowHeight="0" activeSheetId="0"/>
    <customWorkbookView name="Filtro 64" guid="{64501680-B516-41FC-AA40-5944C37CD813}" maximized="1" windowWidth="0" windowHeight="0" activeSheetId="0"/>
    <customWorkbookView name="Filtro 67" guid="{EB6C5EC7-28BB-497C-8E72-B7C1296A946A}" maximized="1" windowWidth="0" windowHeight="0" activeSheetId="0"/>
    <customWorkbookView name="Filtro 23" guid="{56FFFF34-C789-45A9-B318-6B002FD92CEC}" maximized="1" windowWidth="0" windowHeight="0" activeSheetId="0"/>
    <customWorkbookView name="Filtro 66" guid="{A4CBE3E8-8BD0-4873-BEFE-72F2355A6C60}" maximized="1" windowWidth="0" windowHeight="0" activeSheetId="0"/>
    <customWorkbookView name="Filtro 22" guid="{62BEFFAC-61AB-45E5-89EF-3D708EC59F37}" maximized="1" windowWidth="0" windowHeight="0" activeSheetId="0"/>
    <customWorkbookView name="Filtro 69" guid="{CAF0EA69-01F3-4F11-887F-99EA6AEAB662}" maximized="1" windowWidth="0" windowHeight="0" activeSheetId="0"/>
    <customWorkbookView name="Filtro 25" guid="{CC70E333-17CF-4338-82E0-AD72DF37C24E}" maximized="1" windowWidth="0" windowHeight="0" activeSheetId="0"/>
    <customWorkbookView name="Filtro 9" guid="{E5FF392C-5593-4D9B-8773-BA4230B65DD9}" maximized="1" windowWidth="0" windowHeight="0" activeSheetId="0"/>
    <customWorkbookView name="Filtro 24" guid="{E7212AA7-B944-427B-9823-DB5F24223252}" maximized="1" windowWidth="0" windowHeight="0" activeSheetId="0"/>
    <customWorkbookView name="Filtro 68" guid="{593818F9-56E2-47F4-A6DF-0455D4101279}" maximized="1" windowWidth="0" windowHeight="0" activeSheetId="0"/>
    <customWorkbookView name="Filtro 8" guid="{E2A59C1E-06CD-47F7-A24D-FE09CD9EF22C}" maximized="1" windowWidth="0" windowHeight="0" activeSheetId="0"/>
    <customWorkbookView name="Filtro 27" guid="{4FF1465E-A06C-449A-8181-99398A9708CB}" maximized="1" windowWidth="0" windowHeight="0" activeSheetId="0"/>
    <customWorkbookView name="Filtro 26" guid="{0B0F2042-CC56-4C54-98F8-4FFFD2D3810B}" maximized="1" windowWidth="0" windowHeight="0" activeSheetId="0"/>
    <customWorkbookView name="Filtro 29" guid="{37D615BE-7420-42DD-BAE2-7F51DCED6BAB}" maximized="1" windowWidth="0" windowHeight="0" activeSheetId="0"/>
    <customWorkbookView name="Filtro 28" guid="{17B9FE8B-3D16-4C01-B473-D2CF8E545FFB}" maximized="1" windowWidth="0" windowHeight="0" activeSheetId="0"/>
    <customWorkbookView name="Filtro 50" guid="{603FDBA1-D4FE-4AB7-9531-6364C782BA8D}" maximized="1" windowWidth="0" windowHeight="0" activeSheetId="0"/>
    <customWorkbookView name="Filtro 52" guid="{FC2CB815-B2E0-4A25-A9C8-10AFFC5C8B1B}" maximized="1" windowWidth="0" windowHeight="0" activeSheetId="0"/>
    <customWorkbookView name="Filtro 51" guid="{90AA115C-D4C0-406A-800D-7A62E7944F42}" maximized="1" windowWidth="0" windowHeight="0" activeSheetId="0"/>
    <customWorkbookView name="Filtro 10" guid="{D074A271-151C-4CE3-B0D9-35E92897068B}" maximized="1" windowWidth="0" windowHeight="0" activeSheetId="0"/>
    <customWorkbookView name="Filtro 54" guid="{6C878C6E-462B-4321-B1C1-92E4316CB75E}" maximized="1" windowWidth="0" windowHeight="0" activeSheetId="0"/>
    <customWorkbookView name="Filtro 53" guid="{04A97E93-A9DC-4C1B-B4C3-A558315B82FE}" maximized="1" windowWidth="0" windowHeight="0" activeSheetId="0"/>
    <customWorkbookView name="Filtro 56" guid="{B1147BCB-CB95-4E6E-8179-7D58F01161D2}" maximized="1" windowWidth="0" windowHeight="0" activeSheetId="0"/>
    <customWorkbookView name="Filtro 12" guid="{9289254D-A94E-49FC-AD9F-CD028511AD4E}" maximized="1" windowWidth="0" windowHeight="0" activeSheetId="0"/>
    <customWorkbookView name="Filtro 11" guid="{DA392475-1661-4B54-8BFF-094FFA109104}" maximized="1" windowWidth="0" windowHeight="0" activeSheetId="0"/>
    <customWorkbookView name="Filtro 55" guid="{48B750AB-A6FE-419F-BF71-04BE9EF337DB}" maximized="1" windowWidth="0" windowHeight="0" activeSheetId="0"/>
    <customWorkbookView name="Filtro 58" guid="{F0409DDC-EEB4-40E6-94FD-C6B766E4239D}" maximized="1" windowWidth="0" windowHeight="0" activeSheetId="0"/>
    <customWorkbookView name="Filtro 14" guid="{7B124DA9-48B0-40B6-9712-4A03AFFC8E57}" maximized="1" windowWidth="0" windowHeight="0" activeSheetId="0"/>
    <customWorkbookView name="Filtro 13" guid="{1488BABD-90C7-4705-99AA-2D3CAD858875}" maximized="1" windowWidth="0" windowHeight="0" activeSheetId="0"/>
    <customWorkbookView name="Filtro 57" guid="{DBD08A63-DAD5-48CF-80CB-5B7B05966D15}" maximized="1" windowWidth="0" windowHeight="0" activeSheetId="0"/>
    <customWorkbookView name="Filtro 16" guid="{4398FFA0-D69F-4DDE-BFBE-0EADA06C4A16}" maximized="1" windowWidth="0" windowHeight="0" activeSheetId="0"/>
    <customWorkbookView name="Filtro 15" guid="{4EAD3F2D-5E45-4066-8D34-6297B3E3BE1E}" maximized="1" windowWidth="0" windowHeight="0" activeSheetId="0"/>
    <customWorkbookView name="Filtro 59" guid="{E4FDEB58-F6D4-4F20-8021-4A7F37853C62}" maximized="1" windowWidth="0" windowHeight="0" activeSheetId="0"/>
    <customWorkbookView name="Filtro 18" guid="{5B38700D-B6C9-4546-A6C1-B210AD8F72FB}" maximized="1" windowWidth="0" windowHeight="0" activeSheetId="0"/>
    <customWorkbookView name="Filtro 17" guid="{4C1E1C7D-57E0-4A0D-8D2E-3FE0B7ADDDD7}"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5" l="1"/>
  <c r="Y10" i="5"/>
  <c r="Z10" i="5"/>
  <c r="AA10" i="5"/>
  <c r="AB10" i="5"/>
  <c r="AC10" i="5"/>
  <c r="P10" i="5" s="1"/>
  <c r="AD10" i="5"/>
  <c r="AE10" i="5"/>
  <c r="R10" i="5" s="1"/>
  <c r="Q17" i="5"/>
  <c r="AD17" i="5" s="1"/>
  <c r="Q16" i="5"/>
  <c r="AD16" i="5" s="1"/>
  <c r="Y16" i="5"/>
  <c r="Z16" i="5"/>
  <c r="AA16" i="5"/>
  <c r="AB16" i="5"/>
  <c r="Y17" i="5"/>
  <c r="Z17" i="5"/>
  <c r="AA17" i="5"/>
  <c r="AB17" i="5"/>
  <c r="Q25" i="5"/>
  <c r="AD25" i="5" s="1"/>
  <c r="Y25" i="5"/>
  <c r="Z25" i="5"/>
  <c r="AA25" i="5"/>
  <c r="AB25" i="5"/>
  <c r="Y24" i="5"/>
  <c r="Z24" i="5"/>
  <c r="AA24" i="5"/>
  <c r="AB24" i="5"/>
  <c r="Q24" i="5"/>
  <c r="AD24" i="5" s="1"/>
  <c r="Q23" i="5"/>
  <c r="Q22" i="5"/>
  <c r="AD22" i="5" s="1"/>
  <c r="Y22" i="5"/>
  <c r="Z22" i="5"/>
  <c r="AA22" i="5"/>
  <c r="AB22" i="5"/>
  <c r="Q98" i="5"/>
  <c r="Q96" i="5"/>
  <c r="Q94" i="5"/>
  <c r="Q85" i="5"/>
  <c r="Q83" i="5"/>
  <c r="Q80" i="5"/>
  <c r="AC17" i="5" l="1"/>
  <c r="P17" i="5" s="1"/>
  <c r="AC16" i="5"/>
  <c r="AE16" i="5" s="1"/>
  <c r="R16" i="5" s="1"/>
  <c r="AC25" i="5"/>
  <c r="P25" i="5" s="1"/>
  <c r="AC24" i="5"/>
  <c r="AE24" i="5" s="1"/>
  <c r="R24" i="5" s="1"/>
  <c r="AE25" i="5"/>
  <c r="R25" i="5" s="1"/>
  <c r="P24" i="5"/>
  <c r="AC22" i="5"/>
  <c r="P22" i="5" s="1"/>
  <c r="Q76" i="5"/>
  <c r="Q69" i="5"/>
  <c r="AD69" i="5" s="1"/>
  <c r="Y69" i="5"/>
  <c r="Z69" i="5"/>
  <c r="AA69" i="5"/>
  <c r="AB69" i="5"/>
  <c r="Q70" i="5"/>
  <c r="AD70" i="5" s="1"/>
  <c r="Y70" i="5"/>
  <c r="Z70" i="5"/>
  <c r="AA70" i="5"/>
  <c r="AB70" i="5"/>
  <c r="Q65" i="5"/>
  <c r="AD65" i="5" s="1"/>
  <c r="Y65" i="5"/>
  <c r="Z65" i="5"/>
  <c r="AA65" i="5"/>
  <c r="AB65" i="5"/>
  <c r="AE17" i="5" l="1"/>
  <c r="R17" i="5" s="1"/>
  <c r="P16" i="5"/>
  <c r="AE22" i="5"/>
  <c r="R22" i="5" s="1"/>
  <c r="AC65" i="5"/>
  <c r="P65" i="5" s="1"/>
  <c r="AC70" i="5"/>
  <c r="P70" i="5" s="1"/>
  <c r="AC69" i="5"/>
  <c r="AE69" i="5" s="1"/>
  <c r="R69" i="5" s="1"/>
  <c r="Q4" i="5"/>
  <c r="AD4" i="5" s="1"/>
  <c r="Y4" i="5"/>
  <c r="Z4" i="5"/>
  <c r="AA4" i="5"/>
  <c r="AB4" i="5"/>
  <c r="Q3" i="5"/>
  <c r="AD3" i="5" s="1"/>
  <c r="Y3" i="5"/>
  <c r="Z3" i="5"/>
  <c r="AA3" i="5"/>
  <c r="AB3" i="5"/>
  <c r="Q48" i="5"/>
  <c r="AD48" i="5" s="1"/>
  <c r="Q47" i="5"/>
  <c r="AD47" i="5" s="1"/>
  <c r="Q45" i="5"/>
  <c r="Q46" i="5"/>
  <c r="AD46" i="5" s="1"/>
  <c r="Q49" i="5"/>
  <c r="Q50" i="5"/>
  <c r="AD50" i="5" s="1"/>
  <c r="Q51" i="5"/>
  <c r="AD51" i="5" s="1"/>
  <c r="Q52" i="5"/>
  <c r="AD52" i="5" s="1"/>
  <c r="Q53" i="5"/>
  <c r="AD53" i="5" s="1"/>
  <c r="Q54" i="5"/>
  <c r="AD54" i="5" s="1"/>
  <c r="Q55" i="5"/>
  <c r="AD55" i="5" s="1"/>
  <c r="Q56" i="5"/>
  <c r="AD56" i="5" s="1"/>
  <c r="Q57" i="5"/>
  <c r="AD57" i="5" s="1"/>
  <c r="Q58" i="5"/>
  <c r="AD58" i="5" s="1"/>
  <c r="Q59" i="5"/>
  <c r="Q60" i="5"/>
  <c r="AD60" i="5" s="1"/>
  <c r="AD49" i="5"/>
  <c r="Q41" i="5"/>
  <c r="AD41" i="5" s="1"/>
  <c r="Y41" i="5"/>
  <c r="Z41" i="5"/>
  <c r="AA41" i="5"/>
  <c r="AB41" i="5"/>
  <c r="Q39" i="5"/>
  <c r="AD39" i="5" s="1"/>
  <c r="Y39" i="5"/>
  <c r="Z39" i="5"/>
  <c r="AA39" i="5"/>
  <c r="AB39" i="5"/>
  <c r="Q37" i="5"/>
  <c r="AD37" i="5" s="1"/>
  <c r="Y37" i="5"/>
  <c r="Z37" i="5"/>
  <c r="AA37" i="5"/>
  <c r="AB37" i="5"/>
  <c r="Q35" i="5"/>
  <c r="AD35" i="5" s="1"/>
  <c r="Y35" i="5"/>
  <c r="Z35" i="5"/>
  <c r="AA35" i="5"/>
  <c r="AB35" i="5"/>
  <c r="Q33" i="5"/>
  <c r="AD33" i="5" s="1"/>
  <c r="Y33" i="5"/>
  <c r="Z33" i="5"/>
  <c r="AA33" i="5"/>
  <c r="AB33" i="5"/>
  <c r="Q31" i="5"/>
  <c r="AD31" i="5" s="1"/>
  <c r="Y31" i="5"/>
  <c r="Z31" i="5"/>
  <c r="AA31" i="5"/>
  <c r="AB31" i="5"/>
  <c r="Y29" i="5"/>
  <c r="Q29" i="5"/>
  <c r="AD29" i="5" s="1"/>
  <c r="Z29" i="5"/>
  <c r="AA29" i="5"/>
  <c r="AB29" i="5"/>
  <c r="Q27" i="5"/>
  <c r="AD27" i="5" s="1"/>
  <c r="Y27" i="5"/>
  <c r="Z27" i="5"/>
  <c r="AA27" i="5"/>
  <c r="AB27" i="5"/>
  <c r="Q26" i="5"/>
  <c r="AD26" i="5" s="1"/>
  <c r="Y26" i="5"/>
  <c r="Z26" i="5"/>
  <c r="AA26" i="5"/>
  <c r="AB26" i="5"/>
  <c r="AB338" i="5"/>
  <c r="AA338" i="5"/>
  <c r="Z338" i="5"/>
  <c r="Y338" i="5"/>
  <c r="Q338" i="5"/>
  <c r="AD338" i="5" s="1"/>
  <c r="AB337" i="5"/>
  <c r="AA337" i="5"/>
  <c r="Z337" i="5"/>
  <c r="Y337" i="5"/>
  <c r="Q337" i="5"/>
  <c r="AD337" i="5" s="1"/>
  <c r="AB336" i="5"/>
  <c r="AA336" i="5"/>
  <c r="Z336" i="5"/>
  <c r="Y336" i="5"/>
  <c r="Q336" i="5"/>
  <c r="AD336" i="5" s="1"/>
  <c r="AB335" i="5"/>
  <c r="AA335" i="5"/>
  <c r="Z335" i="5"/>
  <c r="Y335" i="5"/>
  <c r="Q335" i="5"/>
  <c r="AD335" i="5" s="1"/>
  <c r="AB334" i="5"/>
  <c r="AA334" i="5"/>
  <c r="Z334" i="5"/>
  <c r="Y334" i="5"/>
  <c r="Q334" i="5"/>
  <c r="AD334" i="5" s="1"/>
  <c r="AB333" i="5"/>
  <c r="AA333" i="5"/>
  <c r="Z333" i="5"/>
  <c r="Y333" i="5"/>
  <c r="Q333" i="5"/>
  <c r="AD333" i="5" s="1"/>
  <c r="AB332" i="5"/>
  <c r="AA332" i="5"/>
  <c r="Z332" i="5"/>
  <c r="Y332" i="5"/>
  <c r="Q332" i="5"/>
  <c r="AD332" i="5" s="1"/>
  <c r="AB331" i="5"/>
  <c r="AA331" i="5"/>
  <c r="Z331" i="5"/>
  <c r="Y331" i="5"/>
  <c r="Q331" i="5"/>
  <c r="AD331" i="5" s="1"/>
  <c r="AB330" i="5"/>
  <c r="AA330" i="5"/>
  <c r="Z330" i="5"/>
  <c r="Y330" i="5"/>
  <c r="Q330" i="5"/>
  <c r="AD330" i="5" s="1"/>
  <c r="AB329" i="5"/>
  <c r="AA329" i="5"/>
  <c r="Z329" i="5"/>
  <c r="Y329" i="5"/>
  <c r="Q329" i="5"/>
  <c r="AD329" i="5" s="1"/>
  <c r="AB328" i="5"/>
  <c r="AA328" i="5"/>
  <c r="Z328" i="5"/>
  <c r="Y328" i="5"/>
  <c r="Q328" i="5"/>
  <c r="AD328" i="5" s="1"/>
  <c r="AB327" i="5"/>
  <c r="AA327" i="5"/>
  <c r="Z327" i="5"/>
  <c r="Y327" i="5"/>
  <c r="Q327" i="5"/>
  <c r="AD327" i="5" s="1"/>
  <c r="AB326" i="5"/>
  <c r="AA326" i="5"/>
  <c r="Z326" i="5"/>
  <c r="Y326" i="5"/>
  <c r="Q326" i="5"/>
  <c r="AD326" i="5" s="1"/>
  <c r="AB325" i="5"/>
  <c r="AA325" i="5"/>
  <c r="Z325" i="5"/>
  <c r="Y325" i="5"/>
  <c r="Q325" i="5"/>
  <c r="AD325" i="5" s="1"/>
  <c r="AB324" i="5"/>
  <c r="AA324" i="5"/>
  <c r="Z324" i="5"/>
  <c r="Y324" i="5"/>
  <c r="Q324" i="5"/>
  <c r="AD324" i="5" s="1"/>
  <c r="AB323" i="5"/>
  <c r="AA323" i="5"/>
  <c r="Z323" i="5"/>
  <c r="Y323" i="5"/>
  <c r="Q323" i="5"/>
  <c r="AD323" i="5" s="1"/>
  <c r="AB322" i="5"/>
  <c r="AA322" i="5"/>
  <c r="Z322" i="5"/>
  <c r="Y322" i="5"/>
  <c r="Q322" i="5"/>
  <c r="AD322" i="5" s="1"/>
  <c r="AB321" i="5"/>
  <c r="AA321" i="5"/>
  <c r="Z321" i="5"/>
  <c r="Y321" i="5"/>
  <c r="Q321" i="5"/>
  <c r="AD321" i="5" s="1"/>
  <c r="AB320" i="5"/>
  <c r="AA320" i="5"/>
  <c r="Z320" i="5"/>
  <c r="Y320" i="5"/>
  <c r="Q320" i="5"/>
  <c r="AD320" i="5" s="1"/>
  <c r="AB319" i="5"/>
  <c r="AA319" i="5"/>
  <c r="Z319" i="5"/>
  <c r="Y319" i="5"/>
  <c r="Q319" i="5"/>
  <c r="AD319" i="5" s="1"/>
  <c r="AB318" i="5"/>
  <c r="AA318" i="5"/>
  <c r="Z318" i="5"/>
  <c r="Y318" i="5"/>
  <c r="Q318" i="5"/>
  <c r="AD318" i="5" s="1"/>
  <c r="AB317" i="5"/>
  <c r="AA317" i="5"/>
  <c r="Z317" i="5"/>
  <c r="Y317" i="5"/>
  <c r="Q317" i="5"/>
  <c r="AD317" i="5" s="1"/>
  <c r="AB316" i="5"/>
  <c r="AA316" i="5"/>
  <c r="Z316" i="5"/>
  <c r="Y316" i="5"/>
  <c r="Q316" i="5"/>
  <c r="AD316" i="5" s="1"/>
  <c r="AB315" i="5"/>
  <c r="AA315" i="5"/>
  <c r="Z315" i="5"/>
  <c r="Y315" i="5"/>
  <c r="Q315" i="5"/>
  <c r="AD315" i="5" s="1"/>
  <c r="AB314" i="5"/>
  <c r="AA314" i="5"/>
  <c r="Z314" i="5"/>
  <c r="Y314" i="5"/>
  <c r="Q314" i="5"/>
  <c r="AD314" i="5" s="1"/>
  <c r="AB313" i="5"/>
  <c r="AA313" i="5"/>
  <c r="Z313" i="5"/>
  <c r="Y313" i="5"/>
  <c r="Q313" i="5"/>
  <c r="AD313" i="5" s="1"/>
  <c r="AB312" i="5"/>
  <c r="AA312" i="5"/>
  <c r="Z312" i="5"/>
  <c r="Y312" i="5"/>
  <c r="Q312" i="5"/>
  <c r="AD312" i="5" s="1"/>
  <c r="AB311" i="5"/>
  <c r="AA311" i="5"/>
  <c r="Z311" i="5"/>
  <c r="Y311" i="5"/>
  <c r="Q311" i="5"/>
  <c r="AD311" i="5" s="1"/>
  <c r="AB310" i="5"/>
  <c r="AA310" i="5"/>
  <c r="Z310" i="5"/>
  <c r="Y310" i="5"/>
  <c r="Q310" i="5"/>
  <c r="AD310" i="5" s="1"/>
  <c r="AB309" i="5"/>
  <c r="AA309" i="5"/>
  <c r="Z309" i="5"/>
  <c r="Y309" i="5"/>
  <c r="Q309" i="5"/>
  <c r="AD309" i="5" s="1"/>
  <c r="AB308" i="5"/>
  <c r="AA308" i="5"/>
  <c r="Z308" i="5"/>
  <c r="Y308" i="5"/>
  <c r="Q308" i="5"/>
  <c r="AD308" i="5" s="1"/>
  <c r="AB307" i="5"/>
  <c r="AA307" i="5"/>
  <c r="Z307" i="5"/>
  <c r="Y307" i="5"/>
  <c r="Q307" i="5"/>
  <c r="AD307" i="5" s="1"/>
  <c r="AB306" i="5"/>
  <c r="AA306" i="5"/>
  <c r="Z306" i="5"/>
  <c r="Y306" i="5"/>
  <c r="Q306" i="5"/>
  <c r="AD306" i="5" s="1"/>
  <c r="AB305" i="5"/>
  <c r="AA305" i="5"/>
  <c r="Z305" i="5"/>
  <c r="Y305" i="5"/>
  <c r="Q305" i="5"/>
  <c r="AD305" i="5" s="1"/>
  <c r="AB304" i="5"/>
  <c r="AA304" i="5"/>
  <c r="Z304" i="5"/>
  <c r="Y304" i="5"/>
  <c r="Q304" i="5"/>
  <c r="AD304" i="5" s="1"/>
  <c r="AB303" i="5"/>
  <c r="AA303" i="5"/>
  <c r="Z303" i="5"/>
  <c r="Y303" i="5"/>
  <c r="Q303" i="5"/>
  <c r="AD303" i="5" s="1"/>
  <c r="AB302" i="5"/>
  <c r="AA302" i="5"/>
  <c r="Z302" i="5"/>
  <c r="Y302" i="5"/>
  <c r="Q302" i="5"/>
  <c r="AD302" i="5" s="1"/>
  <c r="AB301" i="5"/>
  <c r="AA301" i="5"/>
  <c r="Z301" i="5"/>
  <c r="Y301" i="5"/>
  <c r="Q301" i="5"/>
  <c r="AD301" i="5" s="1"/>
  <c r="AB300" i="5"/>
  <c r="AA300" i="5"/>
  <c r="Z300" i="5"/>
  <c r="Y300" i="5"/>
  <c r="Q300" i="5"/>
  <c r="AD300" i="5" s="1"/>
  <c r="AB299" i="5"/>
  <c r="AA299" i="5"/>
  <c r="Z299" i="5"/>
  <c r="Y299" i="5"/>
  <c r="Q299" i="5"/>
  <c r="AD299" i="5" s="1"/>
  <c r="AB298" i="5"/>
  <c r="AA298" i="5"/>
  <c r="Z298" i="5"/>
  <c r="Y298" i="5"/>
  <c r="Q298" i="5"/>
  <c r="AD298" i="5" s="1"/>
  <c r="AB297" i="5"/>
  <c r="AA297" i="5"/>
  <c r="Z297" i="5"/>
  <c r="Y297" i="5"/>
  <c r="Q297" i="5"/>
  <c r="AD297" i="5" s="1"/>
  <c r="AB296" i="5"/>
  <c r="AA296" i="5"/>
  <c r="Z296" i="5"/>
  <c r="Y296" i="5"/>
  <c r="Q296" i="5"/>
  <c r="AD296" i="5" s="1"/>
  <c r="AB295" i="5"/>
  <c r="AA295" i="5"/>
  <c r="Z295" i="5"/>
  <c r="Y295" i="5"/>
  <c r="Q295" i="5"/>
  <c r="AD295" i="5" s="1"/>
  <c r="AB294" i="5"/>
  <c r="AA294" i="5"/>
  <c r="Z294" i="5"/>
  <c r="Y294" i="5"/>
  <c r="Q294" i="5"/>
  <c r="AD294" i="5" s="1"/>
  <c r="AB293" i="5"/>
  <c r="AA293" i="5"/>
  <c r="Z293" i="5"/>
  <c r="Y293" i="5"/>
  <c r="Q293" i="5"/>
  <c r="AD293" i="5" s="1"/>
  <c r="AB292" i="5"/>
  <c r="AA292" i="5"/>
  <c r="Z292" i="5"/>
  <c r="Y292" i="5"/>
  <c r="Q292" i="5"/>
  <c r="AD292" i="5" s="1"/>
  <c r="AB291" i="5"/>
  <c r="AA291" i="5"/>
  <c r="Z291" i="5"/>
  <c r="Y291" i="5"/>
  <c r="Q291" i="5"/>
  <c r="AD291" i="5" s="1"/>
  <c r="AB290" i="5"/>
  <c r="AA290" i="5"/>
  <c r="Z290" i="5"/>
  <c r="Y290" i="5"/>
  <c r="Q290" i="5"/>
  <c r="AD290" i="5" s="1"/>
  <c r="AB289" i="5"/>
  <c r="AA289" i="5"/>
  <c r="Z289" i="5"/>
  <c r="Y289" i="5"/>
  <c r="Q289" i="5"/>
  <c r="AD289" i="5" s="1"/>
  <c r="AB288" i="5"/>
  <c r="AA288" i="5"/>
  <c r="Z288" i="5"/>
  <c r="Y288" i="5"/>
  <c r="Q288" i="5"/>
  <c r="AD288" i="5" s="1"/>
  <c r="AB287" i="5"/>
  <c r="AA287" i="5"/>
  <c r="Z287" i="5"/>
  <c r="Y287" i="5"/>
  <c r="Q287" i="5"/>
  <c r="AD287" i="5" s="1"/>
  <c r="AB286" i="5"/>
  <c r="AA286" i="5"/>
  <c r="Z286" i="5"/>
  <c r="Y286" i="5"/>
  <c r="Q286" i="5"/>
  <c r="AD286" i="5" s="1"/>
  <c r="AB285" i="5"/>
  <c r="AA285" i="5"/>
  <c r="Z285" i="5"/>
  <c r="Y285" i="5"/>
  <c r="Q285" i="5"/>
  <c r="AD285" i="5" s="1"/>
  <c r="AB284" i="5"/>
  <c r="AA284" i="5"/>
  <c r="Z284" i="5"/>
  <c r="Y284" i="5"/>
  <c r="Q284" i="5"/>
  <c r="AD284" i="5" s="1"/>
  <c r="AB283" i="5"/>
  <c r="AA283" i="5"/>
  <c r="Z283" i="5"/>
  <c r="Y283" i="5"/>
  <c r="Q283" i="5"/>
  <c r="AD283" i="5" s="1"/>
  <c r="AB282" i="5"/>
  <c r="AA282" i="5"/>
  <c r="Z282" i="5"/>
  <c r="Y282" i="5"/>
  <c r="Q282" i="5"/>
  <c r="AD282" i="5" s="1"/>
  <c r="AB281" i="5"/>
  <c r="AA281" i="5"/>
  <c r="Z281" i="5"/>
  <c r="Y281" i="5"/>
  <c r="Q281" i="5"/>
  <c r="AD281" i="5" s="1"/>
  <c r="AB280" i="5"/>
  <c r="AA280" i="5"/>
  <c r="Z280" i="5"/>
  <c r="Y280" i="5"/>
  <c r="Q280" i="5"/>
  <c r="AD280" i="5" s="1"/>
  <c r="AB279" i="5"/>
  <c r="AA279" i="5"/>
  <c r="Z279" i="5"/>
  <c r="Y279" i="5"/>
  <c r="Q279" i="5"/>
  <c r="AD279" i="5" s="1"/>
  <c r="AB278" i="5"/>
  <c r="AA278" i="5"/>
  <c r="Z278" i="5"/>
  <c r="Y278" i="5"/>
  <c r="Q278" i="5"/>
  <c r="AD278" i="5" s="1"/>
  <c r="AB277" i="5"/>
  <c r="AA277" i="5"/>
  <c r="Z277" i="5"/>
  <c r="Y277" i="5"/>
  <c r="Q277" i="5"/>
  <c r="AD277" i="5" s="1"/>
  <c r="AB276" i="5"/>
  <c r="AA276" i="5"/>
  <c r="Z276" i="5"/>
  <c r="Y276" i="5"/>
  <c r="Q276" i="5"/>
  <c r="AD276" i="5" s="1"/>
  <c r="AB275" i="5"/>
  <c r="AA275" i="5"/>
  <c r="Z275" i="5"/>
  <c r="Y275" i="5"/>
  <c r="Q275" i="5"/>
  <c r="AD275" i="5" s="1"/>
  <c r="AB274" i="5"/>
  <c r="AA274" i="5"/>
  <c r="Z274" i="5"/>
  <c r="Y274" i="5"/>
  <c r="Q274" i="5"/>
  <c r="AD274" i="5" s="1"/>
  <c r="AB273" i="5"/>
  <c r="AA273" i="5"/>
  <c r="Z273" i="5"/>
  <c r="Y273" i="5"/>
  <c r="Q273" i="5"/>
  <c r="AD273" i="5" s="1"/>
  <c r="AB272" i="5"/>
  <c r="AA272" i="5"/>
  <c r="Z272" i="5"/>
  <c r="Y272" i="5"/>
  <c r="Q272" i="5"/>
  <c r="AD272" i="5" s="1"/>
  <c r="AB271" i="5"/>
  <c r="AA271" i="5"/>
  <c r="Z271" i="5"/>
  <c r="Y271" i="5"/>
  <c r="Q271" i="5"/>
  <c r="AD271" i="5" s="1"/>
  <c r="AB270" i="5"/>
  <c r="AA270" i="5"/>
  <c r="Z270" i="5"/>
  <c r="Y270" i="5"/>
  <c r="Q270" i="5"/>
  <c r="AD270" i="5" s="1"/>
  <c r="AB269" i="5"/>
  <c r="AA269" i="5"/>
  <c r="Z269" i="5"/>
  <c r="Y269" i="5"/>
  <c r="Q269" i="5"/>
  <c r="AD269" i="5" s="1"/>
  <c r="AB268" i="5"/>
  <c r="AA268" i="5"/>
  <c r="Z268" i="5"/>
  <c r="Y268" i="5"/>
  <c r="Q268" i="5"/>
  <c r="AD268" i="5" s="1"/>
  <c r="AB267" i="5"/>
  <c r="AA267" i="5"/>
  <c r="Z267" i="5"/>
  <c r="Y267" i="5"/>
  <c r="Q267" i="5"/>
  <c r="AD267" i="5" s="1"/>
  <c r="AB266" i="5"/>
  <c r="AA266" i="5"/>
  <c r="Z266" i="5"/>
  <c r="Y266" i="5"/>
  <c r="Q266" i="5"/>
  <c r="AD266" i="5" s="1"/>
  <c r="AB265" i="5"/>
  <c r="AA265" i="5"/>
  <c r="Z265" i="5"/>
  <c r="Y265" i="5"/>
  <c r="Q265" i="5"/>
  <c r="AD265" i="5" s="1"/>
  <c r="AB264" i="5"/>
  <c r="AA264" i="5"/>
  <c r="Z264" i="5"/>
  <c r="Y264" i="5"/>
  <c r="Q264" i="5"/>
  <c r="AD264" i="5" s="1"/>
  <c r="AB263" i="5"/>
  <c r="AA263" i="5"/>
  <c r="Z263" i="5"/>
  <c r="Y263" i="5"/>
  <c r="Q263" i="5"/>
  <c r="AD263" i="5" s="1"/>
  <c r="AB262" i="5"/>
  <c r="AA262" i="5"/>
  <c r="Z262" i="5"/>
  <c r="Y262" i="5"/>
  <c r="Q262" i="5"/>
  <c r="AD262" i="5" s="1"/>
  <c r="AB261" i="5"/>
  <c r="AA261" i="5"/>
  <c r="Z261" i="5"/>
  <c r="Y261" i="5"/>
  <c r="Q261" i="5"/>
  <c r="AD261" i="5" s="1"/>
  <c r="AB260" i="5"/>
  <c r="AA260" i="5"/>
  <c r="Z260" i="5"/>
  <c r="Y260" i="5"/>
  <c r="Q260" i="5"/>
  <c r="AD260" i="5" s="1"/>
  <c r="AB259" i="5"/>
  <c r="AA259" i="5"/>
  <c r="Z259" i="5"/>
  <c r="Y259" i="5"/>
  <c r="Q259" i="5"/>
  <c r="AD259" i="5" s="1"/>
  <c r="AB258" i="5"/>
  <c r="AA258" i="5"/>
  <c r="Z258" i="5"/>
  <c r="Y258" i="5"/>
  <c r="Q258" i="5"/>
  <c r="AD258" i="5" s="1"/>
  <c r="AB257" i="5"/>
  <c r="AA257" i="5"/>
  <c r="Z257" i="5"/>
  <c r="Y257" i="5"/>
  <c r="Q257" i="5"/>
  <c r="AD257" i="5" s="1"/>
  <c r="AB256" i="5"/>
  <c r="AA256" i="5"/>
  <c r="Z256" i="5"/>
  <c r="Y256" i="5"/>
  <c r="Q256" i="5"/>
  <c r="AD256" i="5" s="1"/>
  <c r="AB255" i="5"/>
  <c r="AA255" i="5"/>
  <c r="Z255" i="5"/>
  <c r="Y255" i="5"/>
  <c r="Q255" i="5"/>
  <c r="AD255" i="5" s="1"/>
  <c r="AB254" i="5"/>
  <c r="AA254" i="5"/>
  <c r="Z254" i="5"/>
  <c r="Y254" i="5"/>
  <c r="Q254" i="5"/>
  <c r="AD254" i="5" s="1"/>
  <c r="AB253" i="5"/>
  <c r="AA253" i="5"/>
  <c r="Z253" i="5"/>
  <c r="Y253" i="5"/>
  <c r="Q253" i="5"/>
  <c r="AD253" i="5" s="1"/>
  <c r="AB252" i="5"/>
  <c r="AA252" i="5"/>
  <c r="Z252" i="5"/>
  <c r="Y252" i="5"/>
  <c r="Q252" i="5"/>
  <c r="AD252" i="5" s="1"/>
  <c r="AB251" i="5"/>
  <c r="AA251" i="5"/>
  <c r="Z251" i="5"/>
  <c r="Y251" i="5"/>
  <c r="Q251" i="5"/>
  <c r="AD251" i="5" s="1"/>
  <c r="AB250" i="5"/>
  <c r="AA250" i="5"/>
  <c r="Z250" i="5"/>
  <c r="Y250" i="5"/>
  <c r="Q250" i="5"/>
  <c r="AD250" i="5" s="1"/>
  <c r="AB249" i="5"/>
  <c r="AA249" i="5"/>
  <c r="Z249" i="5"/>
  <c r="Y249" i="5"/>
  <c r="Q249" i="5"/>
  <c r="AD249" i="5" s="1"/>
  <c r="AB248" i="5"/>
  <c r="AA248" i="5"/>
  <c r="Z248" i="5"/>
  <c r="Y248" i="5"/>
  <c r="Q248" i="5"/>
  <c r="AD248" i="5" s="1"/>
  <c r="AB247" i="5"/>
  <c r="AA247" i="5"/>
  <c r="Z247" i="5"/>
  <c r="Y247" i="5"/>
  <c r="Q247" i="5"/>
  <c r="AD247" i="5" s="1"/>
  <c r="AB246" i="5"/>
  <c r="AA246" i="5"/>
  <c r="Z246" i="5"/>
  <c r="Y246" i="5"/>
  <c r="Q246" i="5"/>
  <c r="AD246" i="5" s="1"/>
  <c r="AB245" i="5"/>
  <c r="AA245" i="5"/>
  <c r="Z245" i="5"/>
  <c r="Y245" i="5"/>
  <c r="Q245" i="5"/>
  <c r="AD245" i="5" s="1"/>
  <c r="AB244" i="5"/>
  <c r="AA244" i="5"/>
  <c r="Z244" i="5"/>
  <c r="Y244" i="5"/>
  <c r="Q244" i="5"/>
  <c r="AD244" i="5" s="1"/>
  <c r="AB243" i="5"/>
  <c r="AA243" i="5"/>
  <c r="Z243" i="5"/>
  <c r="Y243" i="5"/>
  <c r="Q243" i="5"/>
  <c r="AD243" i="5" s="1"/>
  <c r="AB242" i="5"/>
  <c r="AA242" i="5"/>
  <c r="Z242" i="5"/>
  <c r="Y242" i="5"/>
  <c r="Q242" i="5"/>
  <c r="AD242" i="5" s="1"/>
  <c r="AB241" i="5"/>
  <c r="AA241" i="5"/>
  <c r="Z241" i="5"/>
  <c r="Y241" i="5"/>
  <c r="Q241" i="5"/>
  <c r="AD241" i="5" s="1"/>
  <c r="AB240" i="5"/>
  <c r="AA240" i="5"/>
  <c r="Z240" i="5"/>
  <c r="Y240" i="5"/>
  <c r="Q240" i="5"/>
  <c r="AD240" i="5" s="1"/>
  <c r="AB239" i="5"/>
  <c r="AA239" i="5"/>
  <c r="Z239" i="5"/>
  <c r="Y239" i="5"/>
  <c r="Q239" i="5"/>
  <c r="AD239" i="5" s="1"/>
  <c r="AB238" i="5"/>
  <c r="AA238" i="5"/>
  <c r="Z238" i="5"/>
  <c r="Y238" i="5"/>
  <c r="Q238" i="5"/>
  <c r="AD238" i="5" s="1"/>
  <c r="AB237" i="5"/>
  <c r="AA237" i="5"/>
  <c r="Z237" i="5"/>
  <c r="Y237" i="5"/>
  <c r="Q237" i="5"/>
  <c r="AD237" i="5" s="1"/>
  <c r="AB236" i="5"/>
  <c r="AA236" i="5"/>
  <c r="Z236" i="5"/>
  <c r="Y236" i="5"/>
  <c r="Q236" i="5"/>
  <c r="AD236" i="5" s="1"/>
  <c r="AB235" i="5"/>
  <c r="AA235" i="5"/>
  <c r="Z235" i="5"/>
  <c r="Y235" i="5"/>
  <c r="Q235" i="5"/>
  <c r="AD235" i="5" s="1"/>
  <c r="AB234" i="5"/>
  <c r="AA234" i="5"/>
  <c r="Z234" i="5"/>
  <c r="Y234" i="5"/>
  <c r="Q234" i="5"/>
  <c r="AD234" i="5" s="1"/>
  <c r="AB233" i="5"/>
  <c r="AA233" i="5"/>
  <c r="Z233" i="5"/>
  <c r="Y233" i="5"/>
  <c r="Q233" i="5"/>
  <c r="AD233" i="5" s="1"/>
  <c r="AB232" i="5"/>
  <c r="AA232" i="5"/>
  <c r="Z232" i="5"/>
  <c r="Y232" i="5"/>
  <c r="Q232" i="5"/>
  <c r="AD232" i="5" s="1"/>
  <c r="AB231" i="5"/>
  <c r="AA231" i="5"/>
  <c r="Z231" i="5"/>
  <c r="Y231" i="5"/>
  <c r="Q231" i="5"/>
  <c r="AD231" i="5" s="1"/>
  <c r="AB230" i="5"/>
  <c r="AA230" i="5"/>
  <c r="Z230" i="5"/>
  <c r="Y230" i="5"/>
  <c r="Q230" i="5"/>
  <c r="AD230" i="5" s="1"/>
  <c r="AB229" i="5"/>
  <c r="AA229" i="5"/>
  <c r="Z229" i="5"/>
  <c r="Y229" i="5"/>
  <c r="Q229" i="5"/>
  <c r="AD229" i="5" s="1"/>
  <c r="AB228" i="5"/>
  <c r="AA228" i="5"/>
  <c r="Z228" i="5"/>
  <c r="Y228" i="5"/>
  <c r="Q228" i="5"/>
  <c r="AD228" i="5" s="1"/>
  <c r="AB227" i="5"/>
  <c r="AA227" i="5"/>
  <c r="Z227" i="5"/>
  <c r="Y227" i="5"/>
  <c r="Q227" i="5"/>
  <c r="AD227" i="5" s="1"/>
  <c r="AB226" i="5"/>
  <c r="AA226" i="5"/>
  <c r="Z226" i="5"/>
  <c r="Y226" i="5"/>
  <c r="Q226" i="5"/>
  <c r="AD226" i="5" s="1"/>
  <c r="AB225" i="5"/>
  <c r="AA225" i="5"/>
  <c r="Z225" i="5"/>
  <c r="Y225" i="5"/>
  <c r="Q225" i="5"/>
  <c r="AD225" i="5" s="1"/>
  <c r="AB224" i="5"/>
  <c r="AA224" i="5"/>
  <c r="Z224" i="5"/>
  <c r="Y224" i="5"/>
  <c r="Q224" i="5"/>
  <c r="AD224" i="5" s="1"/>
  <c r="AB223" i="5"/>
  <c r="AA223" i="5"/>
  <c r="Z223" i="5"/>
  <c r="Y223" i="5"/>
  <c r="Q223" i="5"/>
  <c r="AD223" i="5" s="1"/>
  <c r="AB222" i="5"/>
  <c r="AA222" i="5"/>
  <c r="Z222" i="5"/>
  <c r="Y222" i="5"/>
  <c r="Q222" i="5"/>
  <c r="AD222" i="5" s="1"/>
  <c r="AB221" i="5"/>
  <c r="AA221" i="5"/>
  <c r="Z221" i="5"/>
  <c r="Y221" i="5"/>
  <c r="Q221" i="5"/>
  <c r="AD221" i="5" s="1"/>
  <c r="AB220" i="5"/>
  <c r="AA220" i="5"/>
  <c r="Z220" i="5"/>
  <c r="Y220" i="5"/>
  <c r="Q220" i="5"/>
  <c r="AD220" i="5" s="1"/>
  <c r="AB219" i="5"/>
  <c r="AA219" i="5"/>
  <c r="Z219" i="5"/>
  <c r="Y219" i="5"/>
  <c r="Q219" i="5"/>
  <c r="AD219" i="5" s="1"/>
  <c r="AB218" i="5"/>
  <c r="AA218" i="5"/>
  <c r="Z218" i="5"/>
  <c r="Y218" i="5"/>
  <c r="Q218" i="5"/>
  <c r="AD218" i="5" s="1"/>
  <c r="AB217" i="5"/>
  <c r="AA217" i="5"/>
  <c r="Z217" i="5"/>
  <c r="Y217" i="5"/>
  <c r="Q217" i="5"/>
  <c r="AD217" i="5" s="1"/>
  <c r="AB216" i="5"/>
  <c r="AA216" i="5"/>
  <c r="Z216" i="5"/>
  <c r="Y216" i="5"/>
  <c r="Q216" i="5"/>
  <c r="AD216" i="5" s="1"/>
  <c r="AB215" i="5"/>
  <c r="AA215" i="5"/>
  <c r="Z215" i="5"/>
  <c r="Y215" i="5"/>
  <c r="Q215" i="5"/>
  <c r="AD215" i="5" s="1"/>
  <c r="AB214" i="5"/>
  <c r="AA214" i="5"/>
  <c r="Z214" i="5"/>
  <c r="Y214" i="5"/>
  <c r="Q214" i="5"/>
  <c r="AD214" i="5" s="1"/>
  <c r="AB213" i="5"/>
  <c r="AA213" i="5"/>
  <c r="Z213" i="5"/>
  <c r="Y213" i="5"/>
  <c r="Q213" i="5"/>
  <c r="AD213" i="5" s="1"/>
  <c r="AB212" i="5"/>
  <c r="AA212" i="5"/>
  <c r="Z212" i="5"/>
  <c r="Y212" i="5"/>
  <c r="Q212" i="5"/>
  <c r="AD212" i="5" s="1"/>
  <c r="AB211" i="5"/>
  <c r="AA211" i="5"/>
  <c r="Z211" i="5"/>
  <c r="Y211" i="5"/>
  <c r="Q211" i="5"/>
  <c r="AD211" i="5" s="1"/>
  <c r="AB210" i="5"/>
  <c r="AA210" i="5"/>
  <c r="Z210" i="5"/>
  <c r="Y210" i="5"/>
  <c r="Q210" i="5"/>
  <c r="AD210" i="5" s="1"/>
  <c r="AB209" i="5"/>
  <c r="AA209" i="5"/>
  <c r="Z209" i="5"/>
  <c r="Y209" i="5"/>
  <c r="Q209" i="5"/>
  <c r="AD209" i="5" s="1"/>
  <c r="AB208" i="5"/>
  <c r="AA208" i="5"/>
  <c r="Z208" i="5"/>
  <c r="Y208" i="5"/>
  <c r="Q208" i="5"/>
  <c r="AD208" i="5" s="1"/>
  <c r="AB207" i="5"/>
  <c r="AA207" i="5"/>
  <c r="Z207" i="5"/>
  <c r="Y207" i="5"/>
  <c r="Q207" i="5"/>
  <c r="AD207" i="5" s="1"/>
  <c r="AB206" i="5"/>
  <c r="AA206" i="5"/>
  <c r="Z206" i="5"/>
  <c r="Y206" i="5"/>
  <c r="Q206" i="5"/>
  <c r="AD206" i="5" s="1"/>
  <c r="AB205" i="5"/>
  <c r="AA205" i="5"/>
  <c r="Z205" i="5"/>
  <c r="Y205" i="5"/>
  <c r="Q205" i="5"/>
  <c r="AD205" i="5" s="1"/>
  <c r="AB204" i="5"/>
  <c r="AA204" i="5"/>
  <c r="Z204" i="5"/>
  <c r="Y204" i="5"/>
  <c r="Q204" i="5"/>
  <c r="AD204" i="5" s="1"/>
  <c r="AB203" i="5"/>
  <c r="AA203" i="5"/>
  <c r="Z203" i="5"/>
  <c r="Y203" i="5"/>
  <c r="Q203" i="5"/>
  <c r="AD203" i="5" s="1"/>
  <c r="AB202" i="5"/>
  <c r="AA202" i="5"/>
  <c r="Z202" i="5"/>
  <c r="Y202" i="5"/>
  <c r="Q202" i="5"/>
  <c r="AD202" i="5" s="1"/>
  <c r="AB201" i="5"/>
  <c r="AA201" i="5"/>
  <c r="Z201" i="5"/>
  <c r="Y201" i="5"/>
  <c r="Q201" i="5"/>
  <c r="AD201" i="5" s="1"/>
  <c r="AB200" i="5"/>
  <c r="AA200" i="5"/>
  <c r="Z200" i="5"/>
  <c r="Y200" i="5"/>
  <c r="Q200" i="5"/>
  <c r="AD200" i="5" s="1"/>
  <c r="AB199" i="5"/>
  <c r="AA199" i="5"/>
  <c r="Z199" i="5"/>
  <c r="Y199" i="5"/>
  <c r="Q199" i="5"/>
  <c r="AD199" i="5" s="1"/>
  <c r="AB198" i="5"/>
  <c r="AA198" i="5"/>
  <c r="Z198" i="5"/>
  <c r="Y198" i="5"/>
  <c r="Q198" i="5"/>
  <c r="AD198" i="5" s="1"/>
  <c r="AB197" i="5"/>
  <c r="AA197" i="5"/>
  <c r="Z197" i="5"/>
  <c r="Y197" i="5"/>
  <c r="Q197" i="5"/>
  <c r="AD197" i="5" s="1"/>
  <c r="AB196" i="5"/>
  <c r="AA196" i="5"/>
  <c r="Z196" i="5"/>
  <c r="Y196" i="5"/>
  <c r="Q196" i="5"/>
  <c r="AD196" i="5" s="1"/>
  <c r="AB195" i="5"/>
  <c r="AA195" i="5"/>
  <c r="Z195" i="5"/>
  <c r="Y195" i="5"/>
  <c r="Q195" i="5"/>
  <c r="AD195" i="5" s="1"/>
  <c r="AB194" i="5"/>
  <c r="AA194" i="5"/>
  <c r="Z194" i="5"/>
  <c r="Y194" i="5"/>
  <c r="Q194" i="5"/>
  <c r="AD194" i="5" s="1"/>
  <c r="AB193" i="5"/>
  <c r="AA193" i="5"/>
  <c r="Z193" i="5"/>
  <c r="Y193" i="5"/>
  <c r="Q193" i="5"/>
  <c r="AD193" i="5" s="1"/>
  <c r="AB192" i="5"/>
  <c r="AA192" i="5"/>
  <c r="Z192" i="5"/>
  <c r="Y192" i="5"/>
  <c r="Q192" i="5"/>
  <c r="AD192" i="5" s="1"/>
  <c r="AB191" i="5"/>
  <c r="AA191" i="5"/>
  <c r="Z191" i="5"/>
  <c r="Y191" i="5"/>
  <c r="Q191" i="5"/>
  <c r="AD191" i="5" s="1"/>
  <c r="AB190" i="5"/>
  <c r="AA190" i="5"/>
  <c r="Z190" i="5"/>
  <c r="Y190" i="5"/>
  <c r="Q190" i="5"/>
  <c r="AD190" i="5" s="1"/>
  <c r="AB189" i="5"/>
  <c r="AA189" i="5"/>
  <c r="Z189" i="5"/>
  <c r="Y189" i="5"/>
  <c r="Q189" i="5"/>
  <c r="AD189" i="5" s="1"/>
  <c r="AB188" i="5"/>
  <c r="AA188" i="5"/>
  <c r="Z188" i="5"/>
  <c r="Y188" i="5"/>
  <c r="Q188" i="5"/>
  <c r="AD188" i="5" s="1"/>
  <c r="AB187" i="5"/>
  <c r="AA187" i="5"/>
  <c r="Z187" i="5"/>
  <c r="Y187" i="5"/>
  <c r="Q187" i="5"/>
  <c r="AD187" i="5" s="1"/>
  <c r="AB186" i="5"/>
  <c r="AA186" i="5"/>
  <c r="Z186" i="5"/>
  <c r="Y186" i="5"/>
  <c r="Q186" i="5"/>
  <c r="AD186" i="5" s="1"/>
  <c r="AB185" i="5"/>
  <c r="AA185" i="5"/>
  <c r="Z185" i="5"/>
  <c r="Y185" i="5"/>
  <c r="Q185" i="5"/>
  <c r="AD185" i="5" s="1"/>
  <c r="AB184" i="5"/>
  <c r="AA184" i="5"/>
  <c r="Z184" i="5"/>
  <c r="Y184" i="5"/>
  <c r="Q184" i="5"/>
  <c r="AD184" i="5" s="1"/>
  <c r="AB183" i="5"/>
  <c r="AA183" i="5"/>
  <c r="Z183" i="5"/>
  <c r="Y183" i="5"/>
  <c r="Q183" i="5"/>
  <c r="AD183" i="5" s="1"/>
  <c r="AB182" i="5"/>
  <c r="AA182" i="5"/>
  <c r="Z182" i="5"/>
  <c r="Y182" i="5"/>
  <c r="Q182" i="5"/>
  <c r="AD182" i="5" s="1"/>
  <c r="AB181" i="5"/>
  <c r="AA181" i="5"/>
  <c r="Z181" i="5"/>
  <c r="Y181" i="5"/>
  <c r="Q181" i="5"/>
  <c r="AD181" i="5" s="1"/>
  <c r="AB180" i="5"/>
  <c r="AA180" i="5"/>
  <c r="Z180" i="5"/>
  <c r="Y180" i="5"/>
  <c r="Q180" i="5"/>
  <c r="AD180" i="5" s="1"/>
  <c r="AB179" i="5"/>
  <c r="AA179" i="5"/>
  <c r="Z179" i="5"/>
  <c r="Y179" i="5"/>
  <c r="Q179" i="5"/>
  <c r="AD179" i="5" s="1"/>
  <c r="AB178" i="5"/>
  <c r="AA178" i="5"/>
  <c r="Z178" i="5"/>
  <c r="Y178" i="5"/>
  <c r="Q178" i="5"/>
  <c r="AD178" i="5" s="1"/>
  <c r="AB177" i="5"/>
  <c r="AA177" i="5"/>
  <c r="Z177" i="5"/>
  <c r="Y177" i="5"/>
  <c r="Q177" i="5"/>
  <c r="AD177" i="5" s="1"/>
  <c r="AB176" i="5"/>
  <c r="AA176" i="5"/>
  <c r="Z176" i="5"/>
  <c r="Y176" i="5"/>
  <c r="Q176" i="5"/>
  <c r="AD176" i="5" s="1"/>
  <c r="AB175" i="5"/>
  <c r="AA175" i="5"/>
  <c r="Z175" i="5"/>
  <c r="Y175" i="5"/>
  <c r="Q175" i="5"/>
  <c r="AD175" i="5" s="1"/>
  <c r="AB174" i="5"/>
  <c r="AA174" i="5"/>
  <c r="Z174" i="5"/>
  <c r="Y174" i="5"/>
  <c r="Q174" i="5"/>
  <c r="AD174" i="5" s="1"/>
  <c r="AB173" i="5"/>
  <c r="AA173" i="5"/>
  <c r="Z173" i="5"/>
  <c r="Y173" i="5"/>
  <c r="Q173" i="5"/>
  <c r="AD173" i="5" s="1"/>
  <c r="AB172" i="5"/>
  <c r="AA172" i="5"/>
  <c r="Z172" i="5"/>
  <c r="Y172" i="5"/>
  <c r="Q172" i="5"/>
  <c r="AD172" i="5" s="1"/>
  <c r="AB171" i="5"/>
  <c r="AA171" i="5"/>
  <c r="Z171" i="5"/>
  <c r="Y171" i="5"/>
  <c r="Q171" i="5"/>
  <c r="AD171" i="5" s="1"/>
  <c r="AB170" i="5"/>
  <c r="AA170" i="5"/>
  <c r="Z170" i="5"/>
  <c r="Y170" i="5"/>
  <c r="Q170" i="5"/>
  <c r="AD170" i="5" s="1"/>
  <c r="AB169" i="5"/>
  <c r="AA169" i="5"/>
  <c r="Z169" i="5"/>
  <c r="Y169" i="5"/>
  <c r="Q169" i="5"/>
  <c r="AD169" i="5" s="1"/>
  <c r="AB168" i="5"/>
  <c r="AA168" i="5"/>
  <c r="Z168" i="5"/>
  <c r="Y168" i="5"/>
  <c r="Q168" i="5"/>
  <c r="AD168" i="5" s="1"/>
  <c r="AB167" i="5"/>
  <c r="AA167" i="5"/>
  <c r="Z167" i="5"/>
  <c r="Y167" i="5"/>
  <c r="Q167" i="5"/>
  <c r="AD167" i="5" s="1"/>
  <c r="AB166" i="5"/>
  <c r="AA166" i="5"/>
  <c r="Z166" i="5"/>
  <c r="Y166" i="5"/>
  <c r="Q166" i="5"/>
  <c r="AD166" i="5" s="1"/>
  <c r="AB165" i="5"/>
  <c r="AA165" i="5"/>
  <c r="Z165" i="5"/>
  <c r="Y165" i="5"/>
  <c r="Q165" i="5"/>
  <c r="AD165" i="5" s="1"/>
  <c r="AB164" i="5"/>
  <c r="AA164" i="5"/>
  <c r="Z164" i="5"/>
  <c r="Y164" i="5"/>
  <c r="Q164" i="5"/>
  <c r="AD164" i="5" s="1"/>
  <c r="AB163" i="5"/>
  <c r="AA163" i="5"/>
  <c r="Z163" i="5"/>
  <c r="Y163" i="5"/>
  <c r="Q163" i="5"/>
  <c r="AD163" i="5" s="1"/>
  <c r="AB162" i="5"/>
  <c r="AA162" i="5"/>
  <c r="Z162" i="5"/>
  <c r="Y162" i="5"/>
  <c r="Q162" i="5"/>
  <c r="AD162" i="5" s="1"/>
  <c r="AB161" i="5"/>
  <c r="AA161" i="5"/>
  <c r="Z161" i="5"/>
  <c r="Y161" i="5"/>
  <c r="Q161" i="5"/>
  <c r="AD161" i="5" s="1"/>
  <c r="AB160" i="5"/>
  <c r="AA160" i="5"/>
  <c r="Z160" i="5"/>
  <c r="Y160" i="5"/>
  <c r="Q160" i="5"/>
  <c r="AD160" i="5" s="1"/>
  <c r="AB159" i="5"/>
  <c r="AA159" i="5"/>
  <c r="Z159" i="5"/>
  <c r="Y159" i="5"/>
  <c r="Q159" i="5"/>
  <c r="AD159" i="5" s="1"/>
  <c r="AB158" i="5"/>
  <c r="AA158" i="5"/>
  <c r="Z158" i="5"/>
  <c r="Y158" i="5"/>
  <c r="Q158" i="5"/>
  <c r="AD158" i="5" s="1"/>
  <c r="AB157" i="5"/>
  <c r="AA157" i="5"/>
  <c r="Z157" i="5"/>
  <c r="Y157" i="5"/>
  <c r="Q157" i="5"/>
  <c r="AD157" i="5" s="1"/>
  <c r="AB156" i="5"/>
  <c r="AA156" i="5"/>
  <c r="Z156" i="5"/>
  <c r="Y156" i="5"/>
  <c r="Q156" i="5"/>
  <c r="AD156" i="5" s="1"/>
  <c r="AB155" i="5"/>
  <c r="AA155" i="5"/>
  <c r="Z155" i="5"/>
  <c r="Y155" i="5"/>
  <c r="Q155" i="5"/>
  <c r="AD155" i="5" s="1"/>
  <c r="AB154" i="5"/>
  <c r="AA154" i="5"/>
  <c r="Z154" i="5"/>
  <c r="Y154" i="5"/>
  <c r="Q154" i="5"/>
  <c r="AD154" i="5" s="1"/>
  <c r="AB153" i="5"/>
  <c r="AA153" i="5"/>
  <c r="Z153" i="5"/>
  <c r="Y153" i="5"/>
  <c r="Q153" i="5"/>
  <c r="AD153" i="5" s="1"/>
  <c r="AB152" i="5"/>
  <c r="AA152" i="5"/>
  <c r="Z152" i="5"/>
  <c r="Y152" i="5"/>
  <c r="Q152" i="5"/>
  <c r="AD152" i="5" s="1"/>
  <c r="AB151" i="5"/>
  <c r="AA151" i="5"/>
  <c r="Z151" i="5"/>
  <c r="Y151" i="5"/>
  <c r="Q151" i="5"/>
  <c r="AD151" i="5" s="1"/>
  <c r="AB150" i="5"/>
  <c r="AA150" i="5"/>
  <c r="Z150" i="5"/>
  <c r="Y150" i="5"/>
  <c r="Q150" i="5"/>
  <c r="AD150" i="5" s="1"/>
  <c r="AB149" i="5"/>
  <c r="AA149" i="5"/>
  <c r="Z149" i="5"/>
  <c r="Y149" i="5"/>
  <c r="Q149" i="5"/>
  <c r="AD149" i="5" s="1"/>
  <c r="AB148" i="5"/>
  <c r="AA148" i="5"/>
  <c r="Z148" i="5"/>
  <c r="Y148" i="5"/>
  <c r="Q148" i="5"/>
  <c r="AD148" i="5" s="1"/>
  <c r="AB147" i="5"/>
  <c r="AA147" i="5"/>
  <c r="Z147" i="5"/>
  <c r="Y147" i="5"/>
  <c r="Q147" i="5"/>
  <c r="AD147" i="5" s="1"/>
  <c r="AB146" i="5"/>
  <c r="AA146" i="5"/>
  <c r="Z146" i="5"/>
  <c r="Y146" i="5"/>
  <c r="Q146" i="5"/>
  <c r="AD146" i="5" s="1"/>
  <c r="AB145" i="5"/>
  <c r="AA145" i="5"/>
  <c r="Z145" i="5"/>
  <c r="Y145" i="5"/>
  <c r="Q145" i="5"/>
  <c r="AD145" i="5" s="1"/>
  <c r="AB144" i="5"/>
  <c r="AA144" i="5"/>
  <c r="Z144" i="5"/>
  <c r="Y144" i="5"/>
  <c r="Q144" i="5"/>
  <c r="AD144" i="5" s="1"/>
  <c r="AB143" i="5"/>
  <c r="AA143" i="5"/>
  <c r="Z143" i="5"/>
  <c r="Y143" i="5"/>
  <c r="Q143" i="5"/>
  <c r="AD143" i="5" s="1"/>
  <c r="AB142" i="5"/>
  <c r="AA142" i="5"/>
  <c r="Z142" i="5"/>
  <c r="Y142" i="5"/>
  <c r="Q142" i="5"/>
  <c r="AD142" i="5" s="1"/>
  <c r="AB141" i="5"/>
  <c r="AA141" i="5"/>
  <c r="Z141" i="5"/>
  <c r="Y141" i="5"/>
  <c r="Q141" i="5"/>
  <c r="AD141" i="5" s="1"/>
  <c r="AB140" i="5"/>
  <c r="AA140" i="5"/>
  <c r="Z140" i="5"/>
  <c r="Y140" i="5"/>
  <c r="Q140" i="5"/>
  <c r="AD140" i="5" s="1"/>
  <c r="AB139" i="5"/>
  <c r="AA139" i="5"/>
  <c r="Z139" i="5"/>
  <c r="Y139" i="5"/>
  <c r="Q139" i="5"/>
  <c r="AD139" i="5" s="1"/>
  <c r="AB138" i="5"/>
  <c r="AA138" i="5"/>
  <c r="Z138" i="5"/>
  <c r="Y138" i="5"/>
  <c r="Q138" i="5"/>
  <c r="AD138" i="5" s="1"/>
  <c r="AB137" i="5"/>
  <c r="AA137" i="5"/>
  <c r="Z137" i="5"/>
  <c r="Y137" i="5"/>
  <c r="Q137" i="5"/>
  <c r="AD137" i="5" s="1"/>
  <c r="AB136" i="5"/>
  <c r="AA136" i="5"/>
  <c r="Z136" i="5"/>
  <c r="Y136" i="5"/>
  <c r="Q136" i="5"/>
  <c r="AD136" i="5" s="1"/>
  <c r="AB135" i="5"/>
  <c r="AA135" i="5"/>
  <c r="Z135" i="5"/>
  <c r="Y135" i="5"/>
  <c r="Q135" i="5"/>
  <c r="AD135" i="5" s="1"/>
  <c r="AB134" i="5"/>
  <c r="AA134" i="5"/>
  <c r="Z134" i="5"/>
  <c r="Y134" i="5"/>
  <c r="Q134" i="5"/>
  <c r="AD134" i="5" s="1"/>
  <c r="AB133" i="5"/>
  <c r="AA133" i="5"/>
  <c r="Z133" i="5"/>
  <c r="Y133" i="5"/>
  <c r="Q133" i="5"/>
  <c r="AD133" i="5" s="1"/>
  <c r="AB132" i="5"/>
  <c r="AA132" i="5"/>
  <c r="Z132" i="5"/>
  <c r="Y132" i="5"/>
  <c r="Q132" i="5"/>
  <c r="AD132" i="5" s="1"/>
  <c r="AB131" i="5"/>
  <c r="AA131" i="5"/>
  <c r="Z131" i="5"/>
  <c r="Y131" i="5"/>
  <c r="Q131" i="5"/>
  <c r="AD131" i="5" s="1"/>
  <c r="AB130" i="5"/>
  <c r="AA130" i="5"/>
  <c r="Z130" i="5"/>
  <c r="Y130" i="5"/>
  <c r="Q130" i="5"/>
  <c r="AD130" i="5" s="1"/>
  <c r="AB129" i="5"/>
  <c r="AA129" i="5"/>
  <c r="Z129" i="5"/>
  <c r="Y129" i="5"/>
  <c r="Q129" i="5"/>
  <c r="AD129" i="5" s="1"/>
  <c r="AB128" i="5"/>
  <c r="AA128" i="5"/>
  <c r="Z128" i="5"/>
  <c r="Y128" i="5"/>
  <c r="Q128" i="5"/>
  <c r="AD128" i="5" s="1"/>
  <c r="AB127" i="5"/>
  <c r="AA127" i="5"/>
  <c r="Z127" i="5"/>
  <c r="Y127" i="5"/>
  <c r="Q127" i="5"/>
  <c r="AD127" i="5" s="1"/>
  <c r="AB126" i="5"/>
  <c r="AA126" i="5"/>
  <c r="Z126" i="5"/>
  <c r="Y126" i="5"/>
  <c r="Q126" i="5"/>
  <c r="AD126" i="5" s="1"/>
  <c r="AB125" i="5"/>
  <c r="AA125" i="5"/>
  <c r="Z125" i="5"/>
  <c r="Y125" i="5"/>
  <c r="Q125" i="5"/>
  <c r="AD125" i="5" s="1"/>
  <c r="AB124" i="5"/>
  <c r="AA124" i="5"/>
  <c r="Z124" i="5"/>
  <c r="Y124" i="5"/>
  <c r="Q124" i="5"/>
  <c r="AD124" i="5" s="1"/>
  <c r="AB123" i="5"/>
  <c r="AA123" i="5"/>
  <c r="Z123" i="5"/>
  <c r="Y123" i="5"/>
  <c r="Q123" i="5"/>
  <c r="AD123" i="5" s="1"/>
  <c r="AB122" i="5"/>
  <c r="AA122" i="5"/>
  <c r="Z122" i="5"/>
  <c r="Y122" i="5"/>
  <c r="Q122" i="5"/>
  <c r="AD122" i="5" s="1"/>
  <c r="AB121" i="5"/>
  <c r="AA121" i="5"/>
  <c r="Z121" i="5"/>
  <c r="Y121" i="5"/>
  <c r="Q121" i="5"/>
  <c r="AD121" i="5" s="1"/>
  <c r="AB120" i="5"/>
  <c r="AA120" i="5"/>
  <c r="Z120" i="5"/>
  <c r="Y120" i="5"/>
  <c r="Q120" i="5"/>
  <c r="AD120" i="5" s="1"/>
  <c r="AB119" i="5"/>
  <c r="AA119" i="5"/>
  <c r="Z119" i="5"/>
  <c r="Y119" i="5"/>
  <c r="Q119" i="5"/>
  <c r="AD119" i="5" s="1"/>
  <c r="AB118" i="5"/>
  <c r="AA118" i="5"/>
  <c r="Z118" i="5"/>
  <c r="Y118" i="5"/>
  <c r="Q118" i="5"/>
  <c r="AD118" i="5" s="1"/>
  <c r="AB117" i="5"/>
  <c r="AA117" i="5"/>
  <c r="Z117" i="5"/>
  <c r="Y117" i="5"/>
  <c r="Q117" i="5"/>
  <c r="AD117" i="5" s="1"/>
  <c r="AB116" i="5"/>
  <c r="AA116" i="5"/>
  <c r="Z116" i="5"/>
  <c r="Y116" i="5"/>
  <c r="Q116" i="5"/>
  <c r="AD116" i="5" s="1"/>
  <c r="AB115" i="5"/>
  <c r="AA115" i="5"/>
  <c r="Z115" i="5"/>
  <c r="Y115" i="5"/>
  <c r="Q115" i="5"/>
  <c r="AD115" i="5" s="1"/>
  <c r="AB114" i="5"/>
  <c r="AA114" i="5"/>
  <c r="Z114" i="5"/>
  <c r="Y114" i="5"/>
  <c r="Q114" i="5"/>
  <c r="AD114" i="5" s="1"/>
  <c r="AB113" i="5"/>
  <c r="AA113" i="5"/>
  <c r="Z113" i="5"/>
  <c r="Y113" i="5"/>
  <c r="Q113" i="5"/>
  <c r="AD113" i="5" s="1"/>
  <c r="AB112" i="5"/>
  <c r="AA112" i="5"/>
  <c r="Z112" i="5"/>
  <c r="Y112" i="5"/>
  <c r="Q112" i="5"/>
  <c r="AD112" i="5" s="1"/>
  <c r="AB111" i="5"/>
  <c r="AA111" i="5"/>
  <c r="Z111" i="5"/>
  <c r="Y111" i="5"/>
  <c r="Q111" i="5"/>
  <c r="AD111" i="5" s="1"/>
  <c r="AB110" i="5"/>
  <c r="AA110" i="5"/>
  <c r="Z110" i="5"/>
  <c r="Y110" i="5"/>
  <c r="Q110" i="5"/>
  <c r="AD110" i="5" s="1"/>
  <c r="AB109" i="5"/>
  <c r="AA109" i="5"/>
  <c r="Z109" i="5"/>
  <c r="Y109" i="5"/>
  <c r="Q109" i="5"/>
  <c r="AD109" i="5" s="1"/>
  <c r="AB108" i="5"/>
  <c r="AA108" i="5"/>
  <c r="Z108" i="5"/>
  <c r="Y108" i="5"/>
  <c r="Q108" i="5"/>
  <c r="AD108" i="5" s="1"/>
  <c r="AB107" i="5"/>
  <c r="AA107" i="5"/>
  <c r="Z107" i="5"/>
  <c r="Y107" i="5"/>
  <c r="Q107" i="5"/>
  <c r="AD107" i="5" s="1"/>
  <c r="AB106" i="5"/>
  <c r="AA106" i="5"/>
  <c r="Z106" i="5"/>
  <c r="Y106" i="5"/>
  <c r="Q106" i="5"/>
  <c r="AD106" i="5" s="1"/>
  <c r="AB105" i="5"/>
  <c r="AA105" i="5"/>
  <c r="Z105" i="5"/>
  <c r="Y105" i="5"/>
  <c r="Q105" i="5"/>
  <c r="AD105" i="5" s="1"/>
  <c r="AB104" i="5"/>
  <c r="AA104" i="5"/>
  <c r="Z104" i="5"/>
  <c r="Y104" i="5"/>
  <c r="Q104" i="5"/>
  <c r="AD104" i="5" s="1"/>
  <c r="AB103" i="5"/>
  <c r="AA103" i="5"/>
  <c r="Z103" i="5"/>
  <c r="Y103" i="5"/>
  <c r="Q103" i="5"/>
  <c r="AD103" i="5" s="1"/>
  <c r="AB102" i="5"/>
  <c r="AA102" i="5"/>
  <c r="Z102" i="5"/>
  <c r="Y102" i="5"/>
  <c r="Q102" i="5"/>
  <c r="AD102" i="5" s="1"/>
  <c r="AB101" i="5"/>
  <c r="AA101" i="5"/>
  <c r="Z101" i="5"/>
  <c r="Y101" i="5"/>
  <c r="Q101" i="5"/>
  <c r="AD101" i="5" s="1"/>
  <c r="AB100" i="5"/>
  <c r="AA100" i="5"/>
  <c r="Z100" i="5"/>
  <c r="Y100" i="5"/>
  <c r="Q100" i="5"/>
  <c r="AD100" i="5" s="1"/>
  <c r="AB99" i="5"/>
  <c r="AA99" i="5"/>
  <c r="Z99" i="5"/>
  <c r="Y99" i="5"/>
  <c r="Q99" i="5"/>
  <c r="AD99" i="5" s="1"/>
  <c r="AB98" i="5"/>
  <c r="AA98" i="5"/>
  <c r="Z98" i="5"/>
  <c r="Y98" i="5"/>
  <c r="AD98" i="5"/>
  <c r="AB97" i="5"/>
  <c r="AA97" i="5"/>
  <c r="Z97" i="5"/>
  <c r="Y97" i="5"/>
  <c r="Q97" i="5"/>
  <c r="AD97" i="5" s="1"/>
  <c r="AB96" i="5"/>
  <c r="AA96" i="5"/>
  <c r="Z96" i="5"/>
  <c r="Y96" i="5"/>
  <c r="AD96" i="5"/>
  <c r="AB95" i="5"/>
  <c r="AA95" i="5"/>
  <c r="Z95" i="5"/>
  <c r="Y95" i="5"/>
  <c r="Q95" i="5"/>
  <c r="AD95" i="5" s="1"/>
  <c r="AB94" i="5"/>
  <c r="AA94" i="5"/>
  <c r="Z94" i="5"/>
  <c r="Y94" i="5"/>
  <c r="AD94" i="5"/>
  <c r="AB93" i="5"/>
  <c r="AA93" i="5"/>
  <c r="Z93" i="5"/>
  <c r="Y93" i="5"/>
  <c r="Q93" i="5"/>
  <c r="AD93" i="5" s="1"/>
  <c r="AB92" i="5"/>
  <c r="AA92" i="5"/>
  <c r="Z92" i="5"/>
  <c r="Y92" i="5"/>
  <c r="Q92" i="5"/>
  <c r="AD92" i="5" s="1"/>
  <c r="AB91" i="5"/>
  <c r="AA91" i="5"/>
  <c r="Z91" i="5"/>
  <c r="Y91" i="5"/>
  <c r="Q91" i="5"/>
  <c r="AD91" i="5" s="1"/>
  <c r="AB90" i="5"/>
  <c r="AA90" i="5"/>
  <c r="Z90" i="5"/>
  <c r="Y90" i="5"/>
  <c r="Q90" i="5"/>
  <c r="AD90" i="5" s="1"/>
  <c r="AB89" i="5"/>
  <c r="AA89" i="5"/>
  <c r="Z89" i="5"/>
  <c r="Y89" i="5"/>
  <c r="Q89" i="5"/>
  <c r="AD89" i="5" s="1"/>
  <c r="AB88" i="5"/>
  <c r="AA88" i="5"/>
  <c r="Z88" i="5"/>
  <c r="Y88" i="5"/>
  <c r="Q88" i="5"/>
  <c r="AD88" i="5" s="1"/>
  <c r="AB87" i="5"/>
  <c r="AA87" i="5"/>
  <c r="Z87" i="5"/>
  <c r="Y87" i="5"/>
  <c r="Q87" i="5"/>
  <c r="AD87" i="5" s="1"/>
  <c r="AB86" i="5"/>
  <c r="AA86" i="5"/>
  <c r="Z86" i="5"/>
  <c r="Y86" i="5"/>
  <c r="Q86" i="5"/>
  <c r="AD86" i="5" s="1"/>
  <c r="AB85" i="5"/>
  <c r="AA85" i="5"/>
  <c r="Z85" i="5"/>
  <c r="Y85" i="5"/>
  <c r="AD85" i="5"/>
  <c r="AB84" i="5"/>
  <c r="AA84" i="5"/>
  <c r="Z84" i="5"/>
  <c r="Y84" i="5"/>
  <c r="Q84" i="5"/>
  <c r="AD84" i="5" s="1"/>
  <c r="AB83" i="5"/>
  <c r="AA83" i="5"/>
  <c r="Z83" i="5"/>
  <c r="Y83" i="5"/>
  <c r="AD83" i="5"/>
  <c r="AB82" i="5"/>
  <c r="AA82" i="5"/>
  <c r="Z82" i="5"/>
  <c r="Y82" i="5"/>
  <c r="Q82" i="5"/>
  <c r="AD82" i="5" s="1"/>
  <c r="AB81" i="5"/>
  <c r="AA81" i="5"/>
  <c r="Z81" i="5"/>
  <c r="Y81" i="5"/>
  <c r="Q81" i="5"/>
  <c r="AD81" i="5" s="1"/>
  <c r="AB80" i="5"/>
  <c r="AA80" i="5"/>
  <c r="Z80" i="5"/>
  <c r="Y80" i="5"/>
  <c r="AD80" i="5"/>
  <c r="AB79" i="5"/>
  <c r="AA79" i="5"/>
  <c r="Z79" i="5"/>
  <c r="Y79" i="5"/>
  <c r="Q79" i="5"/>
  <c r="AD79" i="5" s="1"/>
  <c r="AB78" i="5"/>
  <c r="AA78" i="5"/>
  <c r="Z78" i="5"/>
  <c r="Y78" i="5"/>
  <c r="Q78" i="5"/>
  <c r="AD78" i="5" s="1"/>
  <c r="AB77" i="5"/>
  <c r="AA77" i="5"/>
  <c r="Z77" i="5"/>
  <c r="Y77" i="5"/>
  <c r="Q77" i="5"/>
  <c r="AD77" i="5" s="1"/>
  <c r="AB76" i="5"/>
  <c r="AA76" i="5"/>
  <c r="Z76" i="5"/>
  <c r="Y76" i="5"/>
  <c r="AD76" i="5"/>
  <c r="AB75" i="5"/>
  <c r="AA75" i="5"/>
  <c r="Z75" i="5"/>
  <c r="Y75" i="5"/>
  <c r="Q75" i="5"/>
  <c r="AD75" i="5" s="1"/>
  <c r="AB74" i="5"/>
  <c r="AA74" i="5"/>
  <c r="Z74" i="5"/>
  <c r="Y74" i="5"/>
  <c r="Q74" i="5"/>
  <c r="AD74" i="5" s="1"/>
  <c r="AB73" i="5"/>
  <c r="AA73" i="5"/>
  <c r="Z73" i="5"/>
  <c r="Y73" i="5"/>
  <c r="Q73" i="5"/>
  <c r="AD73" i="5" s="1"/>
  <c r="AB72" i="5"/>
  <c r="AA72" i="5"/>
  <c r="Z72" i="5"/>
  <c r="Y72" i="5"/>
  <c r="Q72" i="5"/>
  <c r="AD72" i="5" s="1"/>
  <c r="AB71" i="5"/>
  <c r="AA71" i="5"/>
  <c r="Z71" i="5"/>
  <c r="Y71" i="5"/>
  <c r="Q71" i="5"/>
  <c r="AD71" i="5" s="1"/>
  <c r="AB68" i="5"/>
  <c r="AA68" i="5"/>
  <c r="Z68" i="5"/>
  <c r="Y68" i="5"/>
  <c r="Q68" i="5"/>
  <c r="AD68" i="5" s="1"/>
  <c r="AB67" i="5"/>
  <c r="AA67" i="5"/>
  <c r="Z67" i="5"/>
  <c r="Y67" i="5"/>
  <c r="Q67" i="5"/>
  <c r="AD67" i="5" s="1"/>
  <c r="AB66" i="5"/>
  <c r="AA66" i="5"/>
  <c r="Z66" i="5"/>
  <c r="Y66" i="5"/>
  <c r="Q66" i="5"/>
  <c r="AD66" i="5" s="1"/>
  <c r="AB64" i="5"/>
  <c r="AA64" i="5"/>
  <c r="Z64" i="5"/>
  <c r="Y64" i="5"/>
  <c r="Q64" i="5"/>
  <c r="AD64" i="5" s="1"/>
  <c r="AB63" i="5"/>
  <c r="AA63" i="5"/>
  <c r="Z63" i="5"/>
  <c r="Y63" i="5"/>
  <c r="Q63" i="5"/>
  <c r="AD63" i="5" s="1"/>
  <c r="AB62" i="5"/>
  <c r="AA62" i="5"/>
  <c r="Z62" i="5"/>
  <c r="Y62" i="5"/>
  <c r="Q62" i="5"/>
  <c r="AD62" i="5" s="1"/>
  <c r="AB61" i="5"/>
  <c r="AA61" i="5"/>
  <c r="Z61" i="5"/>
  <c r="Y61" i="5"/>
  <c r="Q61" i="5"/>
  <c r="AD61" i="5" s="1"/>
  <c r="AB60" i="5"/>
  <c r="AA60" i="5"/>
  <c r="Z60" i="5"/>
  <c r="Y60" i="5"/>
  <c r="AB59" i="5"/>
  <c r="AA59" i="5"/>
  <c r="Z59" i="5"/>
  <c r="Y59" i="5"/>
  <c r="AD59" i="5"/>
  <c r="AB58" i="5"/>
  <c r="AA58" i="5"/>
  <c r="Z58" i="5"/>
  <c r="Y58" i="5"/>
  <c r="AB57" i="5"/>
  <c r="AA57" i="5"/>
  <c r="Z57" i="5"/>
  <c r="Y57" i="5"/>
  <c r="AB56" i="5"/>
  <c r="AA56" i="5"/>
  <c r="Z56" i="5"/>
  <c r="Y56" i="5"/>
  <c r="AB55" i="5"/>
  <c r="AA55" i="5"/>
  <c r="Z55" i="5"/>
  <c r="Y55" i="5"/>
  <c r="AB54" i="5"/>
  <c r="AA54" i="5"/>
  <c r="Z54" i="5"/>
  <c r="Y54" i="5"/>
  <c r="AB53" i="5"/>
  <c r="AA53" i="5"/>
  <c r="Z53" i="5"/>
  <c r="Y53" i="5"/>
  <c r="AB52" i="5"/>
  <c r="AA52" i="5"/>
  <c r="Z52" i="5"/>
  <c r="Y52" i="5"/>
  <c r="AB51" i="5"/>
  <c r="AA51" i="5"/>
  <c r="Z51" i="5"/>
  <c r="Y51" i="5"/>
  <c r="AB50" i="5"/>
  <c r="AA50" i="5"/>
  <c r="Z50" i="5"/>
  <c r="Y50" i="5"/>
  <c r="AB49" i="5"/>
  <c r="AA49" i="5"/>
  <c r="Z49" i="5"/>
  <c r="Y49" i="5"/>
  <c r="AB48" i="5"/>
  <c r="AA48" i="5"/>
  <c r="Z48" i="5"/>
  <c r="Y48" i="5"/>
  <c r="AB47" i="5"/>
  <c r="AA47" i="5"/>
  <c r="Z47" i="5"/>
  <c r="Y47" i="5"/>
  <c r="AB46" i="5"/>
  <c r="AA46" i="5"/>
  <c r="Z46" i="5"/>
  <c r="Y46" i="5"/>
  <c r="AB45" i="5"/>
  <c r="AA45" i="5"/>
  <c r="Z45" i="5"/>
  <c r="Y45" i="5"/>
  <c r="AD45" i="5"/>
  <c r="AB44" i="5"/>
  <c r="AA44" i="5"/>
  <c r="Z44" i="5"/>
  <c r="Y44" i="5"/>
  <c r="Q44" i="5"/>
  <c r="AD44" i="5" s="1"/>
  <c r="AB43" i="5"/>
  <c r="AA43" i="5"/>
  <c r="Z43" i="5"/>
  <c r="Y43" i="5"/>
  <c r="Q43" i="5"/>
  <c r="AD43" i="5" s="1"/>
  <c r="AB42" i="5"/>
  <c r="AA42" i="5"/>
  <c r="Z42" i="5"/>
  <c r="Y42" i="5"/>
  <c r="Q42" i="5"/>
  <c r="AD42" i="5" s="1"/>
  <c r="AB40" i="5"/>
  <c r="AA40" i="5"/>
  <c r="Z40" i="5"/>
  <c r="Y40" i="5"/>
  <c r="Q40" i="5"/>
  <c r="AD40" i="5" s="1"/>
  <c r="AB38" i="5"/>
  <c r="AA38" i="5"/>
  <c r="Z38" i="5"/>
  <c r="Y38" i="5"/>
  <c r="Q38" i="5"/>
  <c r="AD38" i="5" s="1"/>
  <c r="AB36" i="5"/>
  <c r="AA36" i="5"/>
  <c r="Z36" i="5"/>
  <c r="Y36" i="5"/>
  <c r="Q36" i="5"/>
  <c r="AD36" i="5" s="1"/>
  <c r="AB34" i="5"/>
  <c r="AA34" i="5"/>
  <c r="Z34" i="5"/>
  <c r="Y34" i="5"/>
  <c r="Q34" i="5"/>
  <c r="AD34" i="5" s="1"/>
  <c r="AB32" i="5"/>
  <c r="AA32" i="5"/>
  <c r="Z32" i="5"/>
  <c r="Y32" i="5"/>
  <c r="Q32" i="5"/>
  <c r="AD32" i="5" s="1"/>
  <c r="AB30" i="5"/>
  <c r="AA30" i="5"/>
  <c r="Z30" i="5"/>
  <c r="Y30" i="5"/>
  <c r="Q30" i="5"/>
  <c r="AD30" i="5" s="1"/>
  <c r="AB28" i="5"/>
  <c r="AA28" i="5"/>
  <c r="Z28" i="5"/>
  <c r="Y28" i="5"/>
  <c r="Q28" i="5"/>
  <c r="AD28" i="5" s="1"/>
  <c r="AB23" i="5"/>
  <c r="AA23" i="5"/>
  <c r="Z23" i="5"/>
  <c r="Y23" i="5"/>
  <c r="AD23" i="5"/>
  <c r="AB21" i="5"/>
  <c r="AA21" i="5"/>
  <c r="Z21" i="5"/>
  <c r="Y21" i="5"/>
  <c r="Q21" i="5"/>
  <c r="AD21" i="5" s="1"/>
  <c r="AB20" i="5"/>
  <c r="AA20" i="5"/>
  <c r="Z20" i="5"/>
  <c r="Y20" i="5"/>
  <c r="Q20" i="5"/>
  <c r="AD20" i="5" s="1"/>
  <c r="AB19" i="5"/>
  <c r="AA19" i="5"/>
  <c r="Z19" i="5"/>
  <c r="Y19" i="5"/>
  <c r="Q19" i="5"/>
  <c r="AD19" i="5" s="1"/>
  <c r="AB18" i="5"/>
  <c r="AA18" i="5"/>
  <c r="Z18" i="5"/>
  <c r="Y18" i="5"/>
  <c r="Q18" i="5"/>
  <c r="AD18" i="5" s="1"/>
  <c r="AB15" i="5"/>
  <c r="AA15" i="5"/>
  <c r="Z15" i="5"/>
  <c r="Y15" i="5"/>
  <c r="Q15" i="5"/>
  <c r="AD15" i="5" s="1"/>
  <c r="AB14" i="5"/>
  <c r="AA14" i="5"/>
  <c r="Z14" i="5"/>
  <c r="Y14" i="5"/>
  <c r="Q14" i="5"/>
  <c r="AD14" i="5" s="1"/>
  <c r="AB13" i="5"/>
  <c r="AA13" i="5"/>
  <c r="Z13" i="5"/>
  <c r="Y13" i="5"/>
  <c r="Q13" i="5"/>
  <c r="AD13" i="5" s="1"/>
  <c r="AB12" i="5"/>
  <c r="AA12" i="5"/>
  <c r="Z12" i="5"/>
  <c r="Y12" i="5"/>
  <c r="Q12" i="5"/>
  <c r="AD12" i="5" s="1"/>
  <c r="AB11" i="5"/>
  <c r="AA11" i="5"/>
  <c r="Z11" i="5"/>
  <c r="Y11" i="5"/>
  <c r="Q11" i="5"/>
  <c r="AD11" i="5" s="1"/>
  <c r="AB9" i="5"/>
  <c r="AA9" i="5"/>
  <c r="Z9" i="5"/>
  <c r="Y9" i="5"/>
  <c r="Q9" i="5"/>
  <c r="AD9" i="5" s="1"/>
  <c r="AB8" i="5"/>
  <c r="AA8" i="5"/>
  <c r="Z8" i="5"/>
  <c r="Y8" i="5"/>
  <c r="Q8" i="5"/>
  <c r="AD8" i="5" s="1"/>
  <c r="AB7" i="5"/>
  <c r="AA7" i="5"/>
  <c r="Z7" i="5"/>
  <c r="Y7" i="5"/>
  <c r="Q7" i="5"/>
  <c r="AD7" i="5" s="1"/>
  <c r="AB6" i="5"/>
  <c r="AA6" i="5"/>
  <c r="Z6" i="5"/>
  <c r="Y6" i="5"/>
  <c r="Q6" i="5"/>
  <c r="AD6" i="5" s="1"/>
  <c r="AB5" i="5"/>
  <c r="AA5" i="5"/>
  <c r="Z5" i="5"/>
  <c r="Y5" i="5"/>
  <c r="Q5" i="5"/>
  <c r="AD5" i="5" s="1"/>
  <c r="AB2" i="5"/>
  <c r="AA2" i="5"/>
  <c r="Z2" i="5"/>
  <c r="Y2" i="5"/>
  <c r="Q2" i="5"/>
  <c r="AD2" i="5" s="1"/>
  <c r="AE70" i="5" l="1"/>
  <c r="R70" i="5" s="1"/>
  <c r="AE65" i="5"/>
  <c r="R65" i="5" s="1"/>
  <c r="P69" i="5"/>
  <c r="AC3" i="5"/>
  <c r="AE3" i="5" s="1"/>
  <c r="R3" i="5" s="1"/>
  <c r="AC4" i="5"/>
  <c r="P4" i="5" s="1"/>
  <c r="AC41" i="5"/>
  <c r="P41" i="5" s="1"/>
  <c r="AC39" i="5"/>
  <c r="P39" i="5" s="1"/>
  <c r="AC37" i="5"/>
  <c r="P37" i="5" s="1"/>
  <c r="AC35" i="5"/>
  <c r="P35" i="5" s="1"/>
  <c r="AC33" i="5"/>
  <c r="P33" i="5" s="1"/>
  <c r="AC31" i="5"/>
  <c r="AE31" i="5" s="1"/>
  <c r="R31" i="5" s="1"/>
  <c r="AC29" i="5"/>
  <c r="AE29" i="5" s="1"/>
  <c r="R29" i="5" s="1"/>
  <c r="AC27" i="5"/>
  <c r="P27" i="5" s="1"/>
  <c r="AC26" i="5"/>
  <c r="P26" i="5" s="1"/>
  <c r="AC48" i="5"/>
  <c r="P48" i="5" s="1"/>
  <c r="AC52" i="5"/>
  <c r="P52" i="5" s="1"/>
  <c r="AC55" i="5"/>
  <c r="P55" i="5" s="1"/>
  <c r="AC59" i="5"/>
  <c r="P59" i="5" s="1"/>
  <c r="AC241" i="5"/>
  <c r="P241" i="5" s="1"/>
  <c r="AC251" i="5"/>
  <c r="AE251" i="5" s="1"/>
  <c r="R251" i="5" s="1"/>
  <c r="AC274" i="5"/>
  <c r="P274" i="5" s="1"/>
  <c r="AC278" i="5"/>
  <c r="AE278" i="5" s="1"/>
  <c r="R278" i="5" s="1"/>
  <c r="AC282" i="5"/>
  <c r="P282" i="5" s="1"/>
  <c r="AC286" i="5"/>
  <c r="P286" i="5" s="1"/>
  <c r="AC290" i="5"/>
  <c r="AE290" i="5" s="1"/>
  <c r="R290" i="5" s="1"/>
  <c r="AC294" i="5"/>
  <c r="P294" i="5" s="1"/>
  <c r="AC338" i="5"/>
  <c r="AE338" i="5" s="1"/>
  <c r="R338" i="5" s="1"/>
  <c r="AC18" i="5"/>
  <c r="AE18" i="5" s="1"/>
  <c r="R18" i="5" s="1"/>
  <c r="AC227" i="5"/>
  <c r="AE227" i="5" s="1"/>
  <c r="R227" i="5" s="1"/>
  <c r="AC74" i="5"/>
  <c r="P74" i="5" s="1"/>
  <c r="AC78" i="5"/>
  <c r="P78" i="5" s="1"/>
  <c r="AC82" i="5"/>
  <c r="P82" i="5" s="1"/>
  <c r="AC86" i="5"/>
  <c r="AE86" i="5" s="1"/>
  <c r="R86" i="5" s="1"/>
  <c r="AC90" i="5"/>
  <c r="P90" i="5" s="1"/>
  <c r="AC94" i="5"/>
  <c r="P94" i="5" s="1"/>
  <c r="AC98" i="5"/>
  <c r="P98" i="5" s="1"/>
  <c r="AC102" i="5"/>
  <c r="AE102" i="5" s="1"/>
  <c r="R102" i="5" s="1"/>
  <c r="AC106" i="5"/>
  <c r="P106" i="5" s="1"/>
  <c r="AC110" i="5"/>
  <c r="AE110" i="5" s="1"/>
  <c r="R110" i="5" s="1"/>
  <c r="AC114" i="5"/>
  <c r="P114" i="5" s="1"/>
  <c r="AC118" i="5"/>
  <c r="AE118" i="5" s="1"/>
  <c r="R118" i="5" s="1"/>
  <c r="AC122" i="5"/>
  <c r="P122" i="5" s="1"/>
  <c r="AC126" i="5"/>
  <c r="P126" i="5" s="1"/>
  <c r="AC130" i="5"/>
  <c r="P130" i="5" s="1"/>
  <c r="AC134" i="5"/>
  <c r="P134" i="5" s="1"/>
  <c r="AC138" i="5"/>
  <c r="P138" i="5" s="1"/>
  <c r="AC142" i="5"/>
  <c r="P142" i="5" s="1"/>
  <c r="AC146" i="5"/>
  <c r="P146" i="5" s="1"/>
  <c r="AC150" i="5"/>
  <c r="P150" i="5" s="1"/>
  <c r="AC154" i="5"/>
  <c r="P154" i="5" s="1"/>
  <c r="AC158" i="5"/>
  <c r="AE158" i="5" s="1"/>
  <c r="R158" i="5" s="1"/>
  <c r="AC162" i="5"/>
  <c r="AE162" i="5" s="1"/>
  <c r="R162" i="5" s="1"/>
  <c r="AC166" i="5"/>
  <c r="P166" i="5" s="1"/>
  <c r="AC170" i="5"/>
  <c r="AE170" i="5" s="1"/>
  <c r="R170" i="5" s="1"/>
  <c r="AC174" i="5"/>
  <c r="P174" i="5" s="1"/>
  <c r="AC178" i="5"/>
  <c r="P178" i="5" s="1"/>
  <c r="AC182" i="5"/>
  <c r="AE182" i="5" s="1"/>
  <c r="R182" i="5" s="1"/>
  <c r="AC186" i="5"/>
  <c r="AE186" i="5" s="1"/>
  <c r="R186" i="5" s="1"/>
  <c r="AC8" i="5"/>
  <c r="P8" i="5" s="1"/>
  <c r="AC45" i="5"/>
  <c r="P45" i="5" s="1"/>
  <c r="AC64" i="5"/>
  <c r="P64" i="5" s="1"/>
  <c r="AC68" i="5"/>
  <c r="AE68" i="5" s="1"/>
  <c r="R68" i="5" s="1"/>
  <c r="AC211" i="5"/>
  <c r="P211" i="5" s="1"/>
  <c r="AC225" i="5"/>
  <c r="P225" i="5" s="1"/>
  <c r="AC235" i="5"/>
  <c r="AE235" i="5" s="1"/>
  <c r="R235" i="5" s="1"/>
  <c r="AC259" i="5"/>
  <c r="P259" i="5" s="1"/>
  <c r="AC42" i="5"/>
  <c r="AE42" i="5" s="1"/>
  <c r="R42" i="5" s="1"/>
  <c r="AC61" i="5"/>
  <c r="P61" i="5" s="1"/>
  <c r="AC195" i="5"/>
  <c r="AE195" i="5" s="1"/>
  <c r="R195" i="5" s="1"/>
  <c r="AC209" i="5"/>
  <c r="P209" i="5" s="1"/>
  <c r="AC219" i="5"/>
  <c r="P219" i="5" s="1"/>
  <c r="AC30" i="5"/>
  <c r="P30" i="5" s="1"/>
  <c r="AC193" i="5"/>
  <c r="AE193" i="5" s="1"/>
  <c r="R193" i="5" s="1"/>
  <c r="AC203" i="5"/>
  <c r="P203" i="5" s="1"/>
  <c r="AC243" i="5"/>
  <c r="P243" i="5" s="1"/>
  <c r="AC253" i="5"/>
  <c r="P253" i="5" s="1"/>
  <c r="AC21" i="5"/>
  <c r="AE21" i="5" s="1"/>
  <c r="R21" i="5" s="1"/>
  <c r="AC46" i="5"/>
  <c r="P46" i="5" s="1"/>
  <c r="AC99" i="5"/>
  <c r="P99" i="5" s="1"/>
  <c r="AC103" i="5"/>
  <c r="AE103" i="5" s="1"/>
  <c r="R103" i="5" s="1"/>
  <c r="AC107" i="5"/>
  <c r="AE107" i="5" s="1"/>
  <c r="R107" i="5" s="1"/>
  <c r="AC111" i="5"/>
  <c r="AE111" i="5" s="1"/>
  <c r="R111" i="5" s="1"/>
  <c r="AC115" i="5"/>
  <c r="AE115" i="5" s="1"/>
  <c r="R115" i="5" s="1"/>
  <c r="AC119" i="5"/>
  <c r="P119" i="5" s="1"/>
  <c r="AC123" i="5"/>
  <c r="AE123" i="5" s="1"/>
  <c r="R123" i="5" s="1"/>
  <c r="AC127" i="5"/>
  <c r="AE127" i="5" s="1"/>
  <c r="R127" i="5" s="1"/>
  <c r="AC131" i="5"/>
  <c r="P131" i="5" s="1"/>
  <c r="AC135" i="5"/>
  <c r="P135" i="5" s="1"/>
  <c r="AC139" i="5"/>
  <c r="AE139" i="5" s="1"/>
  <c r="R139" i="5" s="1"/>
  <c r="AC143" i="5"/>
  <c r="P143" i="5" s="1"/>
  <c r="AC147" i="5"/>
  <c r="P147" i="5" s="1"/>
  <c r="AC151" i="5"/>
  <c r="P151" i="5" s="1"/>
  <c r="AC155" i="5"/>
  <c r="P155" i="5" s="1"/>
  <c r="AC201" i="5"/>
  <c r="AE201" i="5" s="1"/>
  <c r="R201" i="5" s="1"/>
  <c r="AC217" i="5"/>
  <c r="AE217" i="5" s="1"/>
  <c r="R217" i="5" s="1"/>
  <c r="AC233" i="5"/>
  <c r="P233" i="5" s="1"/>
  <c r="AC49" i="5"/>
  <c r="P49" i="5" s="1"/>
  <c r="AC36" i="5"/>
  <c r="AE36" i="5" s="1"/>
  <c r="R36" i="5" s="1"/>
  <c r="AC43" i="5"/>
  <c r="AE43" i="5" s="1"/>
  <c r="R43" i="5" s="1"/>
  <c r="AC71" i="5"/>
  <c r="P71" i="5" s="1"/>
  <c r="AC75" i="5"/>
  <c r="AE75" i="5" s="1"/>
  <c r="R75" i="5" s="1"/>
  <c r="AC79" i="5"/>
  <c r="P79" i="5" s="1"/>
  <c r="AC83" i="5"/>
  <c r="AC87" i="5"/>
  <c r="AE87" i="5" s="1"/>
  <c r="R87" i="5" s="1"/>
  <c r="AC91" i="5"/>
  <c r="P91" i="5" s="1"/>
  <c r="AC95" i="5"/>
  <c r="P95" i="5" s="1"/>
  <c r="AC9" i="5"/>
  <c r="P9" i="5" s="1"/>
  <c r="AC13" i="5"/>
  <c r="P13" i="5" s="1"/>
  <c r="AC19" i="5"/>
  <c r="AE19" i="5" s="1"/>
  <c r="R19" i="5" s="1"/>
  <c r="AC23" i="5"/>
  <c r="P23" i="5" s="1"/>
  <c r="AC58" i="5"/>
  <c r="P58" i="5" s="1"/>
  <c r="AC62" i="5"/>
  <c r="AE62" i="5" s="1"/>
  <c r="R62" i="5" s="1"/>
  <c r="AC257" i="5"/>
  <c r="AE257" i="5" s="1"/>
  <c r="R257" i="5" s="1"/>
  <c r="AC260" i="5"/>
  <c r="P260" i="5" s="1"/>
  <c r="AC263" i="5"/>
  <c r="P263" i="5" s="1"/>
  <c r="AC6" i="5"/>
  <c r="AE6" i="5" s="1"/>
  <c r="R6" i="5" s="1"/>
  <c r="AC11" i="5"/>
  <c r="P11" i="5" s="1"/>
  <c r="AC14" i="5"/>
  <c r="P14" i="5" s="1"/>
  <c r="AC32" i="5"/>
  <c r="P32" i="5" s="1"/>
  <c r="AC38" i="5"/>
  <c r="P38" i="5" s="1"/>
  <c r="AC44" i="5"/>
  <c r="P44" i="5" s="1"/>
  <c r="AC50" i="5"/>
  <c r="P50" i="5" s="1"/>
  <c r="AC53" i="5"/>
  <c r="P53" i="5" s="1"/>
  <c r="AC56" i="5"/>
  <c r="P56" i="5" s="1"/>
  <c r="AC60" i="5"/>
  <c r="P60" i="5" s="1"/>
  <c r="AC66" i="5"/>
  <c r="P66" i="5" s="1"/>
  <c r="AC72" i="5"/>
  <c r="AE72" i="5" s="1"/>
  <c r="R72" i="5" s="1"/>
  <c r="AC76" i="5"/>
  <c r="P76" i="5" s="1"/>
  <c r="AC80" i="5"/>
  <c r="AC84" i="5"/>
  <c r="P84" i="5" s="1"/>
  <c r="AC88" i="5"/>
  <c r="P88" i="5" s="1"/>
  <c r="AC92" i="5"/>
  <c r="P92" i="5" s="1"/>
  <c r="AC96" i="5"/>
  <c r="AC100" i="5"/>
  <c r="AE100" i="5" s="1"/>
  <c r="R100" i="5" s="1"/>
  <c r="AC104" i="5"/>
  <c r="AE104" i="5" s="1"/>
  <c r="R104" i="5" s="1"/>
  <c r="AC108" i="5"/>
  <c r="P108" i="5" s="1"/>
  <c r="AC112" i="5"/>
  <c r="AE112" i="5" s="1"/>
  <c r="R112" i="5" s="1"/>
  <c r="AC116" i="5"/>
  <c r="P116" i="5" s="1"/>
  <c r="AC120" i="5"/>
  <c r="AE120" i="5" s="1"/>
  <c r="R120" i="5" s="1"/>
  <c r="AC124" i="5"/>
  <c r="P124" i="5" s="1"/>
  <c r="AC128" i="5"/>
  <c r="AE128" i="5" s="1"/>
  <c r="R128" i="5" s="1"/>
  <c r="AC132" i="5"/>
  <c r="P132" i="5" s="1"/>
  <c r="AC136" i="5"/>
  <c r="P136" i="5" s="1"/>
  <c r="AC140" i="5"/>
  <c r="P140" i="5" s="1"/>
  <c r="AC144" i="5"/>
  <c r="P144" i="5" s="1"/>
  <c r="AC148" i="5"/>
  <c r="P148" i="5" s="1"/>
  <c r="AC152" i="5"/>
  <c r="P152" i="5" s="1"/>
  <c r="AC191" i="5"/>
  <c r="AE191" i="5" s="1"/>
  <c r="R191" i="5" s="1"/>
  <c r="AC199" i="5"/>
  <c r="AE199" i="5" s="1"/>
  <c r="R199" i="5" s="1"/>
  <c r="AC207" i="5"/>
  <c r="P207" i="5" s="1"/>
  <c r="AC215" i="5"/>
  <c r="AE215" i="5" s="1"/>
  <c r="R215" i="5" s="1"/>
  <c r="AC223" i="5"/>
  <c r="AE223" i="5" s="1"/>
  <c r="R223" i="5" s="1"/>
  <c r="AC231" i="5"/>
  <c r="AE231" i="5" s="1"/>
  <c r="R231" i="5" s="1"/>
  <c r="AC239" i="5"/>
  <c r="AE239" i="5" s="1"/>
  <c r="R239" i="5" s="1"/>
  <c r="AC247" i="5"/>
  <c r="P247" i="5" s="1"/>
  <c r="AC255" i="5"/>
  <c r="P255" i="5" s="1"/>
  <c r="AC249" i="5"/>
  <c r="P249" i="5" s="1"/>
  <c r="AC7" i="5"/>
  <c r="P7" i="5" s="1"/>
  <c r="AC12" i="5"/>
  <c r="AE12" i="5" s="1"/>
  <c r="R12" i="5" s="1"/>
  <c r="AC15" i="5"/>
  <c r="P15" i="5" s="1"/>
  <c r="AC20" i="5"/>
  <c r="P20" i="5" s="1"/>
  <c r="AC28" i="5"/>
  <c r="AE28" i="5" s="1"/>
  <c r="R28" i="5" s="1"/>
  <c r="AC34" i="5"/>
  <c r="AE34" i="5" s="1"/>
  <c r="R34" i="5" s="1"/>
  <c r="AC40" i="5"/>
  <c r="P40" i="5" s="1"/>
  <c r="AC47" i="5"/>
  <c r="P47" i="5" s="1"/>
  <c r="AC51" i="5"/>
  <c r="P51" i="5" s="1"/>
  <c r="AC54" i="5"/>
  <c r="P54" i="5" s="1"/>
  <c r="AC57" i="5"/>
  <c r="P57" i="5" s="1"/>
  <c r="AC63" i="5"/>
  <c r="P63" i="5" s="1"/>
  <c r="AC67" i="5"/>
  <c r="AE67" i="5" s="1"/>
  <c r="R67" i="5" s="1"/>
  <c r="AC73" i="5"/>
  <c r="P73" i="5" s="1"/>
  <c r="AC77" i="5"/>
  <c r="P77" i="5" s="1"/>
  <c r="AC81" i="5"/>
  <c r="AE81" i="5" s="1"/>
  <c r="R81" i="5" s="1"/>
  <c r="AC85" i="5"/>
  <c r="AC89" i="5"/>
  <c r="P89" i="5" s="1"/>
  <c r="AC93" i="5"/>
  <c r="P93" i="5" s="1"/>
  <c r="AC97" i="5"/>
  <c r="AE97" i="5" s="1"/>
  <c r="R97" i="5" s="1"/>
  <c r="AC101" i="5"/>
  <c r="P101" i="5" s="1"/>
  <c r="AC105" i="5"/>
  <c r="AE105" i="5" s="1"/>
  <c r="R105" i="5" s="1"/>
  <c r="AC109" i="5"/>
  <c r="P109" i="5" s="1"/>
  <c r="AC113" i="5"/>
  <c r="AE113" i="5" s="1"/>
  <c r="R113" i="5" s="1"/>
  <c r="AC117" i="5"/>
  <c r="AE117" i="5" s="1"/>
  <c r="R117" i="5" s="1"/>
  <c r="AC121" i="5"/>
  <c r="P121" i="5" s="1"/>
  <c r="AC125" i="5"/>
  <c r="P125" i="5" s="1"/>
  <c r="AC129" i="5"/>
  <c r="AE129" i="5" s="1"/>
  <c r="R129" i="5" s="1"/>
  <c r="AC133" i="5"/>
  <c r="AE133" i="5" s="1"/>
  <c r="R133" i="5" s="1"/>
  <c r="AC137" i="5"/>
  <c r="P137" i="5" s="1"/>
  <c r="AC141" i="5"/>
  <c r="P141" i="5" s="1"/>
  <c r="AC145" i="5"/>
  <c r="AE145" i="5" s="1"/>
  <c r="R145" i="5" s="1"/>
  <c r="AC149" i="5"/>
  <c r="AE149" i="5" s="1"/>
  <c r="R149" i="5" s="1"/>
  <c r="AC153" i="5"/>
  <c r="P153" i="5" s="1"/>
  <c r="AC157" i="5"/>
  <c r="P157" i="5" s="1"/>
  <c r="AC161" i="5"/>
  <c r="AE161" i="5" s="1"/>
  <c r="R161" i="5" s="1"/>
  <c r="AC165" i="5"/>
  <c r="AE165" i="5" s="1"/>
  <c r="R165" i="5" s="1"/>
  <c r="AC169" i="5"/>
  <c r="P169" i="5" s="1"/>
  <c r="AC173" i="5"/>
  <c r="P173" i="5" s="1"/>
  <c r="AC177" i="5"/>
  <c r="AE177" i="5" s="1"/>
  <c r="R177" i="5" s="1"/>
  <c r="AC181" i="5"/>
  <c r="P181" i="5" s="1"/>
  <c r="AC185" i="5"/>
  <c r="AE185" i="5" s="1"/>
  <c r="R185" i="5" s="1"/>
  <c r="AC189" i="5"/>
  <c r="AE189" i="5" s="1"/>
  <c r="R189" i="5" s="1"/>
  <c r="AC197" i="5"/>
  <c r="P197" i="5" s="1"/>
  <c r="AC205" i="5"/>
  <c r="AE205" i="5" s="1"/>
  <c r="R205" i="5" s="1"/>
  <c r="AC213" i="5"/>
  <c r="AE213" i="5" s="1"/>
  <c r="R213" i="5" s="1"/>
  <c r="AC221" i="5"/>
  <c r="P221" i="5" s="1"/>
  <c r="AC229" i="5"/>
  <c r="P229" i="5" s="1"/>
  <c r="AC237" i="5"/>
  <c r="P237" i="5" s="1"/>
  <c r="AC245" i="5"/>
  <c r="AE245" i="5" s="1"/>
  <c r="R245" i="5" s="1"/>
  <c r="AC265" i="5"/>
  <c r="AE265" i="5" s="1"/>
  <c r="R265" i="5" s="1"/>
  <c r="AC269" i="5"/>
  <c r="P269" i="5" s="1"/>
  <c r="AC273" i="5"/>
  <c r="P273" i="5" s="1"/>
  <c r="AC277" i="5"/>
  <c r="P277" i="5" s="1"/>
  <c r="AC281" i="5"/>
  <c r="AE281" i="5" s="1"/>
  <c r="R281" i="5" s="1"/>
  <c r="AC285" i="5"/>
  <c r="AE285" i="5" s="1"/>
  <c r="R285" i="5" s="1"/>
  <c r="AC289" i="5"/>
  <c r="P289" i="5" s="1"/>
  <c r="AC293" i="5"/>
  <c r="P293" i="5" s="1"/>
  <c r="AC297" i="5"/>
  <c r="AE297" i="5" s="1"/>
  <c r="R297" i="5" s="1"/>
  <c r="AC301" i="5"/>
  <c r="P301" i="5" s="1"/>
  <c r="AC305" i="5"/>
  <c r="P305" i="5" s="1"/>
  <c r="AC309" i="5"/>
  <c r="P309" i="5" s="1"/>
  <c r="AC313" i="5"/>
  <c r="AE313" i="5" s="1"/>
  <c r="R313" i="5" s="1"/>
  <c r="AC317" i="5"/>
  <c r="P317" i="5" s="1"/>
  <c r="AC321" i="5"/>
  <c r="AE321" i="5" s="1"/>
  <c r="R321" i="5" s="1"/>
  <c r="AC325" i="5"/>
  <c r="AE325" i="5" s="1"/>
  <c r="R325" i="5" s="1"/>
  <c r="AC329" i="5"/>
  <c r="AE329" i="5" s="1"/>
  <c r="R329" i="5" s="1"/>
  <c r="AC333" i="5"/>
  <c r="P333" i="5" s="1"/>
  <c r="AC337" i="5"/>
  <c r="P337" i="5" s="1"/>
  <c r="AC159" i="5"/>
  <c r="AE159" i="5" s="1"/>
  <c r="R159" i="5" s="1"/>
  <c r="AC163" i="5"/>
  <c r="AE163" i="5" s="1"/>
  <c r="R163" i="5" s="1"/>
  <c r="AC167" i="5"/>
  <c r="AE167" i="5" s="1"/>
  <c r="R167" i="5" s="1"/>
  <c r="AC171" i="5"/>
  <c r="P171" i="5" s="1"/>
  <c r="AC175" i="5"/>
  <c r="AE175" i="5" s="1"/>
  <c r="R175" i="5" s="1"/>
  <c r="AC179" i="5"/>
  <c r="AE179" i="5" s="1"/>
  <c r="R179" i="5" s="1"/>
  <c r="AC183" i="5"/>
  <c r="AE183" i="5" s="1"/>
  <c r="R183" i="5" s="1"/>
  <c r="AC187" i="5"/>
  <c r="AE187" i="5" s="1"/>
  <c r="R187" i="5" s="1"/>
  <c r="AC267" i="5"/>
  <c r="AE267" i="5" s="1"/>
  <c r="R267" i="5" s="1"/>
  <c r="AC271" i="5"/>
  <c r="AE271" i="5" s="1"/>
  <c r="R271" i="5" s="1"/>
  <c r="AC275" i="5"/>
  <c r="AE275" i="5" s="1"/>
  <c r="R275" i="5" s="1"/>
  <c r="AC279" i="5"/>
  <c r="AE279" i="5" s="1"/>
  <c r="R279" i="5" s="1"/>
  <c r="AC283" i="5"/>
  <c r="P283" i="5" s="1"/>
  <c r="AC287" i="5"/>
  <c r="P287" i="5" s="1"/>
  <c r="AC291" i="5"/>
  <c r="P291" i="5" s="1"/>
  <c r="AC295" i="5"/>
  <c r="P295" i="5" s="1"/>
  <c r="AC299" i="5"/>
  <c r="AE299" i="5" s="1"/>
  <c r="R299" i="5" s="1"/>
  <c r="AC303" i="5"/>
  <c r="AE303" i="5" s="1"/>
  <c r="R303" i="5" s="1"/>
  <c r="AC307" i="5"/>
  <c r="AE307" i="5" s="1"/>
  <c r="R307" i="5" s="1"/>
  <c r="AC311" i="5"/>
  <c r="P311" i="5" s="1"/>
  <c r="AC315" i="5"/>
  <c r="AE315" i="5" s="1"/>
  <c r="R315" i="5" s="1"/>
  <c r="AC319" i="5"/>
  <c r="AE319" i="5" s="1"/>
  <c r="R319" i="5" s="1"/>
  <c r="AC323" i="5"/>
  <c r="AE323" i="5" s="1"/>
  <c r="R323" i="5" s="1"/>
  <c r="AC327" i="5"/>
  <c r="P327" i="5" s="1"/>
  <c r="AC331" i="5"/>
  <c r="P331" i="5" s="1"/>
  <c r="AC335" i="5"/>
  <c r="AE335" i="5" s="1"/>
  <c r="R335" i="5" s="1"/>
  <c r="AC156" i="5"/>
  <c r="AE156" i="5" s="1"/>
  <c r="R156" i="5" s="1"/>
  <c r="AC160" i="5"/>
  <c r="AE160" i="5" s="1"/>
  <c r="R160" i="5" s="1"/>
  <c r="AC164" i="5"/>
  <c r="AE164" i="5" s="1"/>
  <c r="R164" i="5" s="1"/>
  <c r="AC168" i="5"/>
  <c r="P168" i="5" s="1"/>
  <c r="AC172" i="5"/>
  <c r="P172" i="5" s="1"/>
  <c r="AC176" i="5"/>
  <c r="AE176" i="5" s="1"/>
  <c r="R176" i="5" s="1"/>
  <c r="AC180" i="5"/>
  <c r="AE180" i="5" s="1"/>
  <c r="R180" i="5" s="1"/>
  <c r="AC184" i="5"/>
  <c r="P184" i="5" s="1"/>
  <c r="AC188" i="5"/>
  <c r="AE188" i="5" s="1"/>
  <c r="R188" i="5" s="1"/>
  <c r="AC190" i="5"/>
  <c r="P190" i="5" s="1"/>
  <c r="AC192" i="5"/>
  <c r="P192" i="5" s="1"/>
  <c r="AC194" i="5"/>
  <c r="AE194" i="5" s="1"/>
  <c r="R194" i="5" s="1"/>
  <c r="AC196" i="5"/>
  <c r="P196" i="5" s="1"/>
  <c r="AC198" i="5"/>
  <c r="AE198" i="5" s="1"/>
  <c r="R198" i="5" s="1"/>
  <c r="AC200" i="5"/>
  <c r="P200" i="5" s="1"/>
  <c r="AC202" i="5"/>
  <c r="AE202" i="5" s="1"/>
  <c r="R202" i="5" s="1"/>
  <c r="AC204" i="5"/>
  <c r="AE204" i="5" s="1"/>
  <c r="R204" i="5" s="1"/>
  <c r="AC206" i="5"/>
  <c r="AE206" i="5" s="1"/>
  <c r="R206" i="5" s="1"/>
  <c r="AC208" i="5"/>
  <c r="AE208" i="5" s="1"/>
  <c r="R208" i="5" s="1"/>
  <c r="AC210" i="5"/>
  <c r="AE210" i="5" s="1"/>
  <c r="R210" i="5" s="1"/>
  <c r="AC212" i="5"/>
  <c r="P212" i="5" s="1"/>
  <c r="AC214" i="5"/>
  <c r="P214" i="5" s="1"/>
  <c r="AC216" i="5"/>
  <c r="P216" i="5" s="1"/>
  <c r="AC218" i="5"/>
  <c r="AE218" i="5" s="1"/>
  <c r="R218" i="5" s="1"/>
  <c r="AC220" i="5"/>
  <c r="AE220" i="5" s="1"/>
  <c r="R220" i="5" s="1"/>
  <c r="AC222" i="5"/>
  <c r="P222" i="5" s="1"/>
  <c r="AC224" i="5"/>
  <c r="P224" i="5" s="1"/>
  <c r="AC226" i="5"/>
  <c r="AE226" i="5" s="1"/>
  <c r="R226" i="5" s="1"/>
  <c r="AC228" i="5"/>
  <c r="P228" i="5" s="1"/>
  <c r="AC230" i="5"/>
  <c r="P230" i="5" s="1"/>
  <c r="AC232" i="5"/>
  <c r="AE232" i="5" s="1"/>
  <c r="R232" i="5" s="1"/>
  <c r="AC234" i="5"/>
  <c r="AE234" i="5" s="1"/>
  <c r="R234" i="5" s="1"/>
  <c r="AC236" i="5"/>
  <c r="AE236" i="5" s="1"/>
  <c r="R236" i="5" s="1"/>
  <c r="AC238" i="5"/>
  <c r="AE238" i="5" s="1"/>
  <c r="R238" i="5" s="1"/>
  <c r="AC240" i="5"/>
  <c r="P240" i="5" s="1"/>
  <c r="AC242" i="5"/>
  <c r="AE242" i="5" s="1"/>
  <c r="R242" i="5" s="1"/>
  <c r="AC244" i="5"/>
  <c r="P244" i="5" s="1"/>
  <c r="AC246" i="5"/>
  <c r="P246" i="5" s="1"/>
  <c r="AC248" i="5"/>
  <c r="AE248" i="5" s="1"/>
  <c r="R248" i="5" s="1"/>
  <c r="AC250" i="5"/>
  <c r="AE250" i="5" s="1"/>
  <c r="R250" i="5" s="1"/>
  <c r="AC252" i="5"/>
  <c r="AE252" i="5" s="1"/>
  <c r="R252" i="5" s="1"/>
  <c r="AC254" i="5"/>
  <c r="P254" i="5" s="1"/>
  <c r="AC256" i="5"/>
  <c r="P256" i="5" s="1"/>
  <c r="AC258" i="5"/>
  <c r="P258" i="5" s="1"/>
  <c r="AC261" i="5"/>
  <c r="AE261" i="5" s="1"/>
  <c r="R261" i="5" s="1"/>
  <c r="AC276" i="5"/>
  <c r="AE276" i="5" s="1"/>
  <c r="R276" i="5" s="1"/>
  <c r="AC280" i="5"/>
  <c r="AE280" i="5" s="1"/>
  <c r="R280" i="5" s="1"/>
  <c r="AC284" i="5"/>
  <c r="AE284" i="5" s="1"/>
  <c r="R284" i="5" s="1"/>
  <c r="AC288" i="5"/>
  <c r="P288" i="5" s="1"/>
  <c r="AC292" i="5"/>
  <c r="P292" i="5" s="1"/>
  <c r="AC5" i="5"/>
  <c r="P5" i="5" s="1"/>
  <c r="AC2" i="5"/>
  <c r="P2" i="5" s="1"/>
  <c r="P180" i="5"/>
  <c r="AE241" i="5"/>
  <c r="R241" i="5" s="1"/>
  <c r="AE259" i="5"/>
  <c r="R259" i="5" s="1"/>
  <c r="AC266" i="5"/>
  <c r="AC264" i="5"/>
  <c r="AC268" i="5"/>
  <c r="AC270" i="5"/>
  <c r="AC272" i="5"/>
  <c r="AC262" i="5"/>
  <c r="AC296" i="5"/>
  <c r="AC298" i="5"/>
  <c r="AC300" i="5"/>
  <c r="AC302" i="5"/>
  <c r="AC304" i="5"/>
  <c r="AC306" i="5"/>
  <c r="AC308" i="5"/>
  <c r="AC310" i="5"/>
  <c r="AC312" i="5"/>
  <c r="AC314" i="5"/>
  <c r="AC316" i="5"/>
  <c r="AC318" i="5"/>
  <c r="AC320" i="5"/>
  <c r="AC322" i="5"/>
  <c r="AC324" i="5"/>
  <c r="AC326" i="5"/>
  <c r="AC328" i="5"/>
  <c r="AC330" i="5"/>
  <c r="AC332" i="5"/>
  <c r="AC334" i="5"/>
  <c r="AC336" i="5"/>
  <c r="AE76" i="5" l="1"/>
  <c r="R76" i="5" s="1"/>
  <c r="AE333" i="5"/>
  <c r="R333" i="5" s="1"/>
  <c r="AE96" i="5"/>
  <c r="R96" i="5" s="1"/>
  <c r="P96" i="5"/>
  <c r="AE85" i="5"/>
  <c r="R85" i="5" s="1"/>
  <c r="P85" i="5"/>
  <c r="AE83" i="5"/>
  <c r="R83" i="5" s="1"/>
  <c r="P83" i="5"/>
  <c r="AE80" i="5"/>
  <c r="R80" i="5" s="1"/>
  <c r="P80" i="5"/>
  <c r="P3" i="5"/>
  <c r="AE4" i="5"/>
  <c r="R4" i="5" s="1"/>
  <c r="AE64" i="5"/>
  <c r="R64" i="5" s="1"/>
  <c r="AE286" i="5"/>
  <c r="R286" i="5" s="1"/>
  <c r="AE247" i="5"/>
  <c r="R247" i="5" s="1"/>
  <c r="AE53" i="5"/>
  <c r="R53" i="5" s="1"/>
  <c r="AE60" i="5"/>
  <c r="R60" i="5" s="1"/>
  <c r="AE46" i="5"/>
  <c r="R46" i="5" s="1"/>
  <c r="AE49" i="5"/>
  <c r="R49" i="5" s="1"/>
  <c r="AE55" i="5"/>
  <c r="R55" i="5" s="1"/>
  <c r="AE51" i="5"/>
  <c r="R51" i="5" s="1"/>
  <c r="AE48" i="5"/>
  <c r="R48" i="5" s="1"/>
  <c r="AE94" i="5"/>
  <c r="R94" i="5" s="1"/>
  <c r="AE41" i="5"/>
  <c r="R41" i="5" s="1"/>
  <c r="P213" i="5"/>
  <c r="AE57" i="5"/>
  <c r="R57" i="5" s="1"/>
  <c r="AE293" i="5"/>
  <c r="R293" i="5" s="1"/>
  <c r="AE137" i="5"/>
  <c r="R137" i="5" s="1"/>
  <c r="P315" i="5"/>
  <c r="AE216" i="5"/>
  <c r="R216" i="5" s="1"/>
  <c r="P185" i="5"/>
  <c r="AE178" i="5"/>
  <c r="R178" i="5" s="1"/>
  <c r="AE114" i="5"/>
  <c r="R114" i="5" s="1"/>
  <c r="P193" i="5"/>
  <c r="AE166" i="5"/>
  <c r="R166" i="5" s="1"/>
  <c r="AE152" i="5"/>
  <c r="R152" i="5" s="1"/>
  <c r="AE98" i="5"/>
  <c r="R98" i="5" s="1"/>
  <c r="P176" i="5"/>
  <c r="P280" i="5"/>
  <c r="P299" i="5"/>
  <c r="AE256" i="5"/>
  <c r="R256" i="5" s="1"/>
  <c r="P245" i="5"/>
  <c r="AE169" i="5"/>
  <c r="R169" i="5" s="1"/>
  <c r="AE240" i="5"/>
  <c r="R240" i="5" s="1"/>
  <c r="AE192" i="5"/>
  <c r="R192" i="5" s="1"/>
  <c r="P201" i="5"/>
  <c r="P175" i="5"/>
  <c r="P105" i="5"/>
  <c r="AE108" i="5"/>
  <c r="R108" i="5" s="1"/>
  <c r="AE44" i="5"/>
  <c r="R44" i="5" s="1"/>
  <c r="AE143" i="5"/>
  <c r="R143" i="5" s="1"/>
  <c r="AE309" i="5"/>
  <c r="R309" i="5" s="1"/>
  <c r="P267" i="5"/>
  <c r="AE225" i="5"/>
  <c r="R225" i="5" s="1"/>
  <c r="AE171" i="5"/>
  <c r="R171" i="5" s="1"/>
  <c r="AE146" i="5"/>
  <c r="R146" i="5" s="1"/>
  <c r="P162" i="5"/>
  <c r="AE89" i="5"/>
  <c r="R89" i="5" s="1"/>
  <c r="P111" i="5"/>
  <c r="P68" i="5"/>
  <c r="AE39" i="5"/>
  <c r="R39" i="5" s="1"/>
  <c r="AE142" i="5"/>
  <c r="R142" i="5" s="1"/>
  <c r="P158" i="5"/>
  <c r="P338" i="5"/>
  <c r="P325" i="5"/>
  <c r="AE283" i="5"/>
  <c r="R283" i="5" s="1"/>
  <c r="AE282" i="5"/>
  <c r="R282" i="5" s="1"/>
  <c r="P232" i="5"/>
  <c r="P208" i="5"/>
  <c r="P223" i="5"/>
  <c r="AE209" i="5"/>
  <c r="R209" i="5" s="1"/>
  <c r="P191" i="5"/>
  <c r="P159" i="5"/>
  <c r="P164" i="5"/>
  <c r="AE140" i="5"/>
  <c r="R140" i="5" s="1"/>
  <c r="AE174" i="5"/>
  <c r="R174" i="5" s="1"/>
  <c r="AE121" i="5"/>
  <c r="R121" i="5" s="1"/>
  <c r="AE73" i="5"/>
  <c r="R73" i="5" s="1"/>
  <c r="AE99" i="5"/>
  <c r="R99" i="5" s="1"/>
  <c r="AE92" i="5"/>
  <c r="R92" i="5" s="1"/>
  <c r="AE126" i="5"/>
  <c r="R126" i="5" s="1"/>
  <c r="P110" i="5"/>
  <c r="AE78" i="5"/>
  <c r="R78" i="5" s="1"/>
  <c r="AE58" i="5"/>
  <c r="R58" i="5" s="1"/>
  <c r="P127" i="5"/>
  <c r="AE277" i="5"/>
  <c r="R277" i="5" s="1"/>
  <c r="AE331" i="5"/>
  <c r="R331" i="5" s="1"/>
  <c r="P248" i="5"/>
  <c r="AE224" i="5"/>
  <c r="R224" i="5" s="1"/>
  <c r="AE200" i="5"/>
  <c r="R200" i="5" s="1"/>
  <c r="AE255" i="5"/>
  <c r="R255" i="5" s="1"/>
  <c r="AE203" i="5"/>
  <c r="R203" i="5" s="1"/>
  <c r="AE184" i="5"/>
  <c r="R184" i="5" s="1"/>
  <c r="AE153" i="5"/>
  <c r="R153" i="5" s="1"/>
  <c r="AE124" i="5"/>
  <c r="R124" i="5" s="1"/>
  <c r="AE23" i="5"/>
  <c r="R23" i="5" s="1"/>
  <c r="AE37" i="5"/>
  <c r="R37" i="5" s="1"/>
  <c r="AE337" i="5"/>
  <c r="R337" i="5" s="1"/>
  <c r="AE292" i="5"/>
  <c r="R292" i="5" s="1"/>
  <c r="AE311" i="5"/>
  <c r="R311" i="5" s="1"/>
  <c r="P198" i="5"/>
  <c r="P165" i="5"/>
  <c r="P133" i="5"/>
  <c r="AE35" i="5"/>
  <c r="R35" i="5" s="1"/>
  <c r="AE327" i="5"/>
  <c r="R327" i="5" s="1"/>
  <c r="AE222" i="5"/>
  <c r="R222" i="5" s="1"/>
  <c r="P206" i="5"/>
  <c r="AE181" i="5"/>
  <c r="R181" i="5" s="1"/>
  <c r="P187" i="5"/>
  <c r="P149" i="5"/>
  <c r="AE101" i="5"/>
  <c r="R101" i="5" s="1"/>
  <c r="AE88" i="5"/>
  <c r="R88" i="5" s="1"/>
  <c r="AE295" i="5"/>
  <c r="R295" i="5" s="1"/>
  <c r="AE254" i="5"/>
  <c r="R254" i="5" s="1"/>
  <c r="P235" i="5"/>
  <c r="P195" i="5"/>
  <c r="P12" i="5"/>
  <c r="P120" i="5"/>
  <c r="P104" i="5"/>
  <c r="AE130" i="5"/>
  <c r="R130" i="5" s="1"/>
  <c r="AE52" i="5"/>
  <c r="R52" i="5" s="1"/>
  <c r="P18" i="5"/>
  <c r="AE289" i="5"/>
  <c r="R289" i="5" s="1"/>
  <c r="AE274" i="5"/>
  <c r="R274" i="5" s="1"/>
  <c r="AE237" i="5"/>
  <c r="R237" i="5" s="1"/>
  <c r="AE54" i="5"/>
  <c r="R54" i="5" s="1"/>
  <c r="AE56" i="5"/>
  <c r="R56" i="5" s="1"/>
  <c r="P21" i="5"/>
  <c r="AE305" i="5"/>
  <c r="R305" i="5" s="1"/>
  <c r="AE190" i="5"/>
  <c r="R190" i="5" s="1"/>
  <c r="P251" i="5"/>
  <c r="P321" i="5"/>
  <c r="AE273" i="5"/>
  <c r="R273" i="5" s="1"/>
  <c r="AE230" i="5"/>
  <c r="R230" i="5" s="1"/>
  <c r="P215" i="5"/>
  <c r="P205" i="5"/>
  <c r="P160" i="5"/>
  <c r="P117" i="5"/>
  <c r="P107" i="5"/>
  <c r="AE82" i="5"/>
  <c r="R82" i="5" s="1"/>
  <c r="AE33" i="5"/>
  <c r="R33" i="5" s="1"/>
  <c r="AE243" i="5"/>
  <c r="R243" i="5" s="1"/>
  <c r="AE26" i="5"/>
  <c r="R26" i="5" s="1"/>
  <c r="P284" i="5"/>
  <c r="P290" i="5"/>
  <c r="AE173" i="5"/>
  <c r="R173" i="5" s="1"/>
  <c r="AE79" i="5"/>
  <c r="R79" i="5" s="1"/>
  <c r="AE27" i="5"/>
  <c r="R27" i="5" s="1"/>
  <c r="P31" i="5"/>
  <c r="P238" i="5"/>
  <c r="AE219" i="5"/>
  <c r="R219" i="5" s="1"/>
  <c r="AE211" i="5"/>
  <c r="R211" i="5" s="1"/>
  <c r="P179" i="5"/>
  <c r="AE134" i="5"/>
  <c r="R134" i="5" s="1"/>
  <c r="AE47" i="5"/>
  <c r="R47" i="5" s="1"/>
  <c r="P329" i="5"/>
  <c r="P199" i="5"/>
  <c r="AE144" i="5"/>
  <c r="R144" i="5" s="1"/>
  <c r="P182" i="5"/>
  <c r="AE9" i="5"/>
  <c r="R9" i="5" s="1"/>
  <c r="P43" i="5"/>
  <c r="P210" i="5"/>
  <c r="P202" i="5"/>
  <c r="P128" i="5"/>
  <c r="P112" i="5"/>
  <c r="P86" i="5"/>
  <c r="P29" i="5"/>
  <c r="P275" i="5"/>
  <c r="P242" i="5"/>
  <c r="P234" i="5"/>
  <c r="P189" i="5"/>
  <c r="AE253" i="5"/>
  <c r="R253" i="5" s="1"/>
  <c r="AE229" i="5"/>
  <c r="R229" i="5" s="1"/>
  <c r="P163" i="5"/>
  <c r="AE168" i="5"/>
  <c r="R168" i="5" s="1"/>
  <c r="AE109" i="5"/>
  <c r="R109" i="5" s="1"/>
  <c r="P97" i="5"/>
  <c r="AE59" i="5"/>
  <c r="R59" i="5" s="1"/>
  <c r="AE147" i="5"/>
  <c r="R147" i="5" s="1"/>
  <c r="P118" i="5"/>
  <c r="P42" i="5"/>
  <c r="P115" i="5"/>
  <c r="P281" i="5"/>
  <c r="P323" i="5"/>
  <c r="AE260" i="5"/>
  <c r="R260" i="5" s="1"/>
  <c r="P227" i="5"/>
  <c r="P177" i="5"/>
  <c r="AE138" i="5"/>
  <c r="R138" i="5" s="1"/>
  <c r="AE93" i="5"/>
  <c r="R93" i="5" s="1"/>
  <c r="AE66" i="5"/>
  <c r="R66" i="5" s="1"/>
  <c r="AE50" i="5"/>
  <c r="R50" i="5" s="1"/>
  <c r="P102" i="5"/>
  <c r="AE8" i="5"/>
  <c r="R8" i="5" s="1"/>
  <c r="AE317" i="5"/>
  <c r="R317" i="5" s="1"/>
  <c r="P307" i="5"/>
  <c r="AE291" i="5"/>
  <c r="R291" i="5" s="1"/>
  <c r="AE294" i="5"/>
  <c r="R294" i="5" s="1"/>
  <c r="P278" i="5"/>
  <c r="P161" i="5"/>
  <c r="AE154" i="5"/>
  <c r="R154" i="5" s="1"/>
  <c r="P145" i="5"/>
  <c r="P81" i="5"/>
  <c r="AE122" i="5"/>
  <c r="R122" i="5" s="1"/>
  <c r="AE106" i="5"/>
  <c r="R106" i="5" s="1"/>
  <c r="AE90" i="5"/>
  <c r="R90" i="5" s="1"/>
  <c r="AE74" i="5"/>
  <c r="R74" i="5" s="1"/>
  <c r="AE135" i="5"/>
  <c r="R135" i="5" s="1"/>
  <c r="P103" i="5"/>
  <c r="P313" i="5"/>
  <c r="AE301" i="5"/>
  <c r="R301" i="5" s="1"/>
  <c r="AE269" i="5"/>
  <c r="R269" i="5" s="1"/>
  <c r="AE258" i="5"/>
  <c r="R258" i="5" s="1"/>
  <c r="P250" i="5"/>
  <c r="P226" i="5"/>
  <c r="P218" i="5"/>
  <c r="P194" i="5"/>
  <c r="P271" i="5"/>
  <c r="AE263" i="5"/>
  <c r="R263" i="5" s="1"/>
  <c r="AE233" i="5"/>
  <c r="R233" i="5" s="1"/>
  <c r="P217" i="5"/>
  <c r="AE197" i="5"/>
  <c r="R197" i="5" s="1"/>
  <c r="AE157" i="5"/>
  <c r="R157" i="5" s="1"/>
  <c r="P186" i="5"/>
  <c r="P170" i="5"/>
  <c r="AE141" i="5"/>
  <c r="R141" i="5" s="1"/>
  <c r="P129" i="5"/>
  <c r="AE77" i="5"/>
  <c r="R77" i="5" s="1"/>
  <c r="P67" i="5"/>
  <c r="AE7" i="5"/>
  <c r="R7" i="5" s="1"/>
  <c r="AE131" i="5"/>
  <c r="R131" i="5" s="1"/>
  <c r="P87" i="5"/>
  <c r="AE61" i="5"/>
  <c r="R61" i="5" s="1"/>
  <c r="AE45" i="5"/>
  <c r="R45" i="5" s="1"/>
  <c r="P297" i="5"/>
  <c r="P285" i="5"/>
  <c r="P265" i="5"/>
  <c r="AE249" i="5"/>
  <c r="R249" i="5" s="1"/>
  <c r="P231" i="5"/>
  <c r="AE221" i="5"/>
  <c r="R221" i="5" s="1"/>
  <c r="AE150" i="5"/>
  <c r="R150" i="5" s="1"/>
  <c r="AE125" i="5"/>
  <c r="R125" i="5" s="1"/>
  <c r="P113" i="5"/>
  <c r="AE63" i="5"/>
  <c r="R63" i="5" s="1"/>
  <c r="AE119" i="5"/>
  <c r="R119" i="5" s="1"/>
  <c r="AE71" i="5"/>
  <c r="R71" i="5" s="1"/>
  <c r="AE151" i="5"/>
  <c r="R151" i="5" s="1"/>
  <c r="P62" i="5"/>
  <c r="AE40" i="5"/>
  <c r="R40" i="5" s="1"/>
  <c r="AE38" i="5"/>
  <c r="R38" i="5" s="1"/>
  <c r="P36" i="5"/>
  <c r="P34" i="5"/>
  <c r="AE30" i="5"/>
  <c r="R30" i="5" s="1"/>
  <c r="P28" i="5"/>
  <c r="P276" i="5"/>
  <c r="P279" i="5"/>
  <c r="AE214" i="5"/>
  <c r="R214" i="5" s="1"/>
  <c r="P257" i="5"/>
  <c r="P72" i="5"/>
  <c r="AE95" i="5"/>
  <c r="R95" i="5" s="1"/>
  <c r="AE246" i="5"/>
  <c r="R246" i="5" s="1"/>
  <c r="AE136" i="5"/>
  <c r="R136" i="5" s="1"/>
  <c r="AE11" i="5"/>
  <c r="R11" i="5" s="1"/>
  <c r="AE20" i="5"/>
  <c r="R20" i="5" s="1"/>
  <c r="AE15" i="5"/>
  <c r="R15" i="5" s="1"/>
  <c r="AE14" i="5"/>
  <c r="R14" i="5" s="1"/>
  <c r="AE13" i="5"/>
  <c r="R13" i="5" s="1"/>
  <c r="AE288" i="5"/>
  <c r="R288" i="5" s="1"/>
  <c r="P261" i="5"/>
  <c r="AE244" i="5"/>
  <c r="R244" i="5" s="1"/>
  <c r="AE228" i="5"/>
  <c r="R228" i="5" s="1"/>
  <c r="AE212" i="5"/>
  <c r="R212" i="5" s="1"/>
  <c r="AE196" i="5"/>
  <c r="R196" i="5" s="1"/>
  <c r="P239" i="5"/>
  <c r="P156" i="5"/>
  <c r="P19" i="5"/>
  <c r="AE132" i="5"/>
  <c r="R132" i="5" s="1"/>
  <c r="AE116" i="5"/>
  <c r="R116" i="5" s="1"/>
  <c r="AE84" i="5"/>
  <c r="R84" i="5" s="1"/>
  <c r="AE32" i="5"/>
  <c r="R32" i="5" s="1"/>
  <c r="AE91" i="5"/>
  <c r="R91" i="5" s="1"/>
  <c r="P335" i="5"/>
  <c r="P319" i="5"/>
  <c r="P303" i="5"/>
  <c r="AE287" i="5"/>
  <c r="R287" i="5" s="1"/>
  <c r="P252" i="5"/>
  <c r="P236" i="5"/>
  <c r="P220" i="5"/>
  <c r="P204" i="5"/>
  <c r="P188" i="5"/>
  <c r="AE207" i="5"/>
  <c r="R207" i="5" s="1"/>
  <c r="P183" i="5"/>
  <c r="P167" i="5"/>
  <c r="AE172" i="5"/>
  <c r="R172" i="5" s="1"/>
  <c r="AE148" i="5"/>
  <c r="R148" i="5" s="1"/>
  <c r="AE155" i="5"/>
  <c r="R155" i="5" s="1"/>
  <c r="P75" i="5"/>
  <c r="P100" i="5"/>
  <c r="P6" i="5"/>
  <c r="P139" i="5"/>
  <c r="P123" i="5"/>
  <c r="AE5" i="5"/>
  <c r="R5" i="5" s="1"/>
  <c r="AE2" i="5"/>
  <c r="R2" i="5" s="1"/>
  <c r="P318" i="5"/>
  <c r="AE318" i="5"/>
  <c r="R318" i="5" s="1"/>
  <c r="P302" i="5"/>
  <c r="AE302" i="5"/>
  <c r="R302" i="5" s="1"/>
  <c r="AE262" i="5"/>
  <c r="R262" i="5" s="1"/>
  <c r="P262" i="5"/>
  <c r="P264" i="5"/>
  <c r="AE264" i="5"/>
  <c r="R264" i="5" s="1"/>
  <c r="P332" i="5"/>
  <c r="AE332" i="5"/>
  <c r="R332" i="5" s="1"/>
  <c r="P324" i="5"/>
  <c r="AE324" i="5"/>
  <c r="R324" i="5" s="1"/>
  <c r="P316" i="5"/>
  <c r="AE316" i="5"/>
  <c r="R316" i="5" s="1"/>
  <c r="P308" i="5"/>
  <c r="AE308" i="5"/>
  <c r="R308" i="5" s="1"/>
  <c r="P300" i="5"/>
  <c r="AE300" i="5"/>
  <c r="R300" i="5" s="1"/>
  <c r="P272" i="5"/>
  <c r="AE272" i="5"/>
  <c r="R272" i="5" s="1"/>
  <c r="P266" i="5"/>
  <c r="AE266" i="5"/>
  <c r="R266" i="5" s="1"/>
  <c r="P326" i="5"/>
  <c r="AE326" i="5"/>
  <c r="R326" i="5" s="1"/>
  <c r="P322" i="5"/>
  <c r="AE322" i="5"/>
  <c r="R322" i="5" s="1"/>
  <c r="P306" i="5"/>
  <c r="AE306" i="5"/>
  <c r="R306" i="5" s="1"/>
  <c r="P270" i="5"/>
  <c r="AE270" i="5"/>
  <c r="R270" i="5" s="1"/>
  <c r="P334" i="5"/>
  <c r="AE334" i="5"/>
  <c r="R334" i="5" s="1"/>
  <c r="P310" i="5"/>
  <c r="AE310" i="5"/>
  <c r="R310" i="5" s="1"/>
  <c r="P330" i="5"/>
  <c r="AE330" i="5"/>
  <c r="R330" i="5" s="1"/>
  <c r="P314" i="5"/>
  <c r="AE314" i="5"/>
  <c r="R314" i="5" s="1"/>
  <c r="P298" i="5"/>
  <c r="AE298" i="5"/>
  <c r="R298" i="5" s="1"/>
  <c r="P336" i="5"/>
  <c r="AE336" i="5"/>
  <c r="R336" i="5" s="1"/>
  <c r="P328" i="5"/>
  <c r="AE328" i="5"/>
  <c r="R328" i="5" s="1"/>
  <c r="P320" i="5"/>
  <c r="AE320" i="5"/>
  <c r="R320" i="5" s="1"/>
  <c r="P312" i="5"/>
  <c r="AE312" i="5"/>
  <c r="R312" i="5" s="1"/>
  <c r="P304" i="5"/>
  <c r="AE304" i="5"/>
  <c r="R304" i="5" s="1"/>
  <c r="P296" i="5"/>
  <c r="AE296" i="5"/>
  <c r="R296" i="5" s="1"/>
  <c r="P268" i="5"/>
  <c r="AE268" i="5"/>
  <c r="R268" i="5" s="1"/>
</calcChain>
</file>

<file path=xl/sharedStrings.xml><?xml version="1.0" encoding="utf-8"?>
<sst xmlns="http://schemas.openxmlformats.org/spreadsheetml/2006/main" count="2050" uniqueCount="1001">
  <si>
    <t>Asset</t>
  </si>
  <si>
    <t>Threat type</t>
  </si>
  <si>
    <t>Security Attribute</t>
  </si>
  <si>
    <t>Damage Scenario</t>
  </si>
  <si>
    <t>Attack Path</t>
  </si>
  <si>
    <t>Attack vector</t>
  </si>
  <si>
    <t>Attack Vector Note / Motiv</t>
  </si>
  <si>
    <t>Safety Impact</t>
  </si>
  <si>
    <t>Safety Note / Motiv</t>
  </si>
  <si>
    <t>Financial Impact</t>
  </si>
  <si>
    <t>Financial Note / Motiv</t>
  </si>
  <si>
    <t>Operational Impact</t>
  </si>
  <si>
    <t>Operational Note / Motiv</t>
  </si>
  <si>
    <t>Privacy and Legislative Impact</t>
  </si>
  <si>
    <t>Privacy Note / Motiv</t>
  </si>
  <si>
    <t>Severity Level</t>
  </si>
  <si>
    <t>Feasibility Level</t>
  </si>
  <si>
    <t>Risk Value</t>
  </si>
  <si>
    <t>Treatment Options</t>
  </si>
  <si>
    <t>Measures</t>
  </si>
  <si>
    <t>Affected Design Elements</t>
  </si>
  <si>
    <t>Justification (Treatment)</t>
  </si>
  <si>
    <t>Cybersecurity Goals</t>
  </si>
  <si>
    <t>s</t>
  </si>
  <si>
    <t>f</t>
  </si>
  <si>
    <t>o</t>
  </si>
  <si>
    <t>p</t>
  </si>
  <si>
    <t>impact</t>
  </si>
  <si>
    <t>feasibility val</t>
  </si>
  <si>
    <t>Risk score</t>
  </si>
  <si>
    <t>DENM Management  Container- StationType</t>
  </si>
  <si>
    <t>Tampering</t>
  </si>
  <si>
    <t>Integrity</t>
  </si>
  <si>
    <t>The sender changes the StationType between two consecutive DENMs.</t>
  </si>
  <si>
    <t>The attacker needs access to a legitimate or compromised OBU (On-Board Unit) in the vehicle.</t>
  </si>
  <si>
    <t>Network</t>
  </si>
  <si>
    <t>This attack involves manipulating the message content (StationType) within the communication network.</t>
  </si>
  <si>
    <t>Negligible</t>
  </si>
  <si>
    <t>No immediate safety impact, but misclassification may affect priority-based decision-making.</t>
  </si>
  <si>
    <t>Moderate</t>
  </si>
  <si>
    <t>The impact is minimal and does not lead to substantial losses or any financial threat to the organization.</t>
  </si>
  <si>
    <r>
      <t xml:space="preserve">It could cause </t>
    </r>
    <r>
      <rPr>
        <b/>
        <sz val="10"/>
        <color rgb="FF000000"/>
        <rFont val="Arial"/>
        <scheme val="minor"/>
      </rPr>
      <t>minor disruption</t>
    </r>
    <r>
      <rPr>
        <sz val="10"/>
        <color rgb="FF000000"/>
        <rFont val="Arial"/>
        <scheme val="minor"/>
      </rPr>
      <t xml:space="preserve"> or annoyance if the wrong vehicle type is displayed, but it does not affect core functions.</t>
    </r>
  </si>
  <si>
    <r>
      <t xml:space="preserve">Changing the </t>
    </r>
    <r>
      <rPr>
        <b/>
        <sz val="10"/>
        <color rgb="FF000000"/>
        <rFont val="Arial"/>
        <family val="2"/>
        <scheme val="minor"/>
      </rPr>
      <t>StationType</t>
    </r>
    <r>
      <rPr>
        <sz val="10"/>
        <color rgb="FF000000"/>
        <rFont val="Arial"/>
        <family val="2"/>
        <scheme val="minor"/>
      </rPr>
      <t xml:space="preserve"> in a DENM does not involve any privacy-sensitive data (e.g., driver or vehicle-specific information) nor does it directly violate legislation.</t>
    </r>
  </si>
  <si>
    <t>Mitigation</t>
  </si>
  <si>
    <t>CAM message verification, Digital Signatures, Anomaly Detection, Rate Limiting, Trust-Based Filtering</t>
  </si>
  <si>
    <t>Authentication (PKI, Certificates), Message Parsing, Trust Management, CAM Validation, Security Policies, Autonomous Decision-Making</t>
  </si>
  <si>
    <t>Low impact but needs cryptographic checks and cross-verification with CAM messages.</t>
  </si>
  <si>
    <t>Spoofing</t>
  </si>
  <si>
    <t>The attacker alters the StationType field to falsely represent a roadside unit (RSU) as a vehicle or vice versa, misleading receiving ITS stations about the event source.</t>
  </si>
  <si>
    <t>Attacker gains network access to the vehicle or RSU communication module to manipulate the StationType field before DENM is broadcasted.</t>
  </si>
  <si>
    <t>The attacker intends to cause confusion or degrade trust in communication by falsifying the origin of hazard information.</t>
  </si>
  <si>
    <t>Misinformation regarding the station type could cause moderate confusion among drivers, reducing effective responses to hazards.</t>
  </si>
  <si>
    <t>Financial damage is minimal, mainly associated with operational inefficiencies and minor reputational concerns manageable by the organization.</t>
  </si>
  <si>
    <t>Operational inefficiencies due to misallocated attention or minor rerouting resulting from incorrect station type identification.</t>
  </si>
  <si>
    <t>Minimal legislative concerns, no significant privacy violations as StationType does not directly involve sensitive user data.</t>
  </si>
  <si>
    <t>Cryptographic authentication and integrity checks on DENM messages.Station type verification protocols to validate incoming message authenticity.Anomaly detection systems monitoring unusual patterns of station type reporting.</t>
  </si>
  <si>
    <t>OBU and RSU message authentication modules.Backend validation systems for StationType verification.Monitoring and logging mechanisms.</t>
  </si>
  <si>
    <t>Accurate identification of message origin is critical for maintaining operational efficiency, hazard response reliability, and trustworthiness of the V2X communication system.</t>
  </si>
  <si>
    <t>Integrity, Authenticity, Non-repudiation.</t>
  </si>
  <si>
    <t>Information disclosure</t>
  </si>
  <si>
    <t>Confidentiality</t>
  </si>
  <si>
    <t>An attacker modifies the StationType to falsely identify a regular vehicle or RSU as an emergency vehicle (e.g., ambulance, police car), resulting in incorrect prioritization or response by other vehicles and infrastructure.</t>
  </si>
  <si>
    <t>Attacker remotely compromises vehicle or RSU communications to inject altered StationType value indicating an emergency vehicle.</t>
  </si>
  <si>
    <t>Attacker aims to disrupt traffic flow, obtain illegitimate traffic priority, or cause emergency response confusion.</t>
  </si>
  <si>
    <t>Major</t>
  </si>
  <si>
    <t>False emergency notifications may lead to sudden braking, confusion, or increased collision risks, potentially resulting in severe injuries.</t>
  </si>
  <si>
    <t>Substantial financial implications due to liability from potential accidents, significant reputational damage, and increased insurance premiums for stakeholders.</t>
  </si>
  <si>
    <t>Major operational disruption caused by unnecessary yielding, incorrect rerouting, and reduced efficiency of emergency response services.</t>
  </si>
  <si>
    <t>Unauthorized alteration of StationType, especially impersonating an emergency or special-purpose vehicle, is a serious privacy and confidentiality breach. This could lead to legal consequences, regulatory actions, and potential media attention.</t>
  </si>
  <si>
    <t>Implement stringent cryptographic verification of messages, particularly for special StationTypes (e.g., emergency vehicles).Enhanced access control and authentication measures for systems permitted to broadcast high-priority messages.Behavioral analytics to detect unexpected use of emergency-related StationTypes.</t>
  </si>
  <si>
    <t>Authentication and validation modules on OBUs and RSUs.Backend traffic management and monitoring systems.Emergency vehicle priority management systems.</t>
  </si>
  <si>
    <t>Ensuring authenticity of emergency vehicle messages is essential to maintaining public safety, operational traffic management, and preventing malicious exploitation of high-priority status.</t>
  </si>
  <si>
    <t>Integrity, Authenticity, Non-repudiation, Availability.</t>
  </si>
  <si>
    <t>DENM Message Container</t>
  </si>
  <si>
    <t>Denial of service</t>
  </si>
  <si>
    <t>Availability</t>
  </si>
  <si>
    <t>Set a very small TxInterval</t>
  </si>
  <si>
    <r>
      <t xml:space="preserve">The attacker </t>
    </r>
    <r>
      <rPr>
        <b/>
        <sz val="10"/>
        <color rgb="FF000000"/>
        <rFont val="Arial"/>
        <family val="2"/>
        <scheme val="minor"/>
      </rPr>
      <t>gains access</t>
    </r>
    <r>
      <rPr>
        <sz val="10"/>
        <color rgb="FF000000"/>
        <rFont val="Arial"/>
        <family val="2"/>
        <scheme val="minor"/>
      </rPr>
      <t xml:space="preserve"> to the OBU software or message generation system.</t>
    </r>
  </si>
  <si>
    <t>This attack modifies the transmission interval of DENMs, which occurs within the network layer responsible for message dissemination.</t>
  </si>
  <si>
    <t>Network congestion may delay safety-critical messages, affecting V2X efficiency and reaction times.</t>
  </si>
  <si>
    <r>
      <t xml:space="preserve">The organization might incur </t>
    </r>
    <r>
      <rPr>
        <b/>
        <sz val="10"/>
        <color rgb="FF000000"/>
        <rFont val="Arial"/>
        <scheme val="minor"/>
      </rPr>
      <t>minor additional costs</t>
    </r>
    <r>
      <rPr>
        <sz val="10"/>
        <color rgb="FF000000"/>
        <rFont val="Arial"/>
        <scheme val="minor"/>
      </rPr>
      <t xml:space="preserve"> related to bandwidth and network management</t>
    </r>
  </si>
  <si>
    <r>
      <t>while V2X network congestion can occur, vehicle operations remain unaffected</t>
    </r>
    <r>
      <rPr>
        <sz val="10"/>
        <color rgb="FF000000"/>
        <rFont val="Times New Roman"/>
        <family val="1"/>
      </rPr>
      <t>.</t>
    </r>
  </si>
  <si>
    <r>
      <t xml:space="preserve">The attack does </t>
    </r>
    <r>
      <rPr>
        <b/>
        <sz val="10"/>
        <color rgb="FF000000"/>
        <rFont val="Arial"/>
        <family val="2"/>
        <scheme val="minor"/>
      </rPr>
      <t>not involve personal data</t>
    </r>
    <r>
      <rPr>
        <sz val="10"/>
        <color rgb="FF000000"/>
        <rFont val="Arial"/>
        <family val="2"/>
        <scheme val="minor"/>
      </rPr>
      <t xml:space="preserve"> or </t>
    </r>
    <r>
      <rPr>
        <b/>
        <sz val="10"/>
        <color rgb="FF000000"/>
        <rFont val="Arial"/>
        <family val="2"/>
        <scheme val="minor"/>
      </rPr>
      <t>compromise legal compliance</t>
    </r>
    <r>
      <rPr>
        <sz val="10"/>
        <color rgb="FF000000"/>
        <rFont val="Arial"/>
        <family val="2"/>
        <scheme val="minor"/>
      </rPr>
      <t>.</t>
    </r>
  </si>
  <si>
    <t>Min TxInterval threshold, Rate Limiting, Congestion Control, IDS for flooding detection, RSU-Based Monitoring</t>
  </si>
  <si>
    <t>Network Congestion Control, Rate-Limiting, Priority-Based Handling, IDS &amp; Anomaly Detection, OBU/RSU Processing, GeoNetworking</t>
  </si>
  <si>
    <t>Preventable by applying rate limits, congestion control, and anomaly detection.</t>
  </si>
  <si>
    <t>Set an inconsistent value of Sub-CauseCode with the context (e.g., requesting winter
service during summer)</t>
  </si>
  <si>
    <t>the attacker modifies the Sub-CauseCode through OBU before broadcasting the manipulated DENM message.</t>
  </si>
  <si>
    <r>
      <t xml:space="preserve">The attack is executed by </t>
    </r>
    <r>
      <rPr>
        <b/>
        <sz val="10"/>
        <color rgb="FF000000"/>
        <rFont val="Arial"/>
        <family val="2"/>
        <scheme val="minor"/>
      </rPr>
      <t>modifying DENM messages</t>
    </r>
    <r>
      <rPr>
        <sz val="10"/>
        <color rgb="FF000000"/>
        <rFont val="Arial"/>
        <family val="2"/>
        <scheme val="minor"/>
      </rPr>
      <t xml:space="preserve"> within the </t>
    </r>
    <r>
      <rPr>
        <b/>
        <sz val="10"/>
        <color rgb="FF000000"/>
        <rFont val="Arial"/>
        <family val="2"/>
        <scheme val="minor"/>
      </rPr>
      <t>OBU</t>
    </r>
    <r>
      <rPr>
        <sz val="10"/>
        <color rgb="FF000000"/>
        <rFont val="Arial"/>
        <family val="2"/>
        <scheme val="minor"/>
      </rPr>
      <t xml:space="preserve"> before they are broadcast over </t>
    </r>
    <r>
      <rPr>
        <b/>
        <sz val="10"/>
        <color rgb="FF000000"/>
        <rFont val="Arial"/>
        <family val="2"/>
        <scheme val="minor"/>
      </rPr>
      <t>V2X communication channels</t>
    </r>
    <r>
      <rPr>
        <sz val="10"/>
        <color rgb="FF000000"/>
        <rFont val="Arial"/>
        <family val="2"/>
        <scheme val="minor"/>
      </rPr>
      <t xml:space="preserve"> (DSRC or C-V2X).</t>
    </r>
  </si>
  <si>
    <r>
      <t xml:space="preserve">The attack does </t>
    </r>
    <r>
      <rPr>
        <b/>
        <sz val="10"/>
        <color rgb="FF000000"/>
        <rFont val="Arial"/>
        <family val="2"/>
        <scheme val="minor"/>
      </rPr>
      <t>not directly threaten vehicle safety</t>
    </r>
    <r>
      <rPr>
        <sz val="10"/>
        <color rgb="FF000000"/>
        <rFont val="Arial"/>
        <family val="2"/>
        <scheme val="minor"/>
      </rPr>
      <t xml:space="preserve">, it can cause </t>
    </r>
    <r>
      <rPr>
        <b/>
        <sz val="10"/>
        <color rgb="FF000000"/>
        <rFont val="Arial"/>
        <family val="2"/>
        <scheme val="minor"/>
      </rPr>
      <t>disruptions in automated decision-making</t>
    </r>
    <r>
      <rPr>
        <sz val="10"/>
        <color rgb="FF000000"/>
        <rFont val="Arial"/>
        <family val="2"/>
        <scheme val="minor"/>
      </rPr>
      <t xml:space="preserve">, </t>
    </r>
    <r>
      <rPr>
        <b/>
        <sz val="10"/>
        <color rgb="FF000000"/>
        <rFont val="Arial"/>
        <family val="2"/>
        <scheme val="minor"/>
      </rPr>
      <t>traffic inefficiencies</t>
    </r>
    <r>
      <rPr>
        <sz val="10"/>
        <color rgb="FF000000"/>
        <rFont val="Arial"/>
        <family val="2"/>
        <scheme val="minor"/>
      </rPr>
      <t xml:space="preserve">, and </t>
    </r>
    <r>
      <rPr>
        <b/>
        <sz val="10"/>
        <color rgb="FF000000"/>
        <rFont val="Arial"/>
        <family val="2"/>
        <scheme val="minor"/>
      </rPr>
      <t>misallocation of emergency resources</t>
    </r>
    <r>
      <rPr>
        <sz val="10"/>
        <color rgb="FF000000"/>
        <rFont val="Arial"/>
        <family val="2"/>
        <scheme val="minor"/>
      </rPr>
      <t>.</t>
    </r>
  </si>
  <si>
    <r>
      <t xml:space="preserve">It can lead to </t>
    </r>
    <r>
      <rPr>
        <b/>
        <sz val="10"/>
        <color rgb="FF000000"/>
        <rFont val="Arial"/>
        <family val="2"/>
        <scheme val="minor"/>
      </rPr>
      <t>waste of operational resources, traffic inefficiencies, and loss of trust in V2X technology</t>
    </r>
    <r>
      <rPr>
        <sz val="10"/>
        <color rgb="FF000000"/>
        <rFont val="Arial"/>
        <family val="2"/>
        <scheme val="minor"/>
      </rPr>
      <t xml:space="preserve">, which can </t>
    </r>
    <r>
      <rPr>
        <b/>
        <sz val="10"/>
        <color rgb="FF000000"/>
        <rFont val="Arial"/>
        <family val="2"/>
        <scheme val="minor"/>
      </rPr>
      <t>impact OEMs, fleet operators, and road authorities financially</t>
    </r>
    <r>
      <rPr>
        <sz val="10"/>
        <color rgb="FF000000"/>
        <rFont val="Arial"/>
        <family val="2"/>
        <scheme val="minor"/>
      </rPr>
      <t>.</t>
    </r>
  </si>
  <si>
    <r>
      <t xml:space="preserve">It </t>
    </r>
    <r>
      <rPr>
        <b/>
        <sz val="10"/>
        <color rgb="FF000000"/>
        <rFont val="Arial"/>
        <family val="2"/>
        <scheme val="minor"/>
      </rPr>
      <t>reduces the reliability of traffic event notifications</t>
    </r>
    <r>
      <rPr>
        <sz val="10"/>
        <color rgb="FF000000"/>
        <rFont val="Arial"/>
        <family val="2"/>
        <scheme val="minor"/>
      </rPr>
      <t xml:space="preserve">, leading to </t>
    </r>
    <r>
      <rPr>
        <b/>
        <sz val="10"/>
        <color rgb="FF000000"/>
        <rFont val="Arial"/>
        <family val="2"/>
        <scheme val="minor"/>
      </rPr>
      <t>inefficiencies in resource allocation and vehicle decision-making</t>
    </r>
    <r>
      <rPr>
        <sz val="10"/>
        <color rgb="FF000000"/>
        <rFont val="Arial"/>
        <family val="2"/>
        <scheme val="minor"/>
      </rPr>
      <t>.</t>
    </r>
  </si>
  <si>
    <r>
      <t>No direct privacy violations</t>
    </r>
    <r>
      <rPr>
        <sz val="10"/>
        <color rgb="FF000000"/>
        <rFont val="Arial"/>
        <family val="2"/>
        <scheme val="minor"/>
      </rPr>
      <t xml:space="preserve"> occur, as the attack does not involve personal data or unauthorized access.</t>
    </r>
  </si>
  <si>
    <t>Cross-validation with sensors, digital signatures, anomaly detection, trust scoring</t>
  </si>
  <si>
    <t>V2X Message Authentication &amp; Integrity (PKI, Certificates),Event Processing in Vehicles &amp; RSUs</t>
  </si>
  <si>
    <r>
      <t>Avoidance</t>
    </r>
    <r>
      <rPr>
        <sz val="10"/>
        <color rgb="FF000000"/>
        <rFont val="Arial"/>
        <family val="2"/>
        <scheme val="minor"/>
      </rPr>
      <t xml:space="preserve"> is </t>
    </r>
    <r>
      <rPr>
        <b/>
        <sz val="10"/>
        <color rgb="FF000000"/>
        <rFont val="Arial"/>
        <family val="2"/>
        <scheme val="minor"/>
      </rPr>
      <t>not feasible</t>
    </r>
    <r>
      <rPr>
        <sz val="10"/>
        <color rgb="FF000000"/>
        <rFont val="Arial"/>
        <family val="2"/>
        <scheme val="minor"/>
      </rPr>
      <t>, as DENMs are a fundamental part of V2X communication and cannot be eliminated.</t>
    </r>
  </si>
  <si>
    <r>
      <t xml:space="preserve">The attacker </t>
    </r>
    <r>
      <rPr>
        <b/>
        <sz val="10"/>
        <color rgb="FF000000"/>
        <rFont val="Arial"/>
        <family val="2"/>
        <scheme val="minor"/>
      </rPr>
      <t>modifies the CauseCode field</t>
    </r>
    <r>
      <rPr>
        <sz val="10"/>
        <color rgb="FF000000"/>
        <rFont val="Arial"/>
        <family val="2"/>
        <scheme val="minor"/>
      </rPr>
      <t xml:space="preserve"> in the </t>
    </r>
    <r>
      <rPr>
        <b/>
        <sz val="10"/>
        <color rgb="FF000000"/>
        <rFont val="Arial"/>
        <family val="2"/>
        <scheme val="minor"/>
      </rPr>
      <t>Situation Container</t>
    </r>
    <r>
      <rPr>
        <sz val="10"/>
        <color rgb="FF000000"/>
        <rFont val="Arial"/>
        <family val="2"/>
        <scheme val="minor"/>
      </rPr>
      <t xml:space="preserve"> of a DENM to provide false or misleading information.(e.g "Accident" is assigned to a simple roadwork event, possibly triggering unnecessary emergency responses.)</t>
    </r>
  </si>
  <si>
    <t>Gain Access to the OBU’s V2X Communication Stack to Exploit firmware vulnerabilities, misconfigured permissions, or debugging interfaces.</t>
  </si>
  <si>
    <r>
      <t xml:space="preserve">The attack is executed by </t>
    </r>
    <r>
      <rPr>
        <b/>
        <sz val="10"/>
        <color rgb="FF000000"/>
        <rFont val="Arial"/>
        <family val="2"/>
        <scheme val="minor"/>
      </rPr>
      <t>modifying DENM messages within the OBU</t>
    </r>
    <r>
      <rPr>
        <sz val="10"/>
        <color rgb="FF000000"/>
        <rFont val="Arial"/>
        <family val="2"/>
        <scheme val="minor"/>
      </rPr>
      <t xml:space="preserve"> before they are broadcast over </t>
    </r>
    <r>
      <rPr>
        <b/>
        <sz val="10"/>
        <color rgb="FF000000"/>
        <rFont val="Arial"/>
        <family val="2"/>
        <scheme val="minor"/>
      </rPr>
      <t>V2X communication channels</t>
    </r>
    <r>
      <rPr>
        <sz val="10"/>
        <color rgb="FF000000"/>
        <rFont val="Arial"/>
        <family val="2"/>
        <scheme val="minor"/>
      </rPr>
      <t>.</t>
    </r>
  </si>
  <si>
    <r>
      <t xml:space="preserve">False reports can </t>
    </r>
    <r>
      <rPr>
        <b/>
        <sz val="10"/>
        <color rgb="FF000000"/>
        <rFont val="Arial"/>
        <family val="2"/>
        <scheme val="minor"/>
      </rPr>
      <t>directly impact traffic safety</t>
    </r>
    <r>
      <rPr>
        <sz val="10"/>
        <color rgb="FF000000"/>
        <rFont val="Arial"/>
        <family val="2"/>
        <scheme val="minor"/>
      </rPr>
      <t xml:space="preserve">, particularly for </t>
    </r>
    <r>
      <rPr>
        <b/>
        <sz val="10"/>
        <color rgb="FF000000"/>
        <rFont val="Arial"/>
        <family val="2"/>
        <scheme val="minor"/>
      </rPr>
      <t>automated driving systems</t>
    </r>
    <r>
      <rPr>
        <sz val="10"/>
        <color rgb="FF000000"/>
        <rFont val="Arial"/>
        <family val="2"/>
        <scheme val="minor"/>
      </rPr>
      <t xml:space="preserve"> that rely on V2X data.</t>
    </r>
  </si>
  <si>
    <r>
      <t xml:space="preserve">While not catastrophic, </t>
    </r>
    <r>
      <rPr>
        <b/>
        <sz val="10"/>
        <color rgb="FF000000"/>
        <rFont val="Arial"/>
        <family val="2"/>
        <scheme val="minor"/>
      </rPr>
      <t>misallocated resources, traffic congestion, and reputation damage</t>
    </r>
    <r>
      <rPr>
        <sz val="10"/>
        <color rgb="FF000000"/>
        <rFont val="Arial"/>
        <family val="2"/>
        <scheme val="minor"/>
      </rPr>
      <t xml:space="preserve"> can lead to financial losses.</t>
    </r>
  </si>
  <si>
    <r>
      <t xml:space="preserve">The attack </t>
    </r>
    <r>
      <rPr>
        <b/>
        <sz val="10"/>
        <color rgb="FF000000"/>
        <rFont val="Arial"/>
        <family val="2"/>
        <scheme val="minor"/>
      </rPr>
      <t>does not fully disable</t>
    </r>
    <r>
      <rPr>
        <sz val="10"/>
        <color rgb="FF000000"/>
        <rFont val="Arial"/>
        <family val="2"/>
        <scheme val="minor"/>
      </rPr>
      <t xml:space="preserve"> V2X, but it can cause </t>
    </r>
    <r>
      <rPr>
        <b/>
        <sz val="10"/>
        <color rgb="FF000000"/>
        <rFont val="Arial"/>
        <family val="2"/>
        <scheme val="minor"/>
      </rPr>
      <t>significant traffic disruptions, emergency misallocations, and trust degradation</t>
    </r>
    <r>
      <rPr>
        <sz val="10"/>
        <color rgb="FF000000"/>
        <rFont val="Arial"/>
        <family val="2"/>
        <scheme val="minor"/>
      </rPr>
      <t>.</t>
    </r>
  </si>
  <si>
    <r>
      <t xml:space="preserve">No direct privacy violation, but </t>
    </r>
    <r>
      <rPr>
        <b/>
        <sz val="10"/>
        <color rgb="FF000000"/>
        <rFont val="Arial"/>
        <family val="2"/>
        <scheme val="minor"/>
      </rPr>
      <t>false emergency responses could create legal issues</t>
    </r>
    <r>
      <rPr>
        <sz val="10"/>
        <color rgb="FF000000"/>
        <rFont val="Arial"/>
        <family val="2"/>
        <scheme val="minor"/>
      </rPr>
      <t xml:space="preserve"> over time.</t>
    </r>
  </si>
  <si>
    <t>Cross-Validation with Sensor Data&amp;Message Authentication &amp; Digital Signatures</t>
  </si>
  <si>
    <t>V2X Message Authentication &amp; Integrity,Event Processing in Vehicles &amp; RSUs</t>
  </si>
  <si>
    <r>
      <t xml:space="preserve">The attacker </t>
    </r>
    <r>
      <rPr>
        <b/>
        <sz val="10"/>
        <color rgb="FF000000"/>
        <rFont val="Arial"/>
        <family val="2"/>
        <scheme val="minor"/>
      </rPr>
      <t>modifies or inserts new path points</t>
    </r>
    <r>
      <rPr>
        <sz val="10"/>
        <color rgb="FF000000"/>
        <rFont val="Arial"/>
        <family val="2"/>
        <scheme val="minor"/>
      </rPr>
      <t xml:space="preserve"> in the </t>
    </r>
    <r>
      <rPr>
        <b/>
        <sz val="10"/>
        <color rgb="FF000000"/>
        <rFont val="Arial"/>
        <family val="2"/>
        <scheme val="minor"/>
      </rPr>
      <t>Traces field</t>
    </r>
    <r>
      <rPr>
        <sz val="10"/>
        <color rgb="FF000000"/>
        <rFont val="Arial"/>
        <family val="2"/>
        <scheme val="minor"/>
      </rPr>
      <t xml:space="preserve"> within the </t>
    </r>
    <r>
      <rPr>
        <b/>
        <sz val="10"/>
        <color rgb="FF000000"/>
        <rFont val="Arial"/>
        <family val="2"/>
        <scheme val="minor"/>
      </rPr>
      <t>Location Container</t>
    </r>
    <r>
      <rPr>
        <sz val="10"/>
        <color rgb="FF000000"/>
        <rFont val="Arial"/>
        <family val="2"/>
        <scheme val="minor"/>
      </rPr>
      <t xml:space="preserve">, creating an </t>
    </r>
    <r>
      <rPr>
        <b/>
        <sz val="10"/>
        <color rgb="FF000000"/>
        <rFont val="Arial"/>
        <family val="2"/>
        <scheme val="minor"/>
      </rPr>
      <t>incorrect path history</t>
    </r>
    <r>
      <rPr>
        <sz val="10"/>
        <color rgb="FF000000"/>
        <rFont val="Arial"/>
        <family val="2"/>
        <scheme val="minor"/>
      </rPr>
      <t xml:space="preserve"> of a road event.</t>
    </r>
  </si>
  <si>
    <t>Attacker gains access to the OBU’s V2X Communication Stack to exploit firmware vulnerabilities, misconfigured permissions, or debugging interfaces.</t>
  </si>
  <si>
    <r>
      <t xml:space="preserve">False path data can </t>
    </r>
    <r>
      <rPr>
        <b/>
        <sz val="10"/>
        <color rgb="FF000000"/>
        <rFont val="Arial"/>
        <family val="2"/>
        <scheme val="minor"/>
      </rPr>
      <t>disrupt navigation and vehicle decision-making</t>
    </r>
    <r>
      <rPr>
        <sz val="10"/>
        <color rgb="FF000000"/>
        <rFont val="Arial"/>
        <family val="2"/>
        <scheme val="minor"/>
      </rPr>
      <t>, but does not directly compromise vehicle control.</t>
    </r>
  </si>
  <si>
    <t>Cross-Validation with Sensor Data,Historical Consistency Checks</t>
  </si>
  <si>
    <t>V2X Message Authentication &amp; Integrity, Event Processing in Vehicles &amp; RSUs</t>
  </si>
  <si>
    <r>
      <t xml:space="preserve">The attacker </t>
    </r>
    <r>
      <rPr>
        <b/>
        <sz val="10"/>
        <color rgb="FF000000"/>
        <rFont val="Arial"/>
        <family val="2"/>
        <scheme val="minor"/>
      </rPr>
      <t>modifies the VehicleIdentification field</t>
    </r>
    <r>
      <rPr>
        <sz val="10"/>
        <color rgb="FF000000"/>
        <rFont val="Arial"/>
        <family val="2"/>
        <scheme val="minor"/>
      </rPr>
      <t xml:space="preserve"> in the </t>
    </r>
    <r>
      <rPr>
        <b/>
        <sz val="10"/>
        <color rgb="FF000000"/>
        <rFont val="Arial"/>
        <family val="2"/>
        <scheme val="minor"/>
      </rPr>
      <t>A La Carte Container</t>
    </r>
    <r>
      <rPr>
        <sz val="10"/>
        <color rgb="FF000000"/>
        <rFont val="Arial"/>
        <family val="2"/>
        <scheme val="minor"/>
      </rPr>
      <t>, making it appear as if the DENM was sent from another legitimate vehicle.</t>
    </r>
  </si>
  <si>
    <r>
      <t xml:space="preserve">This attack </t>
    </r>
    <r>
      <rPr>
        <b/>
        <sz val="10"/>
        <color rgb="FF000000"/>
        <rFont val="Arial"/>
        <family val="2"/>
        <scheme val="minor"/>
      </rPr>
      <t>does not pose a direct safety risk</t>
    </r>
    <r>
      <rPr>
        <sz val="10"/>
        <color rgb="FF000000"/>
        <rFont val="Arial"/>
        <family val="2"/>
        <scheme val="minor"/>
      </rPr>
      <t xml:space="preserve">, but </t>
    </r>
    <r>
      <rPr>
        <b/>
        <sz val="10"/>
        <color rgb="FF000000"/>
        <rFont val="Arial"/>
        <family val="2"/>
        <scheme val="minor"/>
      </rPr>
      <t>can degrade the trust and efficiency of V2X communications</t>
    </r>
    <r>
      <rPr>
        <sz val="10"/>
        <color rgb="FF000000"/>
        <rFont val="Arial"/>
        <family val="2"/>
        <scheme val="minor"/>
      </rPr>
      <t>.</t>
    </r>
  </si>
  <si>
    <r>
      <t xml:space="preserve">The financial impact is minimal, as </t>
    </r>
    <r>
      <rPr>
        <b/>
        <sz val="10"/>
        <color rgb="FF000000"/>
        <rFont val="Arial"/>
        <family val="2"/>
        <scheme val="minor"/>
      </rPr>
      <t>the attack does not cause direct economic losses</t>
    </r>
    <r>
      <rPr>
        <sz val="10"/>
        <color rgb="FF000000"/>
        <rFont val="Arial"/>
        <family val="2"/>
        <scheme val="minor"/>
      </rPr>
      <t xml:space="preserve"> but may require </t>
    </r>
    <r>
      <rPr>
        <b/>
        <sz val="10"/>
        <color rgb="FF000000"/>
        <rFont val="Arial"/>
        <family val="2"/>
        <scheme val="minor"/>
      </rPr>
      <t>mitigation costs for improved authentication mechanisms</t>
    </r>
    <r>
      <rPr>
        <sz val="10"/>
        <color rgb="FF000000"/>
        <rFont val="Arial"/>
        <family val="2"/>
        <scheme val="minor"/>
      </rPr>
      <t>.</t>
    </r>
  </si>
  <si>
    <r>
      <t xml:space="preserve">The attack </t>
    </r>
    <r>
      <rPr>
        <b/>
        <sz val="10"/>
        <color rgb="FF000000"/>
        <rFont val="Arial"/>
        <family val="2"/>
        <scheme val="minor"/>
      </rPr>
      <t>does not fully disrupt</t>
    </r>
    <r>
      <rPr>
        <sz val="10"/>
        <color rgb="FF000000"/>
        <rFont val="Arial"/>
        <family val="2"/>
        <scheme val="minor"/>
      </rPr>
      <t xml:space="preserve"> V2X, but it can cause </t>
    </r>
    <r>
      <rPr>
        <b/>
        <sz val="10"/>
        <color rgb="FF000000"/>
        <rFont val="Arial"/>
        <family val="2"/>
        <scheme val="minor"/>
      </rPr>
      <t>trust degradation and minor disruptions in vehicle identification systems</t>
    </r>
    <r>
      <rPr>
        <sz val="10"/>
        <color rgb="FF000000"/>
        <rFont val="Arial"/>
        <family val="2"/>
        <scheme val="minor"/>
      </rPr>
      <t>.</t>
    </r>
  </si>
  <si>
    <t xml:space="preserve">Spoofing vehicle identification in V2X communications can lead to privacy violations affecting vehicle owners and operators. Impersonation of a legitimate vehicle could result in legal issues, misuse of stolen identities for unauthorized actions, and potential financial penalties for affected stakeholders. </t>
  </si>
  <si>
    <t>Public Key Infrastructure (PKI) for Vehicle Authentication</t>
  </si>
  <si>
    <t>V2X Message Authentication &amp; Integrity</t>
  </si>
  <si>
    <r>
      <t xml:space="preserve">Best approach, as authentication mechanisms can </t>
    </r>
    <r>
      <rPr>
        <b/>
        <sz val="10"/>
        <color rgb="FF000000"/>
        <rFont val="Arial"/>
        <family val="2"/>
        <scheme val="minor"/>
      </rPr>
      <t>detect and prevent identity spoofing</t>
    </r>
    <r>
      <rPr>
        <sz val="10"/>
        <color rgb="FF000000"/>
        <rFont val="Arial"/>
        <family val="2"/>
        <scheme val="minor"/>
      </rPr>
      <t>.</t>
    </r>
  </si>
  <si>
    <r>
      <t xml:space="preserve">The attacker </t>
    </r>
    <r>
      <rPr>
        <b/>
        <sz val="10"/>
        <color rgb="FF000000"/>
        <rFont val="Arial"/>
        <family val="2"/>
        <scheme val="minor"/>
      </rPr>
      <t>modifies the Lane Position field</t>
    </r>
    <r>
      <rPr>
        <sz val="10"/>
        <color rgb="FF000000"/>
        <rFont val="Arial"/>
        <family val="2"/>
        <scheme val="minor"/>
      </rPr>
      <t xml:space="preserve"> in the </t>
    </r>
    <r>
      <rPr>
        <b/>
        <sz val="10"/>
        <color rgb="FF000000"/>
        <rFont val="Arial"/>
        <family val="2"/>
        <scheme val="minor"/>
      </rPr>
      <t>A La Carte Container</t>
    </r>
    <r>
      <rPr>
        <sz val="10"/>
        <color rgb="FF000000"/>
        <rFont val="Arial"/>
        <family val="2"/>
        <scheme val="minor"/>
      </rPr>
      <t xml:space="preserve">, making it appear as if a road event (e.g., accident, road closure, stationary vehicle) is occurring in the </t>
    </r>
    <r>
      <rPr>
        <b/>
        <sz val="10"/>
        <color rgb="FF000000"/>
        <rFont val="Arial"/>
        <family val="2"/>
        <scheme val="minor"/>
      </rPr>
      <t xml:space="preserve">wrong lane or road, causing vehicles to receive incorrect hazard locations, potentially leading to accidents.
</t>
    </r>
  </si>
  <si>
    <t>Severe</t>
  </si>
  <si>
    <r>
      <t xml:space="preserve">False lane reports can </t>
    </r>
    <r>
      <rPr>
        <b/>
        <sz val="10"/>
        <color rgb="FF000000"/>
        <rFont val="Arial"/>
        <family val="2"/>
        <scheme val="minor"/>
      </rPr>
      <t>directly impact traffic safety</t>
    </r>
    <r>
      <rPr>
        <sz val="10"/>
        <color rgb="FF000000"/>
        <rFont val="Arial"/>
        <family val="2"/>
        <scheme val="minor"/>
      </rPr>
      <t xml:space="preserve">, particularly for </t>
    </r>
    <r>
      <rPr>
        <b/>
        <sz val="10"/>
        <color rgb="FF000000"/>
        <rFont val="Arial"/>
        <family val="2"/>
        <scheme val="minor"/>
      </rPr>
      <t>automated driving systems</t>
    </r>
    <r>
      <rPr>
        <sz val="10"/>
        <color rgb="FF000000"/>
        <rFont val="Arial"/>
        <family val="2"/>
        <scheme val="minor"/>
      </rPr>
      <t xml:space="preserve"> that rely on V2X data.</t>
    </r>
  </si>
  <si>
    <r>
      <t>Severe accidents</t>
    </r>
    <r>
      <rPr>
        <sz val="10"/>
        <color rgb="FF000000"/>
        <rFont val="Arial"/>
        <family val="2"/>
        <scheme val="minor"/>
      </rPr>
      <t xml:space="preserve"> due to </t>
    </r>
    <r>
      <rPr>
        <b/>
        <sz val="10"/>
        <color rgb="FF000000"/>
        <rFont val="Arial"/>
        <family val="2"/>
        <scheme val="minor"/>
      </rPr>
      <t>incorrect lane positioning</t>
    </r>
    <r>
      <rPr>
        <sz val="10"/>
        <color rgb="FF000000"/>
        <rFont val="Arial"/>
        <family val="2"/>
        <scheme val="minor"/>
      </rPr>
      <t xml:space="preserve"> could lead to </t>
    </r>
    <r>
      <rPr>
        <b/>
        <sz val="10"/>
        <color rgb="FF000000"/>
        <rFont val="Arial"/>
        <family val="2"/>
        <scheme val="minor"/>
      </rPr>
      <t>fatalities, lawsuits, regulatory fines, and reputational damage</t>
    </r>
    <r>
      <rPr>
        <sz val="10"/>
        <color rgb="FF000000"/>
        <rFont val="Arial"/>
        <family val="2"/>
        <scheme val="minor"/>
      </rPr>
      <t xml:space="preserve">, posing an </t>
    </r>
    <r>
      <rPr>
        <b/>
        <sz val="10"/>
        <color rgb="FF000000"/>
        <rFont val="Arial"/>
        <family val="2"/>
        <scheme val="minor"/>
      </rPr>
      <t>existential financial risk</t>
    </r>
    <r>
      <rPr>
        <sz val="10"/>
        <color rgb="FF000000"/>
        <rFont val="Arial"/>
        <family val="2"/>
        <scheme val="minor"/>
      </rPr>
      <t xml:space="preserve"> for OEMs and infrastructure operators.</t>
    </r>
  </si>
  <si>
    <r>
      <t xml:space="preserve">Incorrect lane positioning can </t>
    </r>
    <r>
      <rPr>
        <b/>
        <sz val="10"/>
        <color rgb="FF000000"/>
        <rFont val="Arial"/>
        <family val="2"/>
        <scheme val="minor"/>
      </rPr>
      <t>mislead vehicle control systems</t>
    </r>
    <r>
      <rPr>
        <sz val="10"/>
        <color rgb="FF000000"/>
        <rFont val="Arial"/>
        <family val="2"/>
        <scheme val="minor"/>
      </rPr>
      <t xml:space="preserve">, potentially leading to </t>
    </r>
    <r>
      <rPr>
        <b/>
        <sz val="10"/>
        <color rgb="FF000000"/>
        <rFont val="Arial"/>
        <family val="2"/>
        <scheme val="minor"/>
      </rPr>
      <t>incorrect lane changes or unsafe driving behavior</t>
    </r>
    <r>
      <rPr>
        <sz val="10"/>
        <color rgb="FF000000"/>
        <rFont val="Arial"/>
        <family val="2"/>
        <scheme val="minor"/>
      </rPr>
      <t xml:space="preserve">, severely affecting </t>
    </r>
    <r>
      <rPr>
        <b/>
        <sz val="10"/>
        <color rgb="FF000000"/>
        <rFont val="Arial"/>
        <family val="2"/>
        <scheme val="minor"/>
      </rPr>
      <t>vehicle operation and regulatory compliance</t>
    </r>
    <r>
      <rPr>
        <sz val="10"/>
        <color rgb="FF000000"/>
        <rFont val="Arial"/>
        <family val="2"/>
        <scheme val="minor"/>
      </rPr>
      <t>.</t>
    </r>
  </si>
  <si>
    <r>
      <t xml:space="preserve">No direct privacy violation, but </t>
    </r>
    <r>
      <rPr>
        <b/>
        <sz val="10"/>
        <color rgb="FF000000"/>
        <rFont val="Arial"/>
        <family val="2"/>
        <scheme val="minor"/>
      </rPr>
      <t>false lane reports could create legal concerns regarding accident liability</t>
    </r>
    <r>
      <rPr>
        <sz val="10"/>
        <color rgb="FF000000"/>
        <rFont val="Arial"/>
        <family val="2"/>
        <scheme val="minor"/>
      </rPr>
      <t>.</t>
    </r>
  </si>
  <si>
    <t>Cross-Validation with Sensor Data,Historical Consistency Checks,Message Authentication &amp; Digital Signatures</t>
  </si>
  <si>
    <r>
      <t xml:space="preserve">Authentication mechanisms can </t>
    </r>
    <r>
      <rPr>
        <b/>
        <sz val="10"/>
        <color rgb="FF000000"/>
        <rFont val="Arial"/>
        <family val="2"/>
        <scheme val="minor"/>
      </rPr>
      <t>detect and prevent lane tampering</t>
    </r>
    <r>
      <rPr>
        <sz val="10"/>
        <color rgb="FF000000"/>
        <rFont val="Arial"/>
        <family val="2"/>
        <scheme val="minor"/>
      </rPr>
      <t>.</t>
    </r>
  </si>
  <si>
    <t>Elevation of privilege</t>
  </si>
  <si>
    <r>
      <t xml:space="preserve">The attacker </t>
    </r>
    <r>
      <rPr>
        <b/>
        <sz val="10"/>
        <color rgb="FF000000"/>
        <rFont val="Arial"/>
        <scheme val="minor"/>
      </rPr>
      <t>modifies the VehicleIdentification field</t>
    </r>
    <r>
      <rPr>
        <sz val="10"/>
        <color rgb="FF000000"/>
        <rFont val="Arial"/>
        <scheme val="minor"/>
      </rPr>
      <t xml:space="preserve"> to impersonate or access resources specific to high-value or critical vehicles (e.g., emergency vehicles, luxury cars).</t>
    </r>
  </si>
  <si>
    <t>Attacker gains access to the OBU’s V2X Communication Stack to exploit firmware vulnerabilities or debugging interfaces and inject malicious software via physical access or over-the-air updates.</t>
  </si>
  <si>
    <r>
      <t xml:space="preserve">The attack is executed by </t>
    </r>
    <r>
      <rPr>
        <b/>
        <sz val="10"/>
        <color rgb="FF000000"/>
        <rFont val="Arial"/>
        <family val="2"/>
        <scheme val="minor"/>
      </rPr>
      <t>modifying outgoing DENM messages through the OBU</t>
    </r>
    <r>
      <rPr>
        <sz val="10"/>
        <color rgb="FF000000"/>
        <rFont val="Arial"/>
        <family val="2"/>
        <scheme val="minor"/>
      </rPr>
      <t xml:space="preserve">, and the </t>
    </r>
    <r>
      <rPr>
        <b/>
        <sz val="10"/>
        <color rgb="FF000000"/>
        <rFont val="Arial"/>
        <family val="2"/>
        <scheme val="minor"/>
      </rPr>
      <t>malicious messages are transmitted over the network to other entities</t>
    </r>
    <r>
      <rPr>
        <sz val="10"/>
        <color rgb="FF000000"/>
        <rFont val="Arial"/>
        <family val="2"/>
        <scheme val="minor"/>
      </rPr>
      <t>.</t>
    </r>
  </si>
  <si>
    <r>
      <t xml:space="preserve">Misuse of VehicleIdentification </t>
    </r>
    <r>
      <rPr>
        <b/>
        <sz val="10"/>
        <color rgb="FF000000"/>
        <rFont val="Arial"/>
        <family val="2"/>
        <scheme val="minor"/>
      </rPr>
      <t>can lead to severe accidents, life-threatening injuries, or fatalities</t>
    </r>
    <r>
      <rPr>
        <sz val="10"/>
        <color rgb="FF000000"/>
        <rFont val="Arial"/>
        <family val="2"/>
        <scheme val="minor"/>
      </rPr>
      <t>.</t>
    </r>
  </si>
  <si>
    <r>
      <t xml:space="preserve">Vehicle theft or misuse </t>
    </r>
    <r>
      <rPr>
        <b/>
        <sz val="10"/>
        <color rgb="FF000000"/>
        <rFont val="Arial"/>
        <family val="2"/>
        <scheme val="minor"/>
      </rPr>
      <t>can cause significant financial damage</t>
    </r>
    <r>
      <rPr>
        <sz val="10"/>
        <color rgb="FF000000"/>
        <rFont val="Arial"/>
        <family val="2"/>
        <scheme val="minor"/>
      </rPr>
      <t xml:space="preserve"> that could </t>
    </r>
    <r>
      <rPr>
        <b/>
        <sz val="10"/>
        <color rgb="FF000000"/>
        <rFont val="Arial"/>
        <family val="2"/>
        <scheme val="minor"/>
      </rPr>
      <t>threaten organizational sustainability</t>
    </r>
    <r>
      <rPr>
        <sz val="10"/>
        <color rgb="FF000000"/>
        <rFont val="Arial"/>
        <family val="2"/>
        <scheme val="minor"/>
      </rPr>
      <t>.</t>
    </r>
  </si>
  <si>
    <r>
      <t xml:space="preserve">Exploiting high-value vehicles or resource allocation mechanisms </t>
    </r>
    <r>
      <rPr>
        <b/>
        <sz val="10"/>
        <color rgb="FF000000"/>
        <rFont val="Arial"/>
        <family val="2"/>
        <scheme val="minor"/>
      </rPr>
      <t>can significantly degrade system functionality</t>
    </r>
    <r>
      <rPr>
        <sz val="10"/>
        <color rgb="FF000000"/>
        <rFont val="Arial"/>
        <family val="2"/>
        <scheme val="minor"/>
      </rPr>
      <t>.</t>
    </r>
  </si>
  <si>
    <r>
      <t xml:space="preserve">Widespread misuse of VehicleIdentification </t>
    </r>
    <r>
      <rPr>
        <b/>
        <sz val="10"/>
        <color rgb="FF000000"/>
        <rFont val="Arial"/>
        <family val="2"/>
        <scheme val="minor"/>
      </rPr>
      <t>can trigger legal consequences and media attention</t>
    </r>
    <r>
      <rPr>
        <sz val="10"/>
        <color rgb="FF000000"/>
        <rFont val="Arial"/>
        <family val="2"/>
        <scheme val="minor"/>
      </rPr>
      <t>.</t>
    </r>
  </si>
  <si>
    <t>Public Key Infrastructure (PKI) for Vehicle Authentication ,Rate Limiting for VehicleIdentification Updates</t>
  </si>
  <si>
    <t>V2X Message Authentication &amp; Integrity,Trust &amp; Reputation Systems,Event Processing in Vehicles &amp; RSUs</t>
  </si>
  <si>
    <t>Best approach, involving detection, authentication, and anomaly detection</t>
  </si>
  <si>
    <t>High Frequency (HF) Container in CAM Messages</t>
  </si>
  <si>
    <r>
      <t xml:space="preserve">An attacker </t>
    </r>
    <r>
      <rPr>
        <b/>
        <sz val="10"/>
        <color rgb="FF000000"/>
        <rFont val="Arial"/>
        <family val="2"/>
        <scheme val="minor"/>
      </rPr>
      <t>modifies the speed value within the HF container</t>
    </r>
    <r>
      <rPr>
        <sz val="10"/>
        <color rgb="FF000000"/>
        <rFont val="Arial"/>
        <family val="2"/>
        <scheme val="minor"/>
      </rPr>
      <t xml:space="preserve"> of outgoing CAM messages to falsely indicate that the vehicle ahead is moving slower or is stationary.</t>
    </r>
  </si>
  <si>
    <t>Attacker gains access to the OBU’s V2X Communication System to exploit vulnerabilities in the vehicle’s firmware or OBU and inject malicious software or commands through physical or wireless access.</t>
  </si>
  <si>
    <r>
      <t xml:space="preserve">The tampered speed value is broadcast via </t>
    </r>
    <r>
      <rPr>
        <b/>
        <sz val="10"/>
        <color rgb="FF000000"/>
        <rFont val="Arial"/>
        <family val="2"/>
        <scheme val="minor"/>
      </rPr>
      <t>compromised CAM messages over the V2X network</t>
    </r>
    <r>
      <rPr>
        <sz val="10"/>
        <color rgb="FF000000"/>
        <rFont val="Arial"/>
        <family val="2"/>
        <scheme val="minor"/>
      </rPr>
      <t>, impacting other vehicles.</t>
    </r>
  </si>
  <si>
    <r>
      <t xml:space="preserve">The HF container includes </t>
    </r>
    <r>
      <rPr>
        <b/>
        <sz val="10"/>
        <color rgb="FF000000"/>
        <rFont val="Arial"/>
        <family val="2"/>
        <scheme val="minor"/>
      </rPr>
      <t>vehicle speed</t>
    </r>
    <r>
      <rPr>
        <sz val="10"/>
        <color rgb="FF000000"/>
        <rFont val="Arial"/>
        <family val="2"/>
        <scheme val="minor"/>
      </rPr>
      <t>, critical for detecting collisions. Tampering with this can cause hard braking, evasive maneuvers, or incorrect responses, leading to life-threatening situations and potential fatalities. This risk is especially high for autonomous vehicles.</t>
    </r>
  </si>
  <si>
    <r>
      <t xml:space="preserve">Severe collisions could result in </t>
    </r>
    <r>
      <rPr>
        <b/>
        <sz val="10"/>
        <color rgb="FF000000"/>
        <rFont val="Arial"/>
        <family val="2"/>
        <scheme val="minor"/>
      </rPr>
      <t>vehicle damage</t>
    </r>
    <r>
      <rPr>
        <sz val="10"/>
        <color rgb="FF000000"/>
        <rFont val="Arial"/>
        <family val="2"/>
        <scheme val="minor"/>
      </rPr>
      <t xml:space="preserve">, </t>
    </r>
    <r>
      <rPr>
        <b/>
        <sz val="10"/>
        <color rgb="FF000000"/>
        <rFont val="Arial"/>
        <family val="2"/>
        <scheme val="minor"/>
      </rPr>
      <t>emergency response costs</t>
    </r>
    <r>
      <rPr>
        <sz val="10"/>
        <color rgb="FF000000"/>
        <rFont val="Arial"/>
        <family val="2"/>
        <scheme val="minor"/>
      </rPr>
      <t xml:space="preserve">, </t>
    </r>
    <r>
      <rPr>
        <b/>
        <sz val="10"/>
        <color rgb="FF000000"/>
        <rFont val="Arial"/>
        <family val="2"/>
        <scheme val="minor"/>
      </rPr>
      <t>legal penalties</t>
    </r>
    <r>
      <rPr>
        <sz val="10"/>
        <color rgb="FF000000"/>
        <rFont val="Arial"/>
        <family val="2"/>
        <scheme val="minor"/>
      </rPr>
      <t xml:space="preserve">, and </t>
    </r>
    <r>
      <rPr>
        <b/>
        <sz val="10"/>
        <color rgb="FF000000"/>
        <rFont val="Arial"/>
        <family val="2"/>
        <scheme val="minor"/>
      </rPr>
      <t>loss of trust in V2X technology</t>
    </r>
    <r>
      <rPr>
        <sz val="10"/>
        <color rgb="FF000000"/>
        <rFont val="Arial"/>
        <family val="2"/>
        <scheme val="minor"/>
      </rPr>
      <t>, affecting OEMs financially.</t>
    </r>
  </si>
  <si>
    <r>
      <t xml:space="preserve">Since the HF container doesn’t contain personal identifiers, the </t>
    </r>
    <r>
      <rPr>
        <b/>
        <sz val="10"/>
        <color rgb="FF000000"/>
        <rFont val="Arial"/>
        <family val="2"/>
        <scheme val="minor"/>
      </rPr>
      <t>privacy impact is low</t>
    </r>
    <r>
      <rPr>
        <sz val="10"/>
        <color rgb="FF000000"/>
        <rFont val="Arial"/>
        <family val="2"/>
        <scheme val="minor"/>
      </rPr>
      <t xml:space="preserve">, but </t>
    </r>
    <r>
      <rPr>
        <b/>
        <sz val="10"/>
        <color rgb="FF000000"/>
        <rFont val="Arial"/>
        <family val="2"/>
        <scheme val="minor"/>
      </rPr>
      <t>legal liability</t>
    </r>
    <r>
      <rPr>
        <sz val="10"/>
        <color rgb="FF000000"/>
        <rFont val="Arial"/>
        <family val="2"/>
        <scheme val="minor"/>
      </rPr>
      <t xml:space="preserve"> may arise from collisions caused by tampered data.</t>
    </r>
  </si>
  <si>
    <t>Message Authentication &amp; Digital Signatures,Anomaly Detection Systems,Cross-Validation with Onboard Sensors</t>
  </si>
  <si>
    <t>Best approach, involving message authentication, cross-verification, and anomaly detection.</t>
  </si>
  <si>
    <r>
      <t xml:space="preserve">An attacker </t>
    </r>
    <r>
      <rPr>
        <b/>
        <sz val="10"/>
        <color rgb="FF000000"/>
        <rFont val="Arial"/>
        <family val="2"/>
        <scheme val="minor"/>
      </rPr>
      <t>injects false CAM messages</t>
    </r>
    <r>
      <rPr>
        <sz val="10"/>
        <color rgb="FF000000"/>
        <rFont val="Arial"/>
        <family val="2"/>
        <scheme val="minor"/>
      </rPr>
      <t xml:space="preserve"> with incorrect position data, causing the receiving vehicle to believe that an adjacent lane is occupied when it’s actually clear or vice versa.</t>
    </r>
  </si>
  <si>
    <t>Through Externally Injected or Compromised OBU CAM Messages</t>
  </si>
  <si>
    <r>
      <t xml:space="preserve">The spoofed vehicle position is transmitted </t>
    </r>
    <r>
      <rPr>
        <b/>
        <sz val="10"/>
        <color rgb="FF000000"/>
        <rFont val="Arial"/>
        <family val="2"/>
        <scheme val="minor"/>
      </rPr>
      <t>via compromised CAM messages over the V2X network</t>
    </r>
    <r>
      <rPr>
        <sz val="10"/>
        <color rgb="FF000000"/>
        <rFont val="Arial"/>
        <family val="2"/>
        <scheme val="minor"/>
      </rPr>
      <t xml:space="preserve">, impacting the </t>
    </r>
    <r>
      <rPr>
        <b/>
        <sz val="10"/>
        <color rgb="FF000000"/>
        <rFont val="Arial"/>
        <family val="2"/>
        <scheme val="minor"/>
      </rPr>
      <t>lane change logic of other vehicles</t>
    </r>
    <r>
      <rPr>
        <sz val="10"/>
        <color rgb="FF000000"/>
        <rFont val="Arial"/>
        <family val="2"/>
        <scheme val="minor"/>
      </rPr>
      <t>.</t>
    </r>
  </si>
  <si>
    <r>
      <t xml:space="preserve">Spoofed vehicle positions can cause side collisions during lane changes, especially at high speeds or in heavy traffic. The threat is particularly critical for </t>
    </r>
    <r>
      <rPr>
        <b/>
        <sz val="10"/>
        <color rgb="FF000000"/>
        <rFont val="Arial"/>
        <family val="2"/>
        <scheme val="minor"/>
      </rPr>
      <t>autonomous and semi-autonomous vehicles</t>
    </r>
    <r>
      <rPr>
        <sz val="10"/>
        <color rgb="FF000000"/>
        <rFont val="Arial"/>
        <family val="2"/>
        <scheme val="minor"/>
      </rPr>
      <t xml:space="preserve"> relying on CAMs for situational awareness.</t>
    </r>
  </si>
  <si>
    <r>
      <t xml:space="preserve">Damage to vehicles due to side collisions could lead to repair costs, </t>
    </r>
    <r>
      <rPr>
        <b/>
        <sz val="10"/>
        <color rgb="FF000000"/>
        <rFont val="Arial"/>
        <family val="2"/>
        <scheme val="minor"/>
      </rPr>
      <t>insurance claims</t>
    </r>
    <r>
      <rPr>
        <sz val="10"/>
        <color rgb="FF000000"/>
        <rFont val="Arial"/>
        <family val="2"/>
        <scheme val="minor"/>
      </rPr>
      <t>, and legal liabilities for the OEM or vehicle owners.</t>
    </r>
  </si>
  <si>
    <r>
      <t xml:space="preserve">Incorrect lane change warnings could cause </t>
    </r>
    <r>
      <rPr>
        <b/>
        <sz val="10"/>
        <color rgb="FF000000"/>
        <rFont val="Arial"/>
        <family val="2"/>
        <scheme val="minor"/>
      </rPr>
      <t>delays or temporary traffic disruptions</t>
    </r>
    <r>
      <rPr>
        <sz val="10"/>
        <color rgb="FF000000"/>
        <rFont val="Arial"/>
        <family val="2"/>
        <scheme val="minor"/>
      </rPr>
      <t xml:space="preserve">, but these would be </t>
    </r>
    <r>
      <rPr>
        <b/>
        <sz val="10"/>
        <color rgb="FF000000"/>
        <rFont val="Arial"/>
        <family val="2"/>
        <scheme val="minor"/>
      </rPr>
      <t>localized unless multiple vehicles are affected simultaneously</t>
    </r>
    <r>
      <rPr>
        <sz val="10"/>
        <color rgb="FF000000"/>
        <rFont val="Arial"/>
        <family val="2"/>
        <scheme val="minor"/>
      </rPr>
      <t>.</t>
    </r>
  </si>
  <si>
    <r>
      <t xml:space="preserve">Limited privacy concerns, but if collisions occur, </t>
    </r>
    <r>
      <rPr>
        <b/>
        <sz val="10"/>
        <color rgb="FF000000"/>
        <rFont val="Arial"/>
        <family val="2"/>
        <scheme val="minor"/>
      </rPr>
      <t>regulatory investigations or legal action</t>
    </r>
    <r>
      <rPr>
        <sz val="10"/>
        <color rgb="FF000000"/>
        <rFont val="Arial"/>
        <family val="2"/>
        <scheme val="minor"/>
      </rPr>
      <t xml:space="preserve"> may arise due to improper handling of spoofed messages.</t>
    </r>
  </si>
  <si>
    <t>Message Authentication &amp; Digital Signatures,Cross-Validation with Onboard Sensors,Anomaly Detection Systems</t>
  </si>
  <si>
    <t>High Frequency (HF) Container,Position Verification Mechanisms,Lane Change Assistance Systems,Traffic Coordination Systems</t>
  </si>
  <si>
    <t>Best approach, involving message authentication, cross-validation, and anomaly detection.</t>
  </si>
  <si>
    <t>Basic Container in CAM Messages</t>
  </si>
  <si>
    <r>
      <t xml:space="preserve">The attacker </t>
    </r>
    <r>
      <rPr>
        <b/>
        <sz val="10"/>
        <color rgb="FF000000"/>
        <rFont val="Arial"/>
        <family val="2"/>
        <scheme val="minor"/>
      </rPr>
      <t>broadcasts CAM messages indicating that their vehicle is an emergency vehicle</t>
    </r>
    <r>
      <rPr>
        <sz val="10"/>
        <color rgb="FF000000"/>
        <rFont val="Arial"/>
        <family val="2"/>
        <scheme val="minor"/>
      </rPr>
      <t xml:space="preserve"> using a spoofed </t>
    </r>
    <r>
      <rPr>
        <b/>
        <sz val="10"/>
        <color rgb="FF000000"/>
        <rFont val="Arial"/>
        <family val="2"/>
        <scheme val="minor"/>
      </rPr>
      <t>Vehicle Role</t>
    </r>
    <r>
      <rPr>
        <sz val="10"/>
        <color rgb="FF000000"/>
        <rFont val="Arial"/>
        <family val="2"/>
        <scheme val="minor"/>
      </rPr>
      <t xml:space="preserve"> or </t>
    </r>
    <r>
      <rPr>
        <b/>
        <sz val="10"/>
        <color rgb="FF000000"/>
        <rFont val="Arial"/>
        <family val="2"/>
        <scheme val="minor"/>
      </rPr>
      <t>Vehicle Identification</t>
    </r>
    <r>
      <rPr>
        <sz val="10"/>
        <color rgb="FF000000"/>
        <rFont val="Arial"/>
        <family val="2"/>
        <scheme val="minor"/>
      </rPr>
      <t xml:space="preserve"> in the </t>
    </r>
    <r>
      <rPr>
        <b/>
        <sz val="10"/>
        <color rgb="FF000000"/>
        <rFont val="Arial"/>
        <family val="2"/>
        <scheme val="minor"/>
      </rPr>
      <t>Basic Container</t>
    </r>
    <r>
      <rPr>
        <sz val="10"/>
        <color rgb="FF000000"/>
        <rFont val="Arial"/>
        <family val="2"/>
        <scheme val="minor"/>
      </rPr>
      <t>.</t>
    </r>
  </si>
  <si>
    <t>Through Compromised OBU or Externally Spoofed CAMs</t>
  </si>
  <si>
    <r>
      <t xml:space="preserve">The spoofed emergency vehicle CAMs are transmitted over the </t>
    </r>
    <r>
      <rPr>
        <b/>
        <sz val="10"/>
        <color rgb="FF000000"/>
        <rFont val="Arial"/>
        <family val="2"/>
        <scheme val="minor"/>
      </rPr>
      <t>V2X network</t>
    </r>
    <r>
      <rPr>
        <sz val="10"/>
        <color rgb="FF000000"/>
        <rFont val="Arial"/>
        <family val="2"/>
        <scheme val="minor"/>
      </rPr>
      <t xml:space="preserve">, impacting </t>
    </r>
    <r>
      <rPr>
        <b/>
        <sz val="10"/>
        <color rgb="FF000000"/>
        <rFont val="Arial"/>
        <family val="2"/>
        <scheme val="minor"/>
      </rPr>
      <t>multiple vehicles and traffic systems</t>
    </r>
    <r>
      <rPr>
        <sz val="10"/>
        <color rgb="FF000000"/>
        <rFont val="Arial"/>
        <family val="2"/>
        <scheme val="minor"/>
      </rPr>
      <t>.</t>
    </r>
  </si>
  <si>
    <r>
      <t xml:space="preserve">Delays in yielding to actual emergency vehicles can result in </t>
    </r>
    <r>
      <rPr>
        <b/>
        <sz val="10"/>
        <color rgb="FF000000"/>
        <rFont val="Arial"/>
        <family val="2"/>
        <scheme val="minor"/>
      </rPr>
      <t>life-threatening injuries</t>
    </r>
    <r>
      <rPr>
        <sz val="10"/>
        <color rgb="FF000000"/>
        <rFont val="Arial"/>
        <family val="2"/>
        <scheme val="minor"/>
      </rPr>
      <t xml:space="preserve"> if medical or police assistance is delayed. False yielding could also cause </t>
    </r>
    <r>
      <rPr>
        <b/>
        <sz val="10"/>
        <color rgb="FF000000"/>
        <rFont val="Arial"/>
        <family val="2"/>
        <scheme val="minor"/>
      </rPr>
      <t>accidents if vehicles react incorrectly</t>
    </r>
    <r>
      <rPr>
        <sz val="10"/>
        <color rgb="FF000000"/>
        <rFont val="Arial"/>
        <family val="2"/>
        <scheme val="minor"/>
      </rPr>
      <t>.</t>
    </r>
  </si>
  <si>
    <r>
      <t xml:space="preserve">False yielding could cause </t>
    </r>
    <r>
      <rPr>
        <b/>
        <sz val="10"/>
        <color rgb="FF000000"/>
        <rFont val="Arial"/>
        <family val="2"/>
        <scheme val="minor"/>
      </rPr>
      <t>damage to vehicles</t>
    </r>
    <r>
      <rPr>
        <sz val="10"/>
        <color rgb="FF000000"/>
        <rFont val="Arial"/>
        <family val="2"/>
        <scheme val="minor"/>
      </rPr>
      <t xml:space="preserve">, </t>
    </r>
    <r>
      <rPr>
        <b/>
        <sz val="10"/>
        <color rgb="FF000000"/>
        <rFont val="Arial"/>
        <family val="2"/>
        <scheme val="minor"/>
      </rPr>
      <t>delays in goods transportation</t>
    </r>
    <r>
      <rPr>
        <sz val="10"/>
        <color rgb="FF000000"/>
        <rFont val="Arial"/>
        <family val="2"/>
        <scheme val="minor"/>
      </rPr>
      <t xml:space="preserve">, and </t>
    </r>
    <r>
      <rPr>
        <b/>
        <sz val="10"/>
        <color rgb="FF000000"/>
        <rFont val="Arial"/>
        <family val="2"/>
        <scheme val="minor"/>
      </rPr>
      <t>legal liabilities</t>
    </r>
    <r>
      <rPr>
        <sz val="10"/>
        <color rgb="FF000000"/>
        <rFont val="Arial"/>
        <family val="2"/>
        <scheme val="minor"/>
      </rPr>
      <t xml:space="preserve"> for OEMs and traffic system operators.</t>
    </r>
  </si>
  <si>
    <r>
      <t xml:space="preserve">Emergency response delays and misuse of traffic resources could cause </t>
    </r>
    <r>
      <rPr>
        <b/>
        <sz val="10"/>
        <color rgb="FF000000"/>
        <rFont val="Arial"/>
        <family val="2"/>
        <scheme val="minor"/>
      </rPr>
      <t>widespread traffic disruptions</t>
    </r>
    <r>
      <rPr>
        <sz val="10"/>
        <color rgb="FF000000"/>
        <rFont val="Arial"/>
        <family val="2"/>
        <scheme val="minor"/>
      </rPr>
      <t>.</t>
    </r>
  </si>
  <si>
    <r>
      <t>High legislative impact</t>
    </r>
    <r>
      <rPr>
        <sz val="10"/>
        <color rgb="FF000000"/>
        <rFont val="Arial"/>
        <family val="2"/>
        <scheme val="minor"/>
      </rPr>
      <t xml:space="preserve"> due to potential regulatory violations involving misuse of emergency vehicle privileges. Repeated incidents could result in </t>
    </r>
    <r>
      <rPr>
        <b/>
        <sz val="10"/>
        <color rgb="FF000000"/>
        <rFont val="Arial"/>
        <family val="2"/>
        <scheme val="minor"/>
      </rPr>
      <t>legal action against system operators or OEMs</t>
    </r>
  </si>
  <si>
    <t>Certificate-Based Authentication,Cross-Validation with Other Sensors or Traffic Cameras,SSP Permissions Enforcement</t>
  </si>
  <si>
    <t>Basic Container (Vehicle Role/Identification),V2X Message Verification &amp; Trust Mechanisms,Traffic Light Control Systems</t>
  </si>
  <si>
    <t>Best option, involving message authentication, cross-validation, and privilege-based access.</t>
  </si>
  <si>
    <t>The attacker intentionally alters the Station Type field within the Basic Container of the CAM message, switching it between valid types (e.g., from personal vehicle to public transport or infrastructure unit). This manipulation can be used to bypass access controls, filtering, or prioritization mechanisms in receiving ITS-S nodes or RSUs, allowing malicious data to be accepted or propagated.</t>
  </si>
  <si>
    <t>The attacker, having access to the ITS-S stack (via software exploit or unauthorized configuration), modifies the Station Type field during CAM composition. CAMs are then periodically sent via standard CA service routines, but now with misleading identity type, triggering wrong trust assumptions.</t>
  </si>
  <si>
    <t>Local</t>
  </si>
  <si>
    <t>The attacker has internal access to the originating ITS-S software (e.g., compromised onboard unit).</t>
  </si>
  <si>
    <t>A spoofed station type could cause traffic to respond inappropriately (e.g., yielding to a fake emergency vehicle or treating a malicious node as an RSU), potentially causing unsafe behavior.</t>
  </si>
  <si>
    <t>Minimal direct financial damage unless used as part of broader attack (e.g., toll evasion or infrastructure abuse).</t>
  </si>
  <si>
    <t>Disrupts traffic flow logic, network prioritization, and service-specific policies (e.g., rerouting, prioritization).</t>
  </si>
  <si>
    <t>Misuse of station identity can breach regulatory compliance (e.g., impersonating emergency vehicles) and may expose legal liability to OEMs or operators.</t>
  </si>
  <si>
    <t>Certificate-based authentication (ETSI TS 103 097)
Plausibility checks: e.g., does "RSU" have a fixed position and no dynamics?
Logging sudden station type changes and linking to system alerts.</t>
  </si>
  <si>
    <t>CAM CA service (generation logic)
ITS-S security credential provisioning
RSU/V2X trust policies in receivers</t>
  </si>
  <si>
    <t>Altering the StationType misleads ITS-S nodes into applying incorrect trust models, which may suppress scrutiny, prioritize malicious traffic, or trigger traffic adaptations based on false roles (e.g., route clearance for "emergency vehicle").</t>
  </si>
  <si>
    <t>G2: Message Integrity
G4: Source Authentication
G6: Message Freshness (indirectly if trust assumptions delay validation or revoke logic)</t>
  </si>
  <si>
    <t>Repudiation</t>
  </si>
  <si>
    <t>Adjacent</t>
  </si>
  <si>
    <t>The attacker might spoof messages via another nearby device that broadcasts falsified Station Type.</t>
  </si>
  <si>
    <t>Low Frequency (LF) Container in CAM messages</t>
  </si>
  <si>
    <t>An attacker modifies or injects false location data for roadworks in CAM messages, misinforming nearby vehicles and traffic systems.</t>
  </si>
  <si>
    <t>Through Compromised RSU or OBU Transmitting CAMs</t>
  </si>
  <si>
    <r>
      <t xml:space="preserve">The tampered location data is transmitted through </t>
    </r>
    <r>
      <rPr>
        <b/>
        <sz val="10"/>
        <color rgb="FF000000"/>
        <rFont val="Arial"/>
        <family val="2"/>
        <scheme val="minor"/>
      </rPr>
      <t>compromised CAM messages over the V2X network</t>
    </r>
    <r>
      <rPr>
        <sz val="10"/>
        <color rgb="FF000000"/>
        <rFont val="Arial"/>
        <family val="2"/>
        <scheme val="minor"/>
      </rPr>
      <t xml:space="preserve">, impacting </t>
    </r>
    <r>
      <rPr>
        <b/>
        <sz val="10"/>
        <color rgb="FF000000"/>
        <rFont val="Arial"/>
        <family val="2"/>
        <scheme val="minor"/>
      </rPr>
      <t>vehicles and road infrastructure systems</t>
    </r>
    <r>
      <rPr>
        <sz val="10"/>
        <color rgb="FF000000"/>
        <rFont val="Arial"/>
        <family val="2"/>
        <scheme val="minor"/>
      </rPr>
      <t>.</t>
    </r>
  </si>
  <si>
    <r>
      <t xml:space="preserve">Incorrect roadwork warnings could cause vehicles to </t>
    </r>
    <r>
      <rPr>
        <b/>
        <sz val="10"/>
        <color rgb="FF000000"/>
        <rFont val="Arial"/>
        <family val="2"/>
        <scheme val="minor"/>
      </rPr>
      <t>take unsafe detours</t>
    </r>
    <r>
      <rPr>
        <sz val="10"/>
        <color rgb="FF000000"/>
        <rFont val="Arial"/>
        <family val="2"/>
        <scheme val="minor"/>
      </rPr>
      <t xml:space="preserve">, </t>
    </r>
    <r>
      <rPr>
        <b/>
        <sz val="10"/>
        <color rgb="FF000000"/>
        <rFont val="Arial"/>
        <family val="2"/>
        <scheme val="minor"/>
      </rPr>
      <t>enter restricted zones</t>
    </r>
    <r>
      <rPr>
        <sz val="10"/>
        <color rgb="FF000000"/>
        <rFont val="Arial"/>
        <family val="2"/>
        <scheme val="minor"/>
      </rPr>
      <t xml:space="preserve">, or </t>
    </r>
    <r>
      <rPr>
        <b/>
        <sz val="10"/>
        <color rgb="FF000000"/>
        <rFont val="Arial"/>
        <family val="2"/>
        <scheme val="minor"/>
      </rPr>
      <t>collide with obstacles</t>
    </r>
    <r>
      <rPr>
        <sz val="10"/>
        <color rgb="FF000000"/>
        <rFont val="Arial"/>
        <family val="2"/>
        <scheme val="minor"/>
      </rPr>
      <t>.</t>
    </r>
  </si>
  <si>
    <r>
      <t xml:space="preserve">Financial losses due to </t>
    </r>
    <r>
      <rPr>
        <b/>
        <sz val="10"/>
        <color rgb="FF000000"/>
        <rFont val="Arial"/>
        <family val="2"/>
        <scheme val="minor"/>
      </rPr>
      <t>damaged vehicles</t>
    </r>
    <r>
      <rPr>
        <sz val="10"/>
        <color rgb="FF000000"/>
        <rFont val="Arial"/>
        <family val="2"/>
        <scheme val="minor"/>
      </rPr>
      <t xml:space="preserve">, </t>
    </r>
    <r>
      <rPr>
        <b/>
        <sz val="10"/>
        <color rgb="FF000000"/>
        <rFont val="Arial"/>
        <family val="2"/>
        <scheme val="minor"/>
      </rPr>
      <t>delayed deliveries</t>
    </r>
    <r>
      <rPr>
        <sz val="10"/>
        <color rgb="FF000000"/>
        <rFont val="Arial"/>
        <family val="2"/>
        <scheme val="minor"/>
      </rPr>
      <t xml:space="preserve">, </t>
    </r>
    <r>
      <rPr>
        <b/>
        <sz val="10"/>
        <color rgb="FF000000"/>
        <rFont val="Arial"/>
        <family val="2"/>
        <scheme val="minor"/>
      </rPr>
      <t>road repair expenses</t>
    </r>
    <r>
      <rPr>
        <sz val="10"/>
        <color rgb="FF000000"/>
        <rFont val="Arial"/>
        <family val="2"/>
        <scheme val="minor"/>
      </rPr>
      <t xml:space="preserve">, and </t>
    </r>
    <r>
      <rPr>
        <b/>
        <sz val="10"/>
        <color rgb="FF000000"/>
        <rFont val="Arial"/>
        <family val="2"/>
        <scheme val="minor"/>
      </rPr>
      <t>potential legal claims</t>
    </r>
    <r>
      <rPr>
        <sz val="10"/>
        <color rgb="FF000000"/>
        <rFont val="Arial"/>
        <family val="2"/>
        <scheme val="minor"/>
      </rPr>
      <t xml:space="preserve"> against road authorities.</t>
    </r>
  </si>
  <si>
    <r>
      <t xml:space="preserve">Misallocation of traffic could lead to </t>
    </r>
    <r>
      <rPr>
        <b/>
        <sz val="10"/>
        <color rgb="FF000000"/>
        <rFont val="Arial"/>
        <family val="2"/>
        <scheme val="minor"/>
      </rPr>
      <t>temporary congestion and traffic flow disruption</t>
    </r>
    <r>
      <rPr>
        <sz val="10"/>
        <color rgb="FF000000"/>
        <rFont val="Arial"/>
        <family val="2"/>
        <scheme val="minor"/>
      </rPr>
      <t>, but these impacts may be localized unless widely exploited.</t>
    </r>
  </si>
  <si>
    <r>
      <t xml:space="preserve">Minor privacy concerns, but regulatory liabilities may arise if </t>
    </r>
    <r>
      <rPr>
        <b/>
        <sz val="10"/>
        <color rgb="FF000000"/>
        <rFont val="Arial"/>
        <family val="2"/>
        <scheme val="minor"/>
      </rPr>
      <t>tampered warnings lead to accidents or road damage</t>
    </r>
    <r>
      <rPr>
        <sz val="10"/>
        <color rgb="FF000000"/>
        <rFont val="Arial"/>
        <family val="2"/>
        <scheme val="minor"/>
      </rPr>
      <t>.</t>
    </r>
  </si>
  <si>
    <t>Digital Signatures and Message Authentication,Cross-Validation of Location Data,Traffic Camera or Lidar Integration</t>
  </si>
  <si>
    <t>Low Frequency (LF) Container (Location Data),Traffic Management Systems,V2X Message Integrity Verification,Navigation and Route Planning Systems</t>
  </si>
  <si>
    <t>Best approach, involving digital signatures, GPS-based validation, and anomaly detection.</t>
  </si>
  <si>
    <t>HF Container in CAM Messages</t>
  </si>
  <si>
    <r>
      <t xml:space="preserve">The attacker </t>
    </r>
    <r>
      <rPr>
        <b/>
        <sz val="10"/>
        <color rgb="FF000000"/>
        <rFont val="Arial"/>
        <scheme val="minor"/>
      </rPr>
      <t>modifies the speed or position data</t>
    </r>
    <r>
      <rPr>
        <sz val="10"/>
        <color rgb="FF000000"/>
        <rFont val="Arial"/>
        <scheme val="minor"/>
      </rPr>
      <t xml:space="preserve"> in the CAM messages of the lead or following vehicle in the platoon, causing incorrect decisions regarding following distance and braking.</t>
    </r>
  </si>
  <si>
    <t>Through Compromised OBU or V2X Network Injection</t>
  </si>
  <si>
    <r>
      <t xml:space="preserve">The tampered speed or position values are transmitted via </t>
    </r>
    <r>
      <rPr>
        <b/>
        <sz val="10"/>
        <color rgb="FF000000"/>
        <rFont val="Arial"/>
        <scheme val="minor"/>
      </rPr>
      <t>compromised CAM messages over the V2X network</t>
    </r>
    <r>
      <rPr>
        <sz val="10"/>
        <color rgb="FF000000"/>
        <rFont val="Arial"/>
        <scheme val="minor"/>
      </rPr>
      <t>, impacting multiple vehicles in the platoon.</t>
    </r>
  </si>
  <si>
    <r>
      <t xml:space="preserve">Incorrect speed or following distance could lead to </t>
    </r>
    <r>
      <rPr>
        <b/>
        <sz val="10"/>
        <color rgb="FF000000"/>
        <rFont val="Arial"/>
        <scheme val="minor"/>
      </rPr>
      <t>rear-end collisions</t>
    </r>
    <r>
      <rPr>
        <sz val="10"/>
        <color rgb="FF000000"/>
        <rFont val="Arial"/>
        <scheme val="minor"/>
      </rPr>
      <t>, potentially involving multiple vehicles. The threat is especially critical in high-speed platoons, where reaction times are reduced.</t>
    </r>
  </si>
  <si>
    <r>
      <t xml:space="preserve">High financial costs due to </t>
    </r>
    <r>
      <rPr>
        <b/>
        <sz val="10"/>
        <color rgb="FF000000"/>
        <rFont val="Arial"/>
        <scheme val="minor"/>
      </rPr>
      <t>vehicle damage</t>
    </r>
    <r>
      <rPr>
        <sz val="10"/>
        <color rgb="FF000000"/>
        <rFont val="Arial"/>
        <scheme val="minor"/>
      </rPr>
      <t xml:space="preserve">, </t>
    </r>
    <r>
      <rPr>
        <b/>
        <sz val="10"/>
        <color rgb="FF000000"/>
        <rFont val="Arial"/>
        <scheme val="minor"/>
      </rPr>
      <t>logistics delays</t>
    </r>
    <r>
      <rPr>
        <sz val="10"/>
        <color rgb="FF000000"/>
        <rFont val="Arial"/>
        <scheme val="minor"/>
      </rPr>
      <t xml:space="preserve">, and potential </t>
    </r>
    <r>
      <rPr>
        <b/>
        <sz val="10"/>
        <color rgb="FF000000"/>
        <rFont val="Arial"/>
        <scheme val="minor"/>
      </rPr>
      <t>legal claims</t>
    </r>
    <r>
      <rPr>
        <sz val="10"/>
        <color rgb="FF000000"/>
        <rFont val="Arial"/>
        <scheme val="minor"/>
      </rPr>
      <t xml:space="preserve"> against the platoon operator or OEMs. Multi-vehicle accidents could result in significant repair and insurance claims.</t>
    </r>
  </si>
  <si>
    <r>
      <t xml:space="preserve">Disruption of platoon operations can lead to </t>
    </r>
    <r>
      <rPr>
        <b/>
        <sz val="10"/>
        <color rgb="FF000000"/>
        <rFont val="Arial"/>
        <scheme val="minor"/>
      </rPr>
      <t>traffic congestion</t>
    </r>
    <r>
      <rPr>
        <sz val="10"/>
        <color rgb="FF000000"/>
        <rFont val="Arial"/>
        <scheme val="minor"/>
      </rPr>
      <t xml:space="preserve"> and delays in </t>
    </r>
    <r>
      <rPr>
        <b/>
        <sz val="10"/>
        <color rgb="FF000000"/>
        <rFont val="Arial"/>
        <scheme val="minor"/>
      </rPr>
      <t>delivery schedules</t>
    </r>
    <r>
      <rPr>
        <sz val="10"/>
        <color rgb="FF000000"/>
        <rFont val="Arial"/>
        <scheme val="minor"/>
      </rPr>
      <t>. Recovery and realignment of the platoon could require manual intervention.</t>
    </r>
  </si>
  <si>
    <r>
      <t xml:space="preserve">If the tampering results in accidents or near-misses, regulatory investigations could result in </t>
    </r>
    <r>
      <rPr>
        <b/>
        <sz val="10"/>
        <color rgb="FF000000"/>
        <rFont val="Arial"/>
        <scheme val="minor"/>
      </rPr>
      <t>legal liability</t>
    </r>
    <r>
      <rPr>
        <sz val="10"/>
        <color rgb="FF000000"/>
        <rFont val="Arial"/>
        <scheme val="minor"/>
      </rPr>
      <t xml:space="preserve"> for V2X system operators.  OEMs may face </t>
    </r>
    <r>
      <rPr>
        <b/>
        <sz val="10"/>
        <color rgb="FF000000"/>
        <rFont val="Arial"/>
        <scheme val="minor"/>
      </rPr>
      <t>privacy and safety-related fines or penalties</t>
    </r>
    <r>
      <rPr>
        <sz val="10"/>
        <color rgb="FF000000"/>
        <rFont val="Arial"/>
        <scheme val="minor"/>
      </rPr>
      <t>.</t>
    </r>
  </si>
  <si>
    <t>Digital Signatures and Message Authentication,Cross-Validation with Onboard Sensors,Anomaly Detection Systems,Adaptive Following Distance Control,SSP-Based Permissions</t>
  </si>
  <si>
    <t>High Frequency (HF) Container (Speed &amp; Position Data),V2X Communication Protocols ,Platoon Control Systems,Distance Monitoring Systems</t>
  </si>
  <si>
    <t>Best approach, involving strong cryptographic protections and anomaly detection mechanisms.</t>
  </si>
  <si>
    <r>
      <t xml:space="preserve">The attacker </t>
    </r>
    <r>
      <rPr>
        <b/>
        <sz val="10"/>
        <color rgb="FF000000"/>
        <rFont val="Arial"/>
        <family val="2"/>
        <scheme val="minor"/>
      </rPr>
      <t>modifies the brake status or deceleration value</t>
    </r>
    <r>
      <rPr>
        <sz val="10"/>
        <color rgb="FF000000"/>
        <rFont val="Arial"/>
        <family val="2"/>
        <scheme val="minor"/>
      </rPr>
      <t xml:space="preserve"> in the </t>
    </r>
    <r>
      <rPr>
        <b/>
        <sz val="10"/>
        <color rgb="FF000000"/>
        <rFont val="Arial"/>
        <family val="2"/>
        <scheme val="minor"/>
      </rPr>
      <t>High Frequency (HF) Container</t>
    </r>
    <r>
      <rPr>
        <sz val="10"/>
        <color rgb="FF000000"/>
        <rFont val="Arial"/>
        <family val="2"/>
        <scheme val="minor"/>
      </rPr>
      <t xml:space="preserve"> of CAM messages, falsely indicating either </t>
    </r>
    <r>
      <rPr>
        <b/>
        <sz val="10"/>
        <color rgb="FF000000"/>
        <rFont val="Arial"/>
        <family val="2"/>
        <scheme val="minor"/>
      </rPr>
      <t>a sudden braking event</t>
    </r>
    <r>
      <rPr>
        <sz val="10"/>
        <color rgb="FF000000"/>
        <rFont val="Arial"/>
        <family val="2"/>
        <scheme val="minor"/>
      </rPr>
      <t xml:space="preserve"> or </t>
    </r>
    <r>
      <rPr>
        <b/>
        <sz val="10"/>
        <color rgb="FF000000"/>
        <rFont val="Arial"/>
        <family val="2"/>
        <scheme val="minor"/>
      </rPr>
      <t>masking an actual emergency brake</t>
    </r>
    <r>
      <rPr>
        <sz val="10"/>
        <color rgb="FF000000"/>
        <rFont val="Arial"/>
        <family val="2"/>
        <scheme val="minor"/>
      </rPr>
      <t>.</t>
    </r>
  </si>
  <si>
    <t>Through Compromised OBU or Network Injection of Tampered CAMs</t>
  </si>
  <si>
    <r>
      <t xml:space="preserve">The tampered brake light status is transmitted via </t>
    </r>
    <r>
      <rPr>
        <b/>
        <sz val="10"/>
        <color rgb="FF000000"/>
        <rFont val="Arial"/>
        <family val="2"/>
        <scheme val="minor"/>
      </rPr>
      <t>compromised CAM messages over the V2X network</t>
    </r>
    <r>
      <rPr>
        <sz val="10"/>
        <color rgb="FF000000"/>
        <rFont val="Arial"/>
        <family val="2"/>
        <scheme val="minor"/>
      </rPr>
      <t>, leading to incorrect vehicle responses.</t>
    </r>
  </si>
  <si>
    <r>
      <t xml:space="preserve">False emergency braking could cause </t>
    </r>
    <r>
      <rPr>
        <b/>
        <sz val="10"/>
        <color rgb="FF000000"/>
        <rFont val="Arial"/>
        <family val="2"/>
        <scheme val="minor"/>
      </rPr>
      <t>rear-end collisions</t>
    </r>
    <r>
      <rPr>
        <sz val="10"/>
        <color rgb="FF000000"/>
        <rFont val="Arial"/>
        <family val="2"/>
        <scheme val="minor"/>
      </rPr>
      <t xml:space="preserve">, particularly at high speeds. Suppressing actual brake warnings could lead to </t>
    </r>
    <r>
      <rPr>
        <b/>
        <sz val="10"/>
        <color rgb="FF000000"/>
        <rFont val="Arial"/>
        <family val="2"/>
        <scheme val="minor"/>
      </rPr>
      <t>severe collisions with life-threatening injuries</t>
    </r>
    <r>
      <rPr>
        <sz val="10"/>
        <color rgb="FF000000"/>
        <rFont val="Arial"/>
        <family val="2"/>
        <scheme val="minor"/>
      </rPr>
      <t>.</t>
    </r>
  </si>
  <si>
    <r>
      <t xml:space="preserve">Rear-end collisions and multi-vehicle pile-ups could result in </t>
    </r>
    <r>
      <rPr>
        <b/>
        <sz val="10"/>
        <color rgb="FF000000"/>
        <rFont val="Arial"/>
        <family val="2"/>
        <scheme val="minor"/>
      </rPr>
      <t>extensive vehicle damage</t>
    </r>
    <r>
      <rPr>
        <sz val="10"/>
        <color rgb="FF000000"/>
        <rFont val="Arial"/>
        <family val="2"/>
        <scheme val="minor"/>
      </rPr>
      <t xml:space="preserve">, </t>
    </r>
    <r>
      <rPr>
        <b/>
        <sz val="10"/>
        <color rgb="FF000000"/>
        <rFont val="Arial"/>
        <family val="2"/>
        <scheme val="minor"/>
      </rPr>
      <t>legal claims</t>
    </r>
    <r>
      <rPr>
        <sz val="10"/>
        <color rgb="FF000000"/>
        <rFont val="Arial"/>
        <family val="2"/>
        <scheme val="minor"/>
      </rPr>
      <t xml:space="preserve">, and </t>
    </r>
    <r>
      <rPr>
        <b/>
        <sz val="10"/>
        <color rgb="FF000000"/>
        <rFont val="Arial"/>
        <family val="2"/>
        <scheme val="minor"/>
      </rPr>
      <t>insurance costs</t>
    </r>
    <r>
      <rPr>
        <sz val="10"/>
        <color rgb="FF000000"/>
        <rFont val="Arial"/>
        <family val="2"/>
        <scheme val="minor"/>
      </rPr>
      <t>.</t>
    </r>
  </si>
  <si>
    <r>
      <t xml:space="preserve">Chain-reaction braking could cause </t>
    </r>
    <r>
      <rPr>
        <b/>
        <sz val="10"/>
        <color rgb="FF000000"/>
        <rFont val="Arial"/>
        <family val="2"/>
        <scheme val="minor"/>
      </rPr>
      <t>major traffic congestion</t>
    </r>
    <r>
      <rPr>
        <sz val="10"/>
        <color rgb="FF000000"/>
        <rFont val="Arial"/>
        <family val="2"/>
        <scheme val="minor"/>
      </rPr>
      <t xml:space="preserve"> and </t>
    </r>
    <r>
      <rPr>
        <b/>
        <sz val="10"/>
        <color rgb="FF000000"/>
        <rFont val="Arial"/>
        <family val="2"/>
        <scheme val="minor"/>
      </rPr>
      <t>disrupt vehicle flows</t>
    </r>
    <r>
      <rPr>
        <sz val="10"/>
        <color rgb="FF000000"/>
        <rFont val="Arial"/>
        <family val="2"/>
        <scheme val="minor"/>
      </rPr>
      <t xml:space="preserve"> on highways or major roads.</t>
    </r>
  </si>
  <si>
    <r>
      <t xml:space="preserve">OEMs and traffic management systems could face </t>
    </r>
    <r>
      <rPr>
        <b/>
        <sz val="10"/>
        <color rgb="FF000000"/>
        <rFont val="Arial"/>
        <family val="2"/>
        <scheme val="minor"/>
      </rPr>
      <t>regulatory investigations</t>
    </r>
    <r>
      <rPr>
        <sz val="10"/>
        <color rgb="FF000000"/>
        <rFont val="Arial"/>
        <family val="2"/>
        <scheme val="minor"/>
      </rPr>
      <t xml:space="preserve"> and </t>
    </r>
    <r>
      <rPr>
        <b/>
        <sz val="10"/>
        <color rgb="FF000000"/>
        <rFont val="Arial"/>
        <family val="2"/>
        <scheme val="minor"/>
      </rPr>
      <t>legal liability</t>
    </r>
    <r>
      <rPr>
        <sz val="10"/>
        <color rgb="FF000000"/>
        <rFont val="Arial"/>
        <family val="2"/>
        <scheme val="minor"/>
      </rPr>
      <t xml:space="preserve"> for not securing brake warnings in V2X communications</t>
    </r>
  </si>
  <si>
    <t>Digital signatures, cross-validation, and anomaly detection.</t>
  </si>
  <si>
    <t>High Frequency (HF) Container (Brake Status &amp; Deceleration),Autonomous Emergency Braking (AEB) Systems</t>
  </si>
  <si>
    <t>Best approach, involving cryptographic protections, cross-validation, and anomaly detection.</t>
  </si>
  <si>
    <r>
      <t>Basic Container</t>
    </r>
    <r>
      <rPr>
        <sz val="10"/>
        <color rgb="FF000000"/>
        <rFont val="Arial"/>
        <family val="2"/>
        <scheme val="minor"/>
      </rPr>
      <t xml:space="preserve"> of CAM messages</t>
    </r>
  </si>
  <si>
    <r>
      <t xml:space="preserve">An attacker </t>
    </r>
    <r>
      <rPr>
        <b/>
        <sz val="10"/>
        <color rgb="FF000000"/>
        <rFont val="Arial"/>
        <family val="2"/>
        <scheme val="minor"/>
      </rPr>
      <t>spoofs the Station ID or the vehicle’s reference position (latitude, longitude, altitude)</t>
    </r>
    <r>
      <rPr>
        <sz val="10"/>
        <color rgb="FF000000"/>
        <rFont val="Arial"/>
        <family val="2"/>
        <scheme val="minor"/>
      </rPr>
      <t xml:space="preserve"> in outgoing CAM messages, causing nearby vehicles or RSUs to </t>
    </r>
    <r>
      <rPr>
        <b/>
        <sz val="10"/>
        <color rgb="FF000000"/>
        <rFont val="Arial"/>
        <family val="2"/>
        <scheme val="minor"/>
      </rPr>
      <t>incorrectly interpret the vehicle’s identity or location</t>
    </r>
    <r>
      <rPr>
        <sz val="10"/>
        <color rgb="FF000000"/>
        <rFont val="Arial"/>
        <family val="2"/>
        <scheme val="minor"/>
      </rPr>
      <t>.</t>
    </r>
  </si>
  <si>
    <t>Through Compromised OBU or External Spoofing</t>
  </si>
  <si>
    <r>
      <t xml:space="preserve">The spoofed Station ID and reference position data are transmitted through </t>
    </r>
    <r>
      <rPr>
        <b/>
        <sz val="10"/>
        <color rgb="FF000000"/>
        <rFont val="Arial"/>
        <family val="2"/>
        <scheme val="minor"/>
      </rPr>
      <t>tampered CAM messages over the V2X network</t>
    </r>
    <r>
      <rPr>
        <sz val="10"/>
        <color rgb="FF000000"/>
        <rFont val="Arial"/>
        <family val="2"/>
        <scheme val="minor"/>
      </rPr>
      <t xml:space="preserve">, affecting </t>
    </r>
    <r>
      <rPr>
        <b/>
        <sz val="10"/>
        <color rgb="FF000000"/>
        <rFont val="Arial"/>
        <family val="2"/>
        <scheme val="minor"/>
      </rPr>
      <t>vehicles, RSUs, and traffic management systems</t>
    </r>
    <r>
      <rPr>
        <sz val="10"/>
        <color rgb="FF000000"/>
        <rFont val="Arial"/>
        <family val="2"/>
        <scheme val="minor"/>
      </rPr>
      <t>.</t>
    </r>
  </si>
  <si>
    <r>
      <t xml:space="preserve">Incorrect position data could cause </t>
    </r>
    <r>
      <rPr>
        <b/>
        <sz val="10"/>
        <color rgb="FF000000"/>
        <rFont val="Arial"/>
        <family val="2"/>
        <scheme val="minor"/>
      </rPr>
      <t>vehicles to maneuver unsafely</t>
    </r>
    <r>
      <rPr>
        <sz val="10"/>
        <color rgb="FF000000"/>
        <rFont val="Arial"/>
        <family val="2"/>
        <scheme val="minor"/>
      </rPr>
      <t xml:space="preserve">, leading to </t>
    </r>
    <r>
      <rPr>
        <b/>
        <sz val="10"/>
        <color rgb="FF000000"/>
        <rFont val="Arial"/>
        <family val="2"/>
        <scheme val="minor"/>
      </rPr>
      <t>side collisions</t>
    </r>
    <r>
      <rPr>
        <sz val="10"/>
        <color rgb="FF000000"/>
        <rFont val="Arial"/>
        <family val="2"/>
        <scheme val="minor"/>
      </rPr>
      <t xml:space="preserve">, </t>
    </r>
    <r>
      <rPr>
        <b/>
        <sz val="10"/>
        <color rgb="FF000000"/>
        <rFont val="Arial"/>
        <family val="2"/>
        <scheme val="minor"/>
      </rPr>
      <t>wrong turns</t>
    </r>
    <r>
      <rPr>
        <sz val="10"/>
        <color rgb="FF000000"/>
        <rFont val="Arial"/>
        <family val="2"/>
        <scheme val="minor"/>
      </rPr>
      <t xml:space="preserve">, or </t>
    </r>
    <r>
      <rPr>
        <b/>
        <sz val="10"/>
        <color rgb="FF000000"/>
        <rFont val="Arial"/>
        <family val="2"/>
        <scheme val="minor"/>
      </rPr>
      <t>near-misses</t>
    </r>
    <r>
      <rPr>
        <sz val="10"/>
        <color rgb="FF000000"/>
        <rFont val="Arial"/>
        <family val="2"/>
        <scheme val="minor"/>
      </rPr>
      <t xml:space="preserve"> in intersections. Misleading position data could prevent effective collision avoidance</t>
    </r>
  </si>
  <si>
    <r>
      <t xml:space="preserve">High financial losses could result from </t>
    </r>
    <r>
      <rPr>
        <b/>
        <sz val="10"/>
        <color rgb="FF000000"/>
        <rFont val="Arial"/>
        <family val="2"/>
        <scheme val="minor"/>
      </rPr>
      <t>vehicle damage, legal claims, and resource misallocation</t>
    </r>
    <r>
      <rPr>
        <sz val="10"/>
        <color rgb="FF000000"/>
        <rFont val="Arial"/>
        <family val="2"/>
        <scheme val="minor"/>
      </rPr>
      <t xml:space="preserve"> due to traffic congestion. Spoofed identities could also trigger </t>
    </r>
    <r>
      <rPr>
        <b/>
        <sz val="10"/>
        <color rgb="FF000000"/>
        <rFont val="Arial"/>
        <family val="2"/>
        <scheme val="minor"/>
      </rPr>
      <t>liability concerns for OEMs</t>
    </r>
    <r>
      <rPr>
        <sz val="10"/>
        <color rgb="FF000000"/>
        <rFont val="Arial"/>
        <family val="2"/>
        <scheme val="minor"/>
      </rPr>
      <t>.</t>
    </r>
  </si>
  <si>
    <r>
      <t xml:space="preserve">Misleading position data could cause </t>
    </r>
    <r>
      <rPr>
        <b/>
        <sz val="10"/>
        <color rgb="FF000000"/>
        <rFont val="Arial"/>
        <family val="2"/>
        <scheme val="minor"/>
      </rPr>
      <t>disruptions in vehicle routing, platooning, or lane assignments</t>
    </r>
    <r>
      <rPr>
        <sz val="10"/>
        <color rgb="FF000000"/>
        <rFont val="Arial"/>
        <family val="2"/>
        <scheme val="minor"/>
      </rPr>
      <t>, resulting in major traffic delays or congestion.</t>
    </r>
  </si>
  <si>
    <r>
      <t xml:space="preserve">Misuse of pseudonym IDs could lead to </t>
    </r>
    <r>
      <rPr>
        <b/>
        <sz val="10"/>
        <color rgb="FF000000"/>
        <rFont val="Arial"/>
        <family val="2"/>
        <scheme val="minor"/>
      </rPr>
      <t>privacy violations, legal investigations</t>
    </r>
    <r>
      <rPr>
        <sz val="10"/>
        <color rgb="FF000000"/>
        <rFont val="Arial"/>
        <family val="2"/>
        <scheme val="minor"/>
      </rPr>
      <t xml:space="preserve">, and </t>
    </r>
    <r>
      <rPr>
        <b/>
        <sz val="10"/>
        <color rgb="FF000000"/>
        <rFont val="Arial"/>
        <family val="2"/>
        <scheme val="minor"/>
      </rPr>
      <t>reputation damage for V2X system operators</t>
    </r>
    <r>
      <rPr>
        <sz val="10"/>
        <color rgb="FF000000"/>
        <rFont val="Arial"/>
        <family val="2"/>
        <scheme val="minor"/>
      </rPr>
      <t>. Persistent spoofing may require regulatory responses or fines.</t>
    </r>
  </si>
  <si>
    <t>Digital signatures, pseudonym management, and anomaly detection.</t>
  </si>
  <si>
    <t>Basic Container (Station ID, Reference Position),V2X Authentication Mechanisms,Event Processing Systems in Vehicles</t>
  </si>
  <si>
    <t>Best approach, involving digital signatures, cross-verification, and anomaly detection.</t>
  </si>
  <si>
    <t>CAM Channel Availability &amp; Congestion Control Mechanism</t>
  </si>
  <si>
    <t>An attacker manipulates the CAM generation logic of their ITS-S, reducing the generation interval below the defined T_GenCamMin = 100 ms. This causes the ITS-S to broadcast CAMs excessively and overwhelm the shared wireless V2X channel.</t>
  </si>
  <si>
    <t>The attacker either directly modifies the CA service logic (e.g., via firmware hacking or malicious configuration) or exploits the CAM triggering conditions by falsely simulating high dynamic changes (e.g., position, speed, heading) to repeatedly trigger CAM emissions</t>
  </si>
  <si>
    <t>The attacker directly modifies the configuration of their own vehicle’s ITS-S (e.g., via debug access, firmware manipulation) to override T_GenCamMin or simulate rapid dynamics to trigger CAMs continuously.</t>
  </si>
  <si>
    <t>Critical safety-related CAMs (e.g., emergency braking, vehicle position) may be dropped or delayed.</t>
  </si>
  <si>
    <t>Minimal financial impact unless the issue becomes systemic or persistent.</t>
  </si>
  <si>
    <t>ITS services dependent on CAMs become unreliable; congestion, collision warnings, and cooperative functions are impaired.</t>
  </si>
  <si>
    <t>Violates standard ETSI CAM transmission rules and DCC compliance, potentially causing certification failure or fines.</t>
  </si>
  <si>
    <t>Enforce DCC Policies: Ensure that the DCC service always enforces T_GenCamMin and overrides any locally manipulated values.
Rate Limiting at Network Layer: Drop CAMs exceeding a threshold at the network interface layer.
Misbehavior Detection (MBD): Detect ITS-Ss sending abnormally frequent CAMs and report them to the central authority for revocation.
Secure Firmware and Debug Access: Prevent unauthorized local access to firmware settings that manage CA timing logic.</t>
  </si>
  <si>
    <t>CA Service (CAM Generation Logic)
DCC Parameters (T_GenCamMin, T_GenCamMax, T_GenCam_Dcc)
Channel Load Monitoring System
ITS Networking &amp; Transport Layer (delivery and suppression of messages)</t>
  </si>
  <si>
    <t>Mitigation is appropriate because this threat has a moderate safety and high operational impact, and can be systematically addressed with technical countermeasures like DCC enforcement, rate monitoring, and misbehavior reporting. Total avoidance is not feasible due to the importance of real-time dynamics in CAM logic, and acceptance is not viable due to potential safety degradation.</t>
  </si>
  <si>
    <t xml:space="preserve">G1 – Ensure authenticity of ITS messages (CAMs must be valid and not artificially triggered).
G3 – Ensure availability of the V2X communication channel.
G4 – Preserve integrity of network timing policies (DCC parameters).
G8 – Ensure compliance with ETSI EN 302 637-2 and DCC constraints.
</t>
  </si>
  <si>
    <t>A rogue device is deployed near traffic (e.g., roadside or parked vehicle) and floods the air with high-frequency CAMs within the communication range, exploiting shared channel access and degrading service to other ITS stations.</t>
  </si>
  <si>
    <t>CAM Timestamp and Generation Time</t>
  </si>
  <si>
    <t>An attacker alters the CAM generation time or timestamp field of the message to create inconsistency between the claimed and actual timing of the vehicle’s status. This can mislead other ITS stations into making incorrect real-time decisions.</t>
  </si>
  <si>
    <t>The attacker, via firmware compromise or local misconfiguration, injects manipulated timestamps or delays the actual message generation. These timestamps do not correspond to when the position/speed data were captured, violating synchronization assumptions.</t>
  </si>
  <si>
    <t>In the Local attack, malware within the ITS-S or tampered CA logic deliberately modifies or delays timestamps.</t>
  </si>
  <si>
    <t>Misaligned timestamps can result in delayed braking or lane-changing, due to incorrect assumptions about nearby vehicle positions or velocities.</t>
  </si>
  <si>
    <t>Misinterpretation of traffic behavior may cause accidents or unnecessary service interventions.</t>
  </si>
  <si>
    <t>System-wide disruption in cooperative awareness logic. Could invalidate relative position predictions, undermining V2X coordination.</t>
  </si>
  <si>
    <t>Legal and regulatory concerns arise if vehicles cannot be accurately time-reconstructed during forensics or liability assessment.</t>
  </si>
  <si>
    <t>Secure Time Synchronization (e.g., GNSS-based or secured NTP within the ITS station).
CAM Timestamp Validation: Cross-check timestamps against local clock and expected message intervals.
Deny-listing Misbehaving ITS-S: If a device repeatedly sends CAMs with out-of-sync timestamps, flag it as non-trustworthy.</t>
  </si>
  <si>
    <t>CAM Generation Time Field
CAM Timestamp Field
CA Service (CAM generation logic)
Networking &amp; Transport Layer Interface</t>
  </si>
  <si>
    <t xml:space="preserve">Time inconsistencies corrupt the foundation of CAM-based awareness, as position, speed, and heading are meaningful only when aligned with a reliable timestamp. Inter-vehicle coordination and safety mechanisms degrade significantly when timing trust is broken.
</t>
  </si>
  <si>
    <t>Integrity – Ensure timing data reflects true generation moment.
 Authenticity – Ensure the timing was generated by the claimed source.
 Reliability – Support time-based decision making in V2X networks.</t>
  </si>
  <si>
    <t>In the Adjacent attack, a compromised RSU or vehicle injects CAMs with outdated timestamps or altered data via V2X to confuse timing-based decision-making.</t>
  </si>
  <si>
    <t>DENM Message Container (Adverse Conditions - Situation Container)</t>
  </si>
  <si>
    <t>The attacker injects false reports of adverse weather conditions (e.g., heavy rain, fog, or icy roads) to disrupt traffic patterns or cause unnecessary caution among drivers.</t>
  </si>
  <si>
    <t>The attacker gains access to the On-Board Unit (OBU) or V2X Communication Stack and tampers with the Adverse Conditions field in the DENM before transmission.</t>
  </si>
  <si>
    <t>The attacker aims to create traffic congestion or panic by falsely reporting hazardous weather conditions, potentially benefiting from the disruption (e.g., in targeted areas or during high-traffic events).</t>
  </si>
  <si>
    <t>False adverse condition warnings may cause sudden and unnecessary braking or rerouting, increasing the risk of collisions.</t>
  </si>
  <si>
    <t>The organization may face costs related to insurance claims, traffic congestion mitigation, and potential legal liabilities due to traffic incidents.</t>
  </si>
  <si>
    <t>Severe traffic congestion from unnecessary rerouting or slow driving.</t>
  </si>
  <si>
    <t xml:space="preserve">	The attack does not involve personal data but may violate traffic management regulations.</t>
  </si>
  <si>
    <t>Avoidance</t>
  </si>
  <si>
    <t>Digital signatures to ensure message authenticity,Redundant verification using multiple data sources (e.g., crowd-sourced vehicle sensor data),Monitor for patterns of mass false alerts (e.g., multiple false warnings from a single source).</t>
  </si>
  <si>
    <t>V2X Communication Stack (OBU, RSU),Adverse Condition Detection and Reporting Module,Cryptographic and Integrity Checking Systems,Traffic Management Systems (N2V)</t>
  </si>
  <si>
    <t>Implement anomaly detection for unusual patterns of adverse condition reports.</t>
  </si>
  <si>
    <t>The attacker suppresses reports of actual adverse weather conditions (e.g., icy roads or heavy fog) to prevent drivers from taking necessary precautions, increasing the risk of accidents.</t>
  </si>
  <si>
    <t>The attacker gains access to the OBU or V2X communication stack and prevents DENM messages from reporting actual hazardous weather conditions.</t>
  </si>
  <si>
    <t>The attacker may aim to cause accidents or disruptions by concealing hazardous conditions, such as black ice, from nearby drivers via real-time V2X broadcast system.</t>
  </si>
  <si>
    <t>Suppressing warnings about hazardous conditions (e.g., icy roads) could cause high-speed collisions and multi-vehicle pile-ups.</t>
  </si>
  <si>
    <t>Severe accidents can result in significant damage, insurance claims, and legal liabilities.</t>
  </si>
  <si>
    <t>Loss of core vehicle functions (Value: 10) - Failure to adjust automated driving behaviors or assistive alerts in real-time.</t>
  </si>
  <si>
    <t>Non-compliance with traffic safety regulations may lead to regulatory penalties.</t>
  </si>
  <si>
    <t>Secure communication protocols with end-to-end encryption,Redundant warnings from roadside units (RSUs) and third-party weather services,Use machine learning to detect anomalies, such as sudden drops in adverse condition reports despite consistent sensor data.</t>
  </si>
  <si>
    <t>Implement cross-verification of messages with onboard sensors (e.g., traction control for icy roads).</t>
  </si>
  <si>
    <r>
      <t xml:space="preserve">DENM Situation Container (Wrong Way Driving Notification - </t>
    </r>
    <r>
      <rPr>
        <b/>
        <sz val="10"/>
        <color rgb="FF000000"/>
        <rFont val="Arial"/>
        <scheme val="minor"/>
      </rPr>
      <t>Cause Code and SubCause Code</t>
    </r>
    <r>
      <rPr>
        <sz val="10"/>
        <color rgb="FF000000"/>
        <rFont val="Arial"/>
        <scheme val="minor"/>
      </rPr>
      <t>)</t>
    </r>
  </si>
  <si>
    <t>The attacker injects false causeCode and subCauseCode values into the DENM message, creating non-existent wrong-way driving alerts.</t>
  </si>
  <si>
    <t>The attacker accesses the vehicle’s OBU or RSU and alters the Cause Code fields within the DENM message before broadcast</t>
  </si>
  <si>
    <t>The attack exploits the causeCode and subCauseCode fields in the situation container creating false ghost-driver warnings leading to panic, disrupting in traffic flow.</t>
  </si>
  <si>
    <t>Drivers may brake suddenly or take unsafe maneuvers, increasing the risk of collisions.</t>
  </si>
  <si>
    <t>Costs for deploying emergency services, managing traffic, and addressing insurance claims due to disruption (High operational costs but manageable).</t>
  </si>
  <si>
    <t xml:space="preserve">Severe traffic congestion and delays affecting key transportation routes, impairing important vehicle functions </t>
  </si>
  <si>
    <t>Since the attack involves only the modification of traffic-related messages, there is no direct compromise of sensitive personal data.</t>
  </si>
  <si>
    <t>Employ cryptographic message signing and end-to-end encryption.
Implement OBU anomaly detection and RSU behavioral analytics.
Enable continuous monitoring and alert verification protocols.</t>
  </si>
  <si>
    <t>OBU firmware and security modules.
RSU alerting systems and backend DENM verification services.
Communication stacks for secure V2X message exchanges.</t>
  </si>
  <si>
    <t>Mitigating false alerts is crucial for preventing traffic disruptions, maintaining road safety, and ensuring efficient emergency response operations.</t>
  </si>
  <si>
    <r>
      <t>Integrity:</t>
    </r>
    <r>
      <rPr>
        <sz val="10"/>
        <color rgb="FF000000"/>
        <rFont val="Arial"/>
        <family val="2"/>
        <scheme val="minor"/>
      </rPr>
      <t xml:space="preserve"> Prevent message tampering and ensure authenticity,Availability: Maintain reliable communication of alerts,Non-repudiation: Ensure message traceability and accountability.</t>
    </r>
  </si>
  <si>
    <t>Integrity&amp;Availability</t>
  </si>
  <si>
    <t>The attacker suppresses legitimate wrong-way driving alerts by modifying or deleting causeCode values, preventing the alert from being broadcasted.</t>
  </si>
  <si>
    <t>Tampering with OBU or RSU to disrupt transmission of alerts or cause code suppression.</t>
  </si>
  <si>
    <t>The attacker intends to create road hazards or enable criminal activities by preventing essential safety warnings from reaching road users.</t>
  </si>
  <si>
    <t>Failure to alert drivers can lead to fatal collisions or multi-vehicle accidents. (S3)</t>
  </si>
  <si>
    <t>Major costs due to accidents, insurance claims, and potential legal liabilities</t>
  </si>
  <si>
    <t xml:space="preserve">Severe disruptions for emergency services and traffic management, leading to delays and significant driver inconvenience </t>
  </si>
  <si>
    <t>No privacy exposure.</t>
  </si>
  <si>
    <t>Secure message transmission with encrypted channels (TLS for V2X),Use blockchain or distributed ledger technology for tamper-evident logs,Implement multi-channel broadcasting (OBU, RSU, mobile apps) for redundancy.</t>
  </si>
  <si>
    <t>OBU firmware and digital signing modules,RSU alerting services and backend alert validation platforms,V2X communication channels and traffic management systems.</t>
  </si>
  <si>
    <t>Suppressing safety alerts increases collision risks and undermines trust in V2X communication systems. Countermeasures ensure continuous alert delivery and secure reporting of road hazards.</t>
  </si>
  <si>
    <t>,Availability: Guarantee continuous transmission of safety-critical alerts,Non-repudiation: Maintain traceability and accountability of transmitted messages.</t>
  </si>
  <si>
    <r>
      <t xml:space="preserve">DENM Situation Container (Rescue and Recovery Work Notification - </t>
    </r>
    <r>
      <rPr>
        <b/>
        <sz val="10"/>
        <color rgb="FF000000"/>
        <rFont val="Arial"/>
        <family val="2"/>
        <scheme val="minor"/>
      </rPr>
      <t>Cause Code and SubCause Code</t>
    </r>
    <r>
      <rPr>
        <sz val="10"/>
        <color rgb="FF000000"/>
        <rFont val="Arial"/>
        <family val="2"/>
        <scheme val="minor"/>
      </rPr>
      <t>)</t>
    </r>
  </si>
  <si>
    <t>The attacker injects false causeCode and subCauseCode values into the DENM message, falsely reporting an active rescue and recovery operation on the road.</t>
  </si>
  <si>
    <t>The attacker exploits access to the OBU or RSU to manipulate the Cause Code fields before transmission.</t>
  </si>
  <si>
    <t>The attacker aims to disrupt traffic, create congestion, or divert vehicles from a critical route, potentially for criminal activities or to cause economic loss.</t>
  </si>
  <si>
    <t>Drivers may brake suddenly or reroute abruptly, increasing the risk of accidents. Emergency vehicles could face delays due to unexpected traffic congestion.</t>
  </si>
  <si>
    <t>Primarily limited to minor traffic disruptions and small-scale reputational impact with minimal direct financial loss.</t>
  </si>
  <si>
    <t>Moderate disruption in traffic flow due to unnecessary rerouting or congestion. Potential delays in actual emergency responses.</t>
  </si>
  <si>
    <t>No exposure of personal data, but potential regulatory penalties for false emergency alerts.</t>
  </si>
  <si>
    <t>Cryptographic signing of messages,OBU and RSU anomaly detection with AI-based behavioral analytics,Multi-source verification of emergency alerts (e.g., cross-checking with local authorities or CCTV).</t>
  </si>
  <si>
    <t>OBU firmware (for secure messaging and anomaly detection),RSU alerting systems (for real-time analysis and cross-verification),DENM message validation protocols.</t>
  </si>
  <si>
    <t>Mitigating false alerts reduces unnecessary panic, traffic congestion, and delays for genuine emergency responders. Ensuring message integrity is vital for maintaining trust in V2X communication systems.</t>
  </si>
  <si>
    <t>1.Prevent false information from being injected into the system 2.Ensure real alerts reach drivers and authorities promptly 3.Guarantee that alerts are verifiable and traceable to their source.</t>
  </si>
  <si>
    <t>The attacker intercepts and suppresses a genuine rescue and recovery operation alert, preventing it from reaching nearby drivers.</t>
  </si>
  <si>
    <t>The attacker exploits vulnerabilities in the OBU or RSU to block or delete DENM messages before they are broadcast.</t>
  </si>
  <si>
    <t>The attacker may aim to cause accidents, increase traffic hazards, or obstruct emergency operations for malicious purposes.</t>
  </si>
  <si>
    <t>Drivers remain unaware of rescue operations ahead, increasing the risk of collisions, especially in high-speed zones. Emergency responders may be endangered.</t>
  </si>
  <si>
    <t>Suppression of alerts can cause life-threatening accidents, leading to high legal, reputational, and settlement costs. Indirect damages such as brand trust erosion and increased insurance premiums are also substantial.</t>
  </si>
  <si>
    <t>Traffic disruptions due to accidents, delays in emergency responses, and increased congestion.</t>
  </si>
  <si>
    <t>No direct privacy impact, but potential legal consequences for disrupting critical emergency operations.</t>
  </si>
  <si>
    <t>Strong end-to-end encryption for DENM messages,Redundant alerting through multiple channels (e.g., V2X and cellular networks),Regular security patches for OBU and RSU firmware to prevent message interception.</t>
  </si>
  <si>
    <t>OBU security modules (to prevent message tampering), RSU alert transmission systems (to ensure redundancy), Backend data aggregation and cross-verification services.</t>
  </si>
  <si>
    <t>Suppressing legitimate alerts can lead to severe road accidents and loss of life. Effective security measures ensure that emergency alerts are timely and accurate, supporting quick and safe navigation for drivers and first responders.</t>
  </si>
  <si>
    <t>1.Ensure alerts are genuine and unaltered. 2. Guarantee that alerts are received by intended recipients without suppression. 3.Maintain a verifiable record of alert broadcasts.</t>
  </si>
  <si>
    <r>
      <t xml:space="preserve">DENM Situation Container (Vehicle Breakdown Notification - </t>
    </r>
    <r>
      <rPr>
        <b/>
        <sz val="10"/>
        <color rgb="FF000000"/>
        <rFont val="Arial"/>
        <family val="2"/>
        <scheme val="minor"/>
      </rPr>
      <t>Cause Code and SubCause Code</t>
    </r>
    <r>
      <rPr>
        <sz val="10"/>
        <color rgb="FF000000"/>
        <rFont val="Arial"/>
        <family val="2"/>
        <scheme val="minor"/>
      </rPr>
      <t>)</t>
    </r>
  </si>
  <si>
    <t>The attacker tampers with the causeCode or subCauseCode of the vehicle breakdown message, injecting false vehicle breakdown alerts, causing unnecessary traffic congestion and misallocation of roadside assistance.</t>
  </si>
  <si>
    <t>The attacker gains access to the vehicle’s On-Board Unit (OBU) or the V2X communication stack to modify the DENM message before transmitting it over the V2X network.</t>
  </si>
  <si>
    <t>The attacker aims to create traffic congestion or safety risks by misinforming vehicles and traffic management systems about non-existent  breakdown events.</t>
  </si>
  <si>
    <t>Sudden slowing down or rerouting by nearby vehicles can lead to minor collisions or near misses.</t>
  </si>
  <si>
    <t>The organization may face financial losses due to increased congestion,minor accidents, repair costs, and legal liabilities related to incorrect traffic management.</t>
  </si>
  <si>
    <t>Traffic congestion from unnecessary slowdowns and rerouting, delaying legitimate services.</t>
  </si>
  <si>
    <t>No personal or privacy-sensitive data is directly compromised. The threat primarily concerns event information rather than individual identification.</t>
  </si>
  <si>
    <t>Digital signature verification to ensure the authenticity and integrity of breakdown notifications,Cross-referencing with redundant sensor data (e.g., CAM messages or roadside cameras) to validate breakdown events,Implementing anomaly detection systems to flag suspicious patterns in vehicle breakdown notifications.</t>
  </si>
  <si>
    <t>V2X Communication Stack (OBU, RSU)
DENM Situation Container and Event Reporting System
Cryptographic Integrity Checking Systems
Traffic Management and Breakdown Recovery Coordination Systems</t>
  </si>
  <si>
    <t>Implement message authentication mechanisms to prevent tampering with causeCode and subCauseCode.</t>
  </si>
  <si>
    <t xml:space="preserve">Ensure message integrity, support non-repudiation through digital signatures, and maintain availability by preventing network congestion due to false alerts.
</t>
  </si>
  <si>
    <t>The attacker tampers with the causeCode or subCauseCode of the vehicle breakdown message, suppressing genuine vehicle breakdown alerts, preventing affected vehicles from receiving timely assistance and causing safety hazards.</t>
  </si>
  <si>
    <t>By compromising the OBU or V2X stack, the attacker modifies or deletes breakdown messages before they are broadcasted to other vehicles and infrastructure.</t>
  </si>
  <si>
    <t>The attacker may aim to create unsafe road conditions, delay emergency responses, or exploit breakdown situations for criminal activities like theft or vandalism.</t>
  </si>
  <si>
    <t>Delayed breakdown assistance can leave vehicles stranded in hazardous locations, risking collisions or injuries.</t>
  </si>
  <si>
    <t>High costs from accidents, insurance claims, and penalties for failure to respond to breakdowns.</t>
  </si>
  <si>
    <t>Traffic disruptions due to unattended broken-down vehicles, delaying emergency and maintenance services.</t>
  </si>
  <si>
    <t>No direct privacy risk, as message suppression does not expose user data.</t>
  </si>
  <si>
    <t>Establish periodic integrity checks for transmitted messages, enforce strict access controls on OBUs, and log transmission failures for auditing.</t>
  </si>
  <si>
    <t>OBU security modules, V2X data transmission protocols, RSU alert validation, backend incident management platforms.</t>
  </si>
  <si>
    <t>Suppression of breakdown alerts endangers vehicle occupants and disrupts traffic, necessitating strong safeguards for reliable message transmission.</t>
  </si>
  <si>
    <t>Maintain integrity to prevent tampering, ensure availability by guaranteeing that breakdown alerts reach intended recipients, and support non-repudiation for accountability in communication networks.</t>
  </si>
  <si>
    <r>
      <t xml:space="preserve">DENM Situation Container (Human Problem Notification - </t>
    </r>
    <r>
      <rPr>
        <b/>
        <sz val="10"/>
        <color rgb="FF000000"/>
        <rFont val="Arial"/>
        <family val="2"/>
        <scheme val="minor"/>
      </rPr>
      <t>Cause Code and SubCause Code</t>
    </r>
    <r>
      <rPr>
        <sz val="10"/>
        <color rgb="FF000000"/>
        <rFont val="Arial"/>
        <family val="2"/>
        <scheme val="minor"/>
      </rPr>
      <t>)</t>
    </r>
  </si>
  <si>
    <t>An attacker injects false human problem notifications, such as driver glycemia or heart problems, prompting unnecessary stops, slowdowns, or emergency responses.</t>
  </si>
  <si>
    <t>The attacker gains access to the On-Board Unit (OBU) of the vehicle or the roadside unit (RSU) to modify or inject a false DENM message related to a driver’s health status before it is broadcast over the V2X network</t>
  </si>
  <si>
    <t>The attacker may aim to disrupt traffic flow, cause unnecessary panic, or divert emergency resources for malicious purposes.</t>
  </si>
  <si>
    <t xml:space="preserve"> Unnecessary stops or slowdowns may cause minor accidents or traffic issues.</t>
  </si>
  <si>
    <t>Financial losses may arise due to false medical emergency response, minor collisions, and traffic delays</t>
  </si>
  <si>
    <t>Traffic congestion due to false alerts.</t>
  </si>
  <si>
    <t>Health data of a driver is highly sensitive. Unauthorized manipulation or suppression of such data poses serious privacy risks, potential legal violations (e.g., GDPR), and reputational damage for OEMs or service providers.</t>
  </si>
  <si>
    <t>Digital signatures on human problem notifications to ensure they have not been tampered with,Real-time verification through onboard driver monitoring systems (e.g., biometric sensors) or external validation via roadside cameras or RSUs,Cross-checking health-related DENM messages with other vehicle-generated messages (e.g., braking or swerving patterns from CAMs) to ensure accuracy.</t>
  </si>
  <si>
    <t>V2X Communication Stack (OBU, RSU),DENM Situation Container and Driver Monitoring Systems,Cryptographic Integrity Checking Systems,Traffic Management and Emergency Response Coordination</t>
  </si>
  <si>
    <t>Apply cryptographic signatures to authenticate the integrity of messages</t>
  </si>
  <si>
    <t>Maintain the integrity of V2X communications, ensure availability of critical safety alerts, and guarantee non-repudiation for all transmitted health-related notifications.</t>
  </si>
  <si>
    <t>An attacker suppresses legitimate human problem notifications, preventing critical alerts about drivers experiencing health issues from reaching nearby vehicles or emergency services.</t>
  </si>
  <si>
    <t>Tampering with the OBU or RSU to delete or modify genuine driver health status alerts before they are broadcast over the V2X network.</t>
  </si>
  <si>
    <t>The attacker may seek to endanger lives by allowing incapacitated drivers to continue unnoticed, potentially causing severe accidents.</t>
  </si>
  <si>
    <t>Failure to report genuine health issues can lead to life-threatening accidents.</t>
  </si>
  <si>
    <t>Accident-related costs, medical expenses, and legal actions due to unreported health issues.</t>
  </si>
  <si>
    <t>Delays in medical response and potential road blockages.</t>
  </si>
  <si>
    <r>
      <t xml:space="preserve">DENM Situation Container (Signal Violation Notification - </t>
    </r>
    <r>
      <rPr>
        <b/>
        <sz val="10"/>
        <color rgb="FF000000"/>
        <rFont val="Arial"/>
        <family val="2"/>
        <scheme val="minor"/>
      </rPr>
      <t>Cause Code and SubCause Code</t>
    </r>
    <r>
      <rPr>
        <sz val="10"/>
        <color rgb="FF000000"/>
        <rFont val="Arial"/>
        <family val="2"/>
        <scheme val="minor"/>
      </rPr>
      <t>)</t>
    </r>
  </si>
  <si>
    <t>The attacker suppresses legitimate signal violation notifications, preventing accurate detection of traffic rule breaches, increasing collision risks.</t>
  </si>
  <si>
    <t>Tampering with the OBU or RSU to delete or modify signal violation data before transmission over the V2X network.</t>
  </si>
  <si>
    <t>The attacker may aim to enable reckless driving, avoid penalties for traffic violations, or create unsafe road conditions for malicious purposes.</t>
  </si>
  <si>
    <t>Suppressing signal violations (e.g., running red lights) can lead to high-speed intersection collisions, risking severe injuries or fatalities.</t>
  </si>
  <si>
    <t>Legal liabilities, insurance claims, and financial losses due to severe accidents and potential lawsuits.</t>
  </si>
  <si>
    <t xml:space="preserve">	Disruption of traffic law enforcement and loss of trust in traffic management systems, leading to operational inefficiencies.</t>
  </si>
  <si>
    <t>If signal violation data includes identifying information (e.g., location and time), it could lead to privacy breaches if accessed or misused.</t>
  </si>
  <si>
    <t>Integrate secure firmware with message integrity checks, deploy backup RSUs for cross-verification, and use machine learning models to detect missing traffic events.</t>
  </si>
  <si>
    <t>V2X Communication Stack (OBU, RSU),DENM Situation Container and Signal Violation Monitoring Systems,Cryptographic Integrity Checking Systems,Traffic Management and Intersection Control Systems</t>
  </si>
  <si>
    <t>Ensuring that signal violations are accurately reported is critical for road safety, legal enforcement, and maintaining traffic order.</t>
  </si>
  <si>
    <t>Maintain integrity, availability, and non-repudiation of traffic violation data within the V2X ecosystem.</t>
  </si>
  <si>
    <t>The attacker injects false signal violation messages (e.g., non-existent red light violations), causing unnecessary braking, rerouting, and traffic delays.</t>
  </si>
  <si>
    <t>The attacker gains unauthorized access to the vehicle’s OBU or RSU to manipulate Cause Code and SubCause Code for signal violation data before broadcast over the V2X network.</t>
  </si>
  <si>
    <t xml:space="preserve">The attacker aims to disrupt traffic flow, induce unnecessary braking, or exploit the created congestion for malicious purposes such as diversion during criminal activity.
</t>
  </si>
  <si>
    <t>Sudden braking or rerouting due to false signal violations may lead to rear-end collisions, increasing the risk of accidents, especially at busy intersections.</t>
  </si>
  <si>
    <t>Increased costs due to delayed deliveries, fuel wastage, and possible insurance claims from minor collisions caused by abrupt stops or reroutes.</t>
  </si>
  <si>
    <t>Significant traffic disruptions, delays, and loss of efficiency in traffic management systems due to frequent false alerts.</t>
  </si>
  <si>
    <t>Use cryptographic validation of all signal violation messages, deploy real-time monitoring systems in RSUs, and enforce strict access controls for OBU firmware updates.</t>
  </si>
  <si>
    <t>OBU and RSU firmware, DENM message processing systems, and traffic management control algorithms.</t>
  </si>
  <si>
    <t xml:space="preserve"> False signal violation reports can severely affect traffic flow and road safety, making robust validation and anomaly detection necessary.</t>
  </si>
  <si>
    <t>Ensure data integrity, availability, and secure communication across V2X networks.</t>
  </si>
  <si>
    <t>DENM Situation Container (Collision Risk Notification - Cause Code and SubCause Code)</t>
  </si>
  <si>
    <t>The attacker injects false collision risk notifications such as longitudinal, crossing, lateral, or vulnerable road user collision risks, causing unnecessary braking, evasive maneuvers, or traffic congestion.</t>
  </si>
  <si>
    <t>The attacker gains unauthorized access to the OBU or RSU to manipulate collision risk data before broadcasting over the V2X network.</t>
  </si>
  <si>
    <t>The attacker aims to create confusion and panic, induce unnecessary vehicle responses, or exploit the resulting traffic disruptions for malicious purposes</t>
  </si>
  <si>
    <t>False collision risk alerts may cause sudden braking, swerving, or evasive maneuvers, increasing the potential for multi-vehicle collisions or accidents</t>
  </si>
  <si>
    <t>Financial losses from traffic disruptions, delayed deliveries, fuel wastage, and potential minor accident claims due to abrupt vehicle responses.</t>
  </si>
  <si>
    <t>Major operational impact due to unnecessary vehicle responses, reduced traffic flow efficiency, and increased workload for traffic management systems.</t>
  </si>
  <si>
    <t>Misuse of location-specific collision risk data could lead to privacy breaches or violations of regulations related to traffic data usage and safety obligations.</t>
  </si>
  <si>
    <t>Deploy cryptographic message signing, integrate real-time monitoring of V2X communications, and enforce secure firmware updates for OBUs and RSUs.</t>
  </si>
  <si>
    <t>OBU and RSU firmware, DENM message processing modules, and collision risk assessment algorithms.</t>
  </si>
  <si>
    <t>Preventing false collision risk notifications is crucial to maintaining road safety and ensuring the effectiveness of traffic management systems.</t>
  </si>
  <si>
    <t>Ensure data integrity, availability, and secure communication within the V2X ecosystem.</t>
  </si>
  <si>
    <t>The attacker suppresses legitimate collision risk alerts (e.g., longitudinal, crossing, lateral, or vulnerable road user collisions), preventing drivers from receiving critical warnings.</t>
  </si>
  <si>
    <t>Tampering with the OBU or RSU to delete or modify collision risk notifications before they are broadcast over the V2X network.</t>
  </si>
  <si>
    <t>The attacker may aim to cause accidents, facilitate reckless driving, or compromise traffic safety by removing essential collision warnings.</t>
  </si>
  <si>
    <t>Suppressing collision risk notifications can result in vehicles being unaware of imminent collisions, leading to severe accidents or fatalities.</t>
  </si>
  <si>
    <t>High financial losses due to accident-related damages, insurance claims, legal liabilities, and potential lawsuits from collision victims.</t>
  </si>
  <si>
    <t>Disruption of traffic safety protocols, increased accident rates, and loss of trust in automated traffic management and collision avoidance systems.</t>
  </si>
  <si>
    <t>Legal consequences due to viloation of safety and disruption of  traffic causing 
significant consequences for business operations and finance as well as media attention</t>
  </si>
  <si>
    <t>Integrate secure OBU firmware with integrity checks, establish backup RSUs for alert validation, and apply machine learning-based anomaly detection for collision risks.</t>
  </si>
  <si>
    <t>OBU firmware, RSU alerting mechanisms, backend traffic management systems, and collision risk processing algorithms.</t>
  </si>
  <si>
    <t>Ensuring accurate and timely collision risk notifications is essential for road safety and preventing high-impact traffic incidents.</t>
  </si>
  <si>
    <t xml:space="preserve"> Maintain the integrity, availability, and non-repudiation of collision risk notifications across the V2X network.</t>
  </si>
  <si>
    <t>DENM Situation Container (Dangerous Situation Notification - Cause Code and SubCause Code)</t>
  </si>
  <si>
    <t>The attacker injects false emergency brake light activation signals, causing vehicles to respond with sudden braking or unnecessary caution.</t>
  </si>
  <si>
    <t>The attacker exploits access to the vehicle’s OBU or RSU to modify the Dangerous Situation fields before broadcasting them over the V2X network.</t>
  </si>
  <si>
    <t>The attacker aims to disrupt traffic flow, cause panic, or exploit the resulting traffic congestion for malicious purposes.</t>
  </si>
  <si>
    <t>Sudden and unnecessary braking can lead to rear-end collisions, especially in high-speed or congested areas.</t>
  </si>
  <si>
    <t>False emergency alerts may cause minor operational costs due to unnecessary checks or system diagnostics, but these would not significantly strain financial resources. |</t>
  </si>
  <si>
    <t>Traffic disruptions from unnecessary braking and reduced traffic flow efficiency.</t>
  </si>
  <si>
    <t xml:space="preserve"> False emergency alerts do not directly disclose personal data, but repeated false alarms may cause minor violations of traffic management regulations without severe financial or operational penalties (e.g., warnings, minor legal scrutiny). |
</t>
  </si>
  <si>
    <t>Integrate secure communication protocols (e.g., IEEE 1609.2) for all V2X messages,Regular OBU and RSU firmware updates with secure boot mechanisms,Continuous traffic monitoring and correlation with other vehicle data to validate emergency alerts.</t>
  </si>
  <si>
    <t>OBU firmware and communication stack,RSU alerting systems and traffic management backends,DENM message validation protocols and infrastructure.</t>
  </si>
  <si>
    <t>Ensures accurate and reliable dissemination of critical road safety information, protecting drivers and road users.Reduces false alerts that can cause panic or traffic disruptions, and prevents suppression of genuine alerts that could lead to accidents.</t>
  </si>
  <si>
    <t>Guarantee the accuracy and authenticity of DENM messages.(Integrity).Ensure timely and reliable delivery of critical safety information.(Availability).Confirm that messages come from legitimate sources and have not been altered.(Non-repudiation)</t>
  </si>
  <si>
    <t>The attacker suppresses genuine emergency brake light activation signals, preventing vehicles from responding to real hazards.</t>
  </si>
  <si>
    <t>The attacker compromises the OBU or RSU to block or alter legitimate Dangerous Situation messages before transmission.</t>
  </si>
  <si>
    <t>The attacker may seek to increase accident rates, create chaos, or exploit the resulting damage for financial or competitive gain.</t>
  </si>
  <si>
    <t>Failure to alert nearby vehicles to emergency braking can lead to high-speed collisions and life-threatening injuries.</t>
  </si>
  <si>
    <t>Suppressing critical alerts can lead to substantial financial losses. Accidents caused by missing emergency brake signals may result in high repair costs, legal liabilities, increased insurance premiums, and potential regulatory fines, though the financial stability of the organization is not at risk.</t>
  </si>
  <si>
    <t>Accidents and traffic blockages from unreported hazards can cause widespread delays.</t>
  </si>
  <si>
    <t>Suppressing genuine emergency alerts may lead to legal consequences for traffic management authorities due to failure in ensuring road safety, with potential financial penalties and public criticism, impacting the reputation of infrastructure operators or vehicle manufacturers.</t>
  </si>
  <si>
    <t xml:space="preserve">The attacker sends false pre-crash activation messages, prompting unnecessary evasive actions by vehicles. </t>
  </si>
  <si>
    <t>The attacker manipulates OBU firmware or RSU transmissions to insert false pre-crash alerts.</t>
  </si>
  <si>
    <t>The attacker could aim to induce unnecessary vehicle maneuvers, leading to traffic disruptions or accidents.</t>
  </si>
  <si>
    <t>False pre-crash activations may cause abrupt lane changes or braking, increasing accident risk.</t>
  </si>
  <si>
    <t>Misleading pre-crash alerts would incur low financial impact. Minor operational disruptions or investigations into false alerts would result in manageable financial costs for the organization, remaining within tolerable limits.</t>
  </si>
  <si>
    <t>Traffic delays and confusion due to unnecessary emergency responses.</t>
  </si>
  <si>
    <t>Pre-crash system activations involve operational data rather than personal data. However, misuse of such alerts may violate safety regulations, leading to minor legal implications (e.g., warnings or fines) without major financial impact.</t>
  </si>
  <si>
    <t>DENM Manager Container- referenceTime</t>
  </si>
  <si>
    <t>The attacker injects a false referenceTime set to a current timestamp, tricking receiving ITS-S into believing a fictitious event (e.g., road accident, obstruction) has just been triggered. This falsely initiates a new DENM trigger message.</t>
  </si>
  <si>
    <t>Network compromise through RSU or OBU to falsify transmitted DENM packets.</t>
  </si>
  <si>
    <t>To disrupt normal traffic patterns, cause unnecessary rerouting, congestion, or emergency service responses.</t>
  </si>
  <si>
    <t>Potential minor accidents due to unexpected maneuvers or braking.</t>
  </si>
  <si>
    <t>Minor disruptions tolerable financially, indirect costs manageable by OEM.</t>
  </si>
  <si>
    <t>Temporary and partial degradation of traffic flow and efficiency</t>
  </si>
  <si>
    <t>Minimal legislative impact; negligible privacy concerns.</t>
  </si>
  <si>
    <t>Integrity checks via cryptographic signatures for DENM messages.Implement anomaly detection algorithms within OBU and RSU.Backend cross-verification of newly triggered events.</t>
  </si>
  <si>
    <t>OBU firmware (message signing).RSU verification systems.Backend validation services</t>
  </si>
  <si>
    <t>Reducing false trigger events maintains accurate traffic conditions, preventing unnecessary disruption and potential safety hazards.</t>
  </si>
  <si>
    <t>Integrity, Availability, Non-repudiation</t>
  </si>
  <si>
    <t>An attacker modifies referenceTime for update-type DENMs, falsely communicating that an ongoing event (e.g., road blockage) has been recently updated, either prematurely indicating event resolution or delaying the update of critical event information.</t>
  </si>
  <si>
    <t>Unauthorized network access through compromised RSU/OBU infrastructure to alter timestamps in DENM updates.</t>
  </si>
  <si>
    <t>Intentional misinformation to direct traffic into unresolved hazards or unnecessarily prolong traffic restrictions.</t>
  </si>
  <si>
    <t>Increased likelihood of severe collisions or incidents from outdated event information.</t>
  </si>
  <si>
    <t>Significant indirect costs, including legal liabilities, reputation damage, and insurance claims.</t>
  </si>
  <si>
    <t>Substantial disruption, delays in emergency services, and prolonged traffic congestion.</t>
  </si>
  <si>
    <t>Minimal legislative concern; negligible privacy concerns.</t>
  </si>
  <si>
    <t>Secure timestamp protocols and cryptographic signing.Anomaly detection of suspicious updates at the backend and OBU/RSU.Cross-check updates using multiple independent ITS-S sources.</t>
  </si>
  <si>
    <t>RSU update-management system.OBU software integrity.Backend validation architecture</t>
  </si>
  <si>
    <t>Accurate and timely event updates are critical for safe and efficient traffic management.</t>
  </si>
  <si>
    <t>The attacker manipulates the referenceTime field in cancellation or negation DENMs, falsely declaring an active event (such as a hazardous situation or accident) terminated prematurely or incorrectly invalidating an active alert.</t>
  </si>
  <si>
    <t>Compromise of the network interface via unauthorized RSU/OBU access, modifying DENM cancellation packets.</t>
  </si>
  <si>
    <t>Maliciously exposing road users to ongoing hazards by falsely declaring areas safe.</t>
  </si>
  <si>
    <t>Significant potential for fatal accidents due to misinformation.</t>
  </si>
  <si>
    <t>Substantial direct and indirect financial damage from major accidents, legal action, and brand reputation harm.</t>
  </si>
  <si>
    <t>Severe operational disruptions due to accident management, emergency response delays, and prolonged congestion.</t>
  </si>
  <si>
    <t>Legislative risks from failing safety standards, significant fines, and regulatory actions possible.</t>
  </si>
  <si>
    <t>Use cryptographic message signing to ensure timestamp integrity.Employ backend validation against multiple sources before allowing cancellations.Implement real-time monitoring systems for anomalies.</t>
  </si>
  <si>
    <t>RSU and OBU message validation mechanisms.Secure backend systems</t>
  </si>
  <si>
    <t>The integrity of event termination data is critical, as incorrect terminations can directly cause severe safety hazards.</t>
  </si>
  <si>
    <t>Integrity, Availability, Non-repudiation, Compliance</t>
  </si>
  <si>
    <t>DENM Manager Container- EventPosition</t>
  </si>
  <si>
    <t>An attacker modifies the EventPosition data to falsely relocate an existing hazard or accident to an incorrect geographical position (e.g., several kilometers away from its actual location).</t>
  </si>
  <si>
    <t>Attacker exploits vulnerabilities in the vehicle’s OBU or RSU via wireless network interfaces transmitting manipulated geographical coordinates before broadcasting.</t>
  </si>
  <si>
    <t>Remote wireless attack on V2X interfaces without physical restrictions. Intended confusion or operational disruption by causing vehicles and emergency responders to reroute away from the actual event location.</t>
  </si>
  <si>
    <t>Significant confusion can cause collisions, near-miss incidents, or severe accidents due to sudden rerouting or braking (severe injuries probable).</t>
  </si>
  <si>
    <t>Substantial financial implications from emergency service inefficiencies, higher operational costs, potential liabilities, and significant reputational harm to OEM or ITS operator.</t>
  </si>
  <si>
    <t>Critical disruptions to traffic flow, improper allocation of emergency resources, delayed responses, and overall traffic management inefficiencies.</t>
  </si>
  <si>
    <t>Moderate legislative penalties and regulatory implications for inaccurate or misleading DENM information broadcasted by compromised ITS systems. Privacy implications minimal.</t>
  </si>
  <si>
    <t>Digital signatures for message authentication and integrity checks.Real-time verification through cross-validation of reported positions with other sensor data or independent reporting units.Geofencing and plausibility checks for automatic detection of anomalous positions.Regular firmware/software updates of OBUs and RSUs to protect against vulnerabilities.</t>
  </si>
  <si>
    <t>OBU and RSU firmware security and validation algorithms.Backend verification and anomaly detection infrastructure.Cryptographic key management and message-signing processes.</t>
  </si>
  <si>
    <t>Preventing incorrect rerouting of traffic and avoiding unnecessary risks to public safety are critical objectives. The integrity of location data directly affects safety-critical decisions and emergency response effectiveness.</t>
  </si>
  <si>
    <t>Integrity, Availability, Non-repudiation, Compliance.</t>
  </si>
  <si>
    <t>An attacker injects false geographical coordinates into the EventPosition field, fabricating a non-existent hazard (e.g., fake accident or blockage) at a strategically chosen high-traffic area to deliberately cause significant congestion or panic.</t>
  </si>
  <si>
    <t>Compromise OBU or RSU remotely through the network stack to insert and transmit falsified DENM messages.</t>
  </si>
  <si>
    <t>Malicious intent to create operational chaos, massive disruption, or economic impact. Attack might have a criminal or political motive (e.g., disrupt major transportation routes or infrastructures).</t>
  </si>
  <si>
    <t>High likelihood of serious accidents or injuries due to sudden braking, confusion, and panic reactions from falsely perceived hazards.</t>
  </si>
  <si>
    <t>Major financial impact due to significant traffic disruption costs, emergency service deployments, reputational damage, and potential regulatory penalties.</t>
  </si>
  <si>
    <t>Severe operational disruptions, extensive congestion, inefficient emergency services resource allocation, and broad-scale impact on traffic management.</t>
  </si>
  <si>
    <t>Potential regulatory consequences from broadcasting false safety-critical information. Minimal privacy impact.</t>
  </si>
  <si>
    <t>Enforce strong cryptographic message protection (digital signatures, message integrity).Advanced anomaly detection using cooperative V2X communication (cross-validation of data from multiple vehicles/RSUs).Geofencing and sanity checks within ITS infrastructure to immediately flag inconsistent or improbable event locations.</t>
  </si>
  <si>
    <t>OBU and RSU security features, firmware validation, and cryptographic key management.Backend anomaly detection services, geographical plausibility modules, and verification algorithms.</t>
  </si>
  <si>
    <t>The deliberate fabrication of false hazards in critical traffic areas poses severe threats to public safety, traffic efficiency, and economic stability. Such events require immediate mitigation due to their high impact on safety and public trust.</t>
  </si>
  <si>
    <t>DENM Management Container-DetectionTime</t>
  </si>
  <si>
    <t>An attacker delays the DetectionTime reported in the DENM message, causing receiving vehicles to perceive recent hazards as outdated or less urgent, thus potentially ignoring or underestimating the danger.</t>
  </si>
  <si>
    <t>Compromising OBU or RSU software via network vulnerabilities to manipulate the timestamp data within outgoing DENM messages.</t>
  </si>
  <si>
    <t>Motivated by malicious intent to disrupt timely emergency responses, increasing risks of accidents due to incorrect driver perception of urgency.</t>
  </si>
  <si>
    <t>Underestimated urgency can lead to serious collisions due to inadequate reaction to real hazards.</t>
  </si>
  <si>
    <t>Substantial financial costs due to potential accidents, liability, reputation damage, and emergency responses.</t>
  </si>
  <si>
    <t>Significant disruption to traffic and emergency management operations due to delayed or inappropriate responses.</t>
  </si>
  <si>
    <t>Minimal privacy concerns; legislative impacts limited to potential regulatory warnings without major consequences.</t>
  </si>
  <si>
    <t>Cryptographic message authentication (digital signatures) to ensure timestamp integrity.Cross-validation of DetectionTime through multiple independent sensors or adjacent vehicles (cooperative validation).Real-time anomaly detection algorithms to detect unusual timestamp delays.</t>
  </si>
  <si>
    <t>Cryptographic validation in OBU firmware.Timestamp validation and synchronization mechanisms in RSU backend services.Cooperative V2X systems for cross-verification of event timing.</t>
  </si>
  <si>
    <t>Ensuring timely and accurate hazard warnings is critical for maintaining safety and effective traffic management.</t>
  </si>
  <si>
    <t>Integrity, Availability, Non-repudiation.</t>
  </si>
  <si>
    <t>An attacker manipulates DetectionTime to falsely indicate events as having just occurred, creating panic or unnecessary urgency, causing hazardous driver behavior such as abrupt braking or dangerous rerouting.</t>
  </si>
  <si>
    <t>Wireless manipulation through compromised OBU or RSU to inject salse, advanced DetectionTime data.</t>
  </si>
  <si>
    <t>Intent to cause disruption, panic, or accidents in targeted traffic areas.</t>
  </si>
  <si>
    <t>Immediate panic reactions or sudden maneuvers can cause collisions and injuries.</t>
  </si>
  <si>
    <t>High costs from emergency deployments, accidents, liability claims, and brand damage.</t>
  </si>
  <si>
    <t>Operational chaos from misdirected emergency resources, traffic disruptions, congestion, and delays.</t>
  </si>
  <si>
    <t>Regulatory penalties and warnings possible due to propagation of false safety-critical information.</t>
  </si>
  <si>
    <t>Use digital signatures and timestamps verification.Employ advanced real-time anomaly detection to identify and discard implausibly advanced timestamps.Incorporate secure time synchronization protocols (e.g., secure NTP) within ITS infrastructures.</t>
  </si>
  <si>
    <t>Secure synchronization protocols in OBU and RSU software.Backend anomaly detection and validation algorithms for DetectionTime.Cryptographic message authentication in OBU.</t>
  </si>
  <si>
    <t>Preventing false alerts that lead to unsafe driving behaviors and operational disruption is crucial for safety and efficiency.</t>
  </si>
  <si>
    <t>DENM Management Container-ValidityDuration (B.55)</t>
  </si>
  <si>
    <t>An attacker shortens the ValidityDuration field, causing legitimate safety events to appear as quickly resolved or irrelevant, thus prematurely removing warnings from receiving vehicles.</t>
  </si>
  <si>
    <t>Attacker gains remote access to OBU or RSU via network vulnerabilities to alter ValidityDuration to an artificially short duration before DENM transmission.</t>
  </si>
  <si>
    <t>Attacker intends to reduce the effectiveness of V2X safety warnings, potentially leading to unnoticed hazards and traffic incidents.</t>
  </si>
  <si>
    <t>Vehicles prematurely lose hazard awareness, potentially causing severe collisions and injuries.</t>
  </si>
  <si>
    <t>Financially significant impacts include liability from resulting accidents, increased insurance costs, and reputational damage for service providers.</t>
  </si>
  <si>
    <t>Operational disruptions due to incorrect timing of safety alerts, emergency resource misallocation, and increased congestion from accidents.</t>
  </si>
  <si>
    <t>Legislative repercussions from non-compliance in safety-critical notifications. Regulatory attention and fines could result due to compromised safety functionalities.</t>
  </si>
  <si>
    <t>Apply cryptographic signatures to validate ValidityDuration field integrity.Implement plausibility checks (cross-reference reported event duration with known hazard types).Real-time anomaly detection in RSU and backend systems to identify abnormal ValidityDuration alterations.</t>
  </si>
  <si>
    <t>OBU message authentication modules.Backend validation and monitoring systems.RSU software responsible for DENM validation and propagation.</t>
  </si>
  <si>
    <t>Ensuring accuracy and reliability of ValidityDuration is critical to maintain driver trust in DENM warnings and ensure appropriate reaction to hazards.</t>
  </si>
  <si>
    <t>An attacker artificially extends the ValidityDuration, causing obsolete or resolved events to persist as active warnings. This results in unnecessary rerouting or reduced effectiveness of V2X alerts.</t>
  </si>
  <si>
    <t>Remote compromise of the OBU or RSU via network exploitation to inject  manipulated extended ValidityDuration data into DENM before broadcast.</t>
  </si>
  <si>
    <t>Intended to create traffic disruption, confusion, congestion, or to degrade trust in the V2X alerting system.</t>
  </si>
  <si>
    <t>Persistent false alerts lead to driver frustration or complacency, moderately raising collision risk due to distraction or unnecessary rerouting.</t>
  </si>
  <si>
    <t>Limited direct financial damages; primarily operational inefficiencies, but manageable by organizations involved.</t>
  </si>
  <si>
    <t>Significant disruption in traffic flow, emergency management inefficiencies, and congestion caused by prolonged erroneous alerts.</t>
  </si>
  <si>
    <t>Minor legislative implications; no significant privacy concerns, as personal data is unaffected.</t>
  </si>
  <si>
    <t>Digital signatures and timestamp validation to protect DENM integrity.Plausibility algorithms (comparing standard event durations) to detect extended validity anomalies.RSU/Backend analytics for monitoring and corrective action (removal of outdated DENMs).</t>
  </si>
  <si>
    <t>OBU cryptographic verification modules.DENM timing management systems at RSU and backend.Anomaly detection and correction algorithms in the central traffic management system.</t>
  </si>
  <si>
    <t>Preventing the prolongation of obsolete alerts is crucial for maintaining driver trust and traffic operational efficiency.</t>
  </si>
  <si>
    <t>DENM Location Container - Traces Subcontainer</t>
  </si>
  <si>
    <t>An attacker injects fabricated waypoint data, leading vehicles to perceive incorrect routing paths or to misinterpret the event location, causing traffic disruption.</t>
  </si>
  <si>
    <t>Attacker gains unauthorized access to the OBU or RSU, manipulating the Traces data within the DENM before transmission.</t>
  </si>
  <si>
    <t>The attacker seeks to cause traffic confusion or rerouting, either to create congestion, panic, or delay critical responses such as emergency vehicles.</t>
  </si>
  <si>
    <t>Misguided vehicles may cause accidents or unsafe driving behavior due to incorrect navigation or abrupt rerouting.</t>
  </si>
  <si>
    <t>Substantial financial losses due to increased fuel consumption, potential accident liability, and reputation loss from incidents.</t>
  </si>
  <si>
    <t>Significant disruption of traffic flows, leading to widespread congestion and delayed emergency response.</t>
  </si>
  <si>
    <t>No direct privacy violation from manipulation of waypoint data.</t>
  </si>
  <si>
    <t>Cryptographic validation (digital signatures) for waypoint authenticity,Real-time anomaly detection to verify the consistency of the provided waypoints,Cross-validation by multiple RSUs and OBUs.</t>
  </si>
  <si>
    <t>OBU/RSU firmware handling Traces data,DENM validation and integrity-check mechanisms.</t>
  </si>
  <si>
    <t>The integrity of navigation data is critical to prevent accidents, maintain public trust in automated routing systems, and ensure rapid emergency response.</t>
  </si>
  <si>
    <t xml:space="preserve">Maintain integrity, availability, and authenticity of location referencing information.
</t>
  </si>
  <si>
    <t>An attacker modifies legitimate waypoint data in the Traces subcontainer to slightly shift or distort the actual route towards hazardous or congested areas.</t>
  </si>
  <si>
    <t>Network-based manipulation via compromised RSU or OBU software/firmware to alter legitimate data.</t>
  </si>
  <si>
    <t>The attacker aims to indirectly cause congestion, confusion, or minor accidents by subtly misguiding vehicles without raising immediate suspicion.</t>
  </si>
  <si>
    <t>Subtle shifts in routes might increase risk of minor collisions or driver confusion but not immediate severe threats.</t>
  </si>
  <si>
    <t>Substantial indirect financial costs through increased operational costs, minor accidents, and reduced operational efficiency.</t>
  </si>
  <si>
    <t>Persistent traffic congestion, confusion, and slower emergency responses due to suboptimal routing.</t>
  </si>
  <si>
    <t>No privacy concerns directly involved from route manipulation.</t>
  </si>
  <si>
    <t>Enhanced cryptographic checks and frequent authenticity verification of waypoint data, Implementation of geofencing and anomaly detection to flag suspicious changes in routing data.</t>
  </si>
  <si>
    <t>Waypoint handling logic in OBUs and RSUs,DENM verification and routing algorithms.</t>
  </si>
  <si>
    <t>Ensuring reliable route data is essential to maintain efficient traffic management, safety, and emergency response.</t>
  </si>
  <si>
    <t xml:space="preserve">Preserve integrity and availability of accurate navigation data.
</t>
  </si>
  <si>
    <t>DENM Location Container - eventSpeed</t>
  </si>
  <si>
    <t>An attacker artificially increases the speed value reported in the eventSpeed field, making the detected event appear as a high-speed hazard, causing nearby vehicles to react unnecessarily or dangerously (e.g., sudden braking or evasive maneuvers).</t>
  </si>
  <si>
    <t>Network-level compromise or unauthorized access to OBU/RSU data processing units, manipulating eventSpeed values.</t>
  </si>
  <si>
    <t>The attacker aims to create panic or disruptive traffic conditions, possibly as a precursor to another attack or to divert emergency services unnecessarily.</t>
  </si>
  <si>
    <t>Sudden vehicle maneuvers (e.g., braking or evasive actions) could lead to collisions or hazardous driving conditions.</t>
  </si>
  <si>
    <t>Financial repercussions include potential insurance claims, accident liabilities, operational disruptions, and reputational damage.</t>
  </si>
  <si>
    <t>Severe traffic disruptions and emergency-response delays due to exaggerated threat perception.</t>
  </si>
  <si>
    <t>No direct privacy issues from speed manipulation alone.</t>
  </si>
  <si>
    <t xml:space="preserve">Cryptographic digital signatures ensuring data integrity for reported speeds,Real-time anomaly detection comparing reported speeds to realistic vehicle behaviors and event contexts,Cross-verification by neighboring RSUs or vehicles to validate eventSpeed data accuracy.
</t>
  </si>
  <si>
    <t>RSU and OBU firmware handling DENM speed data,Event-speed validation logic and anomaly detection systems.</t>
  </si>
  <si>
    <t>Reliable event-speed data is essential to maintain safe traffic flow, prevent accidents, and ensure efficient emergency responses.</t>
  </si>
  <si>
    <t>Ensure data integrity, reliability, and non-repudiation.</t>
  </si>
  <si>
    <t>An attacker sets eventSpeed values near zero, falsely indicating that a hazard or event is stationary or moving slowly, causing approaching vehicles to underestimate the risk and possibly collide with high-speed hazards.</t>
  </si>
  <si>
    <t>Unauthorized data injection or modification via compromised RSUs or OBUs.</t>
  </si>
  <si>
    <t>The attacker intends to cause dangerous vehicle behavior by manipulating hazard perception, creating a scenario where drivers fail to respond adequately to fast-moving obstacles or hazards.</t>
  </si>
  <si>
    <t>High likelihood of severe accidents due to underestimation of hazard speed, causing drivers to react inadequately.</t>
  </si>
  <si>
    <t>Substantial financial consequences through potential vehicle accidents, legal liabilities, recalls, and loss of brand trust.</t>
  </si>
  <si>
    <t>Traffic delays and severe disruptions resulting from accidents and emergency-response complexities.</t>
  </si>
  <si>
    <t>No direct privacy issues involved from speed data manipulation.</t>
  </si>
  <si>
    <t>Strong authentication and integrity checks on data transmissions to prevent unauthorized manipulation,Cross-referencing eventSpeed values with contextual data such as eventPosition, nearby vehicles' speed, and historical data patterns,Implementation of anomaly detection and fail-safe mechanisms alerting drivers of uncertain or suspicious information.</t>
  </si>
  <si>
    <t>Speed verification algorithms in OBUs and RSUs,Event validation processes and alert mechanisms within DENM systems.</t>
  </si>
  <si>
    <t>Ensuring accuracy of speed reporting prevents severe safety risks, accidents, and significant financial and operational impacts.</t>
  </si>
  <si>
    <t>Maintain data integrity, safety, and operational reliability.</t>
  </si>
  <si>
    <t>The attacker subtly manipulates eventSpeed data, indicating slightly higher speeds than reality in urban areas, potentially causing vehicles to accelerate unnecessarily or inadequately perceive risk levels (e.g., near pedestrian crossings).</t>
  </si>
  <si>
    <t>Leveraging minor security gaps in network communication or data validation systems within the ITS infrastructure.</t>
  </si>
  <si>
    <t>The attacker’s goal is to subtly degrade system reliability, potentially causing minor incidents or reducing driver trust in ITS data.</t>
  </si>
  <si>
    <t>Incrementally higher risk of minor accidents or pedestrian-related incidents due to misjudged approach speeds.</t>
  </si>
  <si>
    <t>Limited financial consequences primarily involving minor accidents, moderate liability risks, and potential minor reputation costs.</t>
  </si>
  <si>
    <t>Occasional confusion or minor disruptions in urban traffic, impacting driving efficiency and slightly reducing overall traffic flow.</t>
  </si>
  <si>
    <t>No meaningful privacy impact from minor eventSpeed discrepancies.</t>
  </si>
  <si>
    <t>Acceptance</t>
  </si>
  <si>
    <t>mproved validation mechanisms using onboard sensors and periodic cross-checks with roadside infrastructure,Real-time anomaly detection tuned to identify subtle, consistent discrepancies,Periodic security audits and software updates targeting known vulnerabilities.</t>
  </si>
  <si>
    <t>Traffic management algorithms and onboard driver-assistance calibration,Infrastructure-to-vehicle communication validation protocols.</t>
  </si>
  <si>
    <t>Maintaining accuracy of eventSpeed information is important to retain driver confidence and ensure minor issues do not cumulatively lead to more significant problems.</t>
  </si>
  <si>
    <t>Enhance the integrity, reliability, and effectiveness of speed-related information to support safe vehicle operation and traffic flow.</t>
  </si>
  <si>
    <t>DENM Location Container – eventPositionHeading</t>
  </si>
  <si>
    <t>The attacker significantly alters the heading direction reported in the eventPositionHeading, causing vehicles to misinterpret the actual direction of the hazard, leading to unsafe maneuvers such as incorrect lane changes or inappropriate braking.</t>
  </si>
  <si>
    <t>Network-level unauthorized access or compromise of OBU or RSU data handling event heading information.</t>
  </si>
  <si>
    <t>Attacker seeks to cause hazardous traffic scenarios, disruption, or confusion among drivers, possibly to create opportunities for further attacks or criminal activities.</t>
  </si>
  <si>
    <t>Significant risk of collisions or accidents caused by vehicles making incorrect maneuvers based on false heading data.</t>
  </si>
  <si>
    <t>Accidents, insurance liabilities, legal claims, reputation damages, and potential recall or compliance costs.</t>
  </si>
  <si>
    <t>Traffic disruptions and delays from accidents and incorrect hazard avoidance actions.</t>
  </si>
  <si>
    <t xml:space="preserve">No direct privacy issues due to heading manipulation. </t>
  </si>
  <si>
    <t>Utilize cryptographic digital signatures to secure transmitted heading data.Implement real-time validation by correlating event heading data with position, speed, and environmental context.Cross-validation of event heading through cooperative perception among multiple ITS stations or vehicles.</t>
  </si>
  <si>
    <t>Integrity checking algorithms in OBU firmware and RSU applications handling event position heading.Real-time data fusion and anomaly detection systems.</t>
  </si>
  <si>
    <t>Accurate directional information is critical for effective hazard avoidance, road safety, and smooth traffic operations.</t>
  </si>
  <si>
    <t>Integrity, availability, and non-repudiation of transmitted heading data.</t>
  </si>
  <si>
    <t>The attacker subtly modifies the heading information in the eventPositionHeading field, causing vehicles to gradually deviate from their proper paths, resulting in confusion, reduced driver trust in the system, or unnecessary route recalculations.</t>
  </si>
  <si>
    <t>Unauthorized access or compromise of event-position data within OBU or RSU through network vulnerabilities.</t>
  </si>
  <si>
    <t>Attacker intends to undermine driver confidence in ITS functionalities or induce subtle traffic disturbances for extended periods, complicating detection.</t>
  </si>
  <si>
    <t>Gradual confusion and minor maneuvers pose a moderate risk of incidents</t>
  </si>
  <si>
    <t>Manageable financial impact involving minimal liability, limited reputational damage, and modest corrective costs.</t>
  </si>
  <si>
    <t>Occasional route miscalculations and disruptions, manageable by traffic systems but with some degradation in efficiency.</t>
  </si>
  <si>
    <t>No direct privacy concerns due to minor heading adjustments.</t>
  </si>
  <si>
    <t>Enhanced precision checks for transmitted heading values within strict tolerances,Regular software updates and firmware patches to prevent network-level vulnerabilities exploitation,Introduction of confidence scoring for heading data, ensuring drivers and automated systems are aware of uncertain or potentially compromised data.</t>
  </si>
  <si>
    <t>Heading verification algorithms in OBU and RSU,Data confidence indicators and alerting logic in ITS applications.</t>
  </si>
  <si>
    <t>Ensuring correct event heading data maintains driver trust, optimizes traffic flow, and prevents cumulative safety risks.</t>
  </si>
  <si>
    <t>Ensure high integrity, availability, and operational trustworthiness of the system.</t>
  </si>
  <si>
    <t>DENM Location Container – roadType</t>
  </si>
  <si>
    <t>The attacker alters the roadType field to misrepresent an urban street as a highway or vice versa, causing vehicles to adopt inappropriate speeds or driving behaviors that do not match the actual environment.</t>
  </si>
  <si>
    <t>Unauthorized access through network vulnerabilities within OBU or RSU handling the DENM road type data.</t>
  </si>
  <si>
    <t>Attacker aims to create confusion, safety hazards, or traffic congestion by causing inappropriate driving responses (e.g., excessive speeding or unexpected braking).</t>
  </si>
  <si>
    <t>Incorrect road type indication may prompt vehicles to adopt speeds or maneuvers unsuited to the actual road conditions, potentially causing severe accidents.</t>
  </si>
  <si>
    <t>Costs associated with potential accidents, increased liability, insurance claims, regulatory fines, and reputational damages.</t>
  </si>
  <si>
    <t>Significant disruption to traffic flow, congestion, and delays due to accidents or inappropriate vehicle speeds.</t>
  </si>
  <si>
    <t>No direct impact on privacy from manipulation of road type information.</t>
  </si>
  <si>
    <t>Secure data transmission with cryptographic signatures to ensure integrity of the road type field,Real-time cross-validation with onboard sensors or infrastructure maps to detect inconsistencies,Deploy anomaly detection mechanisms to identify unusual or suspicious road type reporting.</t>
  </si>
  <si>
    <t>Road type classification and verification algorithms,Firmware integrity and data validation processes within OBUs and RSUs,Advanced driver-assistance systems (ADAS) calibration and response logic.</t>
  </si>
  <si>
    <t>Correct road type identification is crucial to maintaining appropriate driving behavior, safety, and efficient traffic flow.</t>
  </si>
  <si>
    <t>Ensure integrity, availability, and reliability of critical road-type information.</t>
  </si>
  <si>
    <t>The attacker makes subtle changes to the roadType classification (such as labeling a suburban road as rural), causing vehicles to gradually adjust speed or caution levels incorrectly, creating minor, cumulative confusion or driver uncertainty.</t>
  </si>
  <si>
    <t>Compromise through lower-level network or software vulnerabilities, potentially bypassing less stringent validation procedures.</t>
  </si>
  <si>
    <t>Attacker aims to degrade driver trust in ITS data, gradually creating persistent minor disruptions rather than immediate and severe events.</t>
  </si>
  <si>
    <t>Minor, cumulative driver confusion with moderate risk of accidents or inappropriate driving behaviors, but typically manageable without severe consequences.</t>
  </si>
  <si>
    <t>Limited financial repercussions, primarily minor liability costs, reputational impact, or modest operational mitigation costs.</t>
  </si>
  <si>
    <t>Occasional traffic inefficiencies, minor delays, or recalculations in route planning, but not significantly disruptive.</t>
  </si>
  <si>
    <t>No meaningful privacy concerns resulting from subtle roadType inaccuracies.</t>
  </si>
  <si>
    <t>DENM à la carte container- LanePosition</t>
  </si>
  <si>
    <t>An attacker injects false lane-position information, falsely indicating congestion in specific lanes (e.g., claiming heavy congestion in lane 1, while the lane is actually clear).</t>
  </si>
  <si>
    <t>The attacker gains network-level access to the RSU or OBU communication modules to inject manipulated DENM messages.</t>
  </si>
  <si>
    <t>The attacker aims to deliberately redirect traffic flows, creating congestion in previously clear lanes or misleading drivers into congested lanes.</t>
  </si>
  <si>
    <t>No immediate safety impact, but misindication may affect priority-based decision-making.</t>
  </si>
  <si>
    <t>Liability claims, increased response costs, operational delays due to mismanaged traffic flow, and reputational damage.</t>
  </si>
  <si>
    <t>Increased congestion, unnecessary lane closures, inefficient traffic distribution.</t>
  </si>
  <si>
    <t>No personal data involved; no significant privacy or legislative concerns.</t>
  </si>
  <si>
    <t>Cryptographic signing of LanePosition data.Anomaly detection algorithms comparing sensor data with received lane-position data.Frequent validation of information using onboard vehicle cameras and sensors.</t>
  </si>
  <si>
    <t>OBU firmware security,RSU communication integrity mechanisms,Vehicle onboard lane detection and traffic management systems</t>
  </si>
  <si>
    <t>Reducing manipulated data regarding lane congestion is crucial for maintaining traffic efficiency, driver safety, and organizational trustworthiness.</t>
  </si>
  <si>
    <t>Maintain Integrity and Availability of congestion lane data.</t>
  </si>
  <si>
    <t>An attacker prevents LanePosition information from being disseminated by intentionally overwhelming the communication channels or specific RSU responsible for broadcasting lane-specific congestion information.</t>
  </si>
  <si>
    <t>Flooding the network interface of the RSU or exploiting firmware to disrupt normal transmission.</t>
  </si>
  <si>
    <t>To cause operational chaos by suppressing critical congestion-related information, thus worsening existing congestion conditions.</t>
  </si>
  <si>
    <t>Inability to receive accurate congestion info may cause moderate collisions or minor injuries due to unexpected lane conditions.</t>
  </si>
  <si>
    <t>Direct and indirect costs from increased congestion and potential accidents due to lack of lane information.</t>
  </si>
  <si>
    <t>Severe disruption to traffic management systems, inefficient utilization of road resources, potential escalation of congestion.</t>
  </si>
  <si>
    <t>No direct privacy violation or legislative implications.</t>
  </si>
  <si>
    <t>Rate limiting on DENM communication channels.Intrusion Detection Systems (IDS) to recognize abnormal traffic patterns.Redundant RSU deployments ensuring continuous service availability.</t>
  </si>
  <si>
    <t>RSU and OBU communication firmware,Network bandwidth management for V2X communication,Traffic management infrastructure redundancy plans</t>
  </si>
  <si>
    <t>Preventing DoS attacks on lane-position information dissemination is essential to preserve accurate, real-time traffic management.</t>
  </si>
  <si>
    <t>Ensure continuous Availability of lane-specific congestion data.</t>
  </si>
  <si>
    <t>An attacker masquerades as a legitimate RSU or OBU, broadcasting seemingly genuine yet malicious lane-position messages about traffic congestion.</t>
  </si>
  <si>
    <t>Exploiting vulnerabilities in authentication protocols, attacker imitates trusted entities broadcasting false lane-specific congestion data.</t>
  </si>
  <si>
    <t>The attacker seeks to manipulate driver behavior for malicious intentions such as causing confusion, traffic jams, or enabling further malicious actions.</t>
  </si>
  <si>
    <t>Driver confusion, lane conflicts resulting in moderate safety risks.</t>
  </si>
  <si>
    <t>Increased operational costs due to mitigation responses, potential accidents, and reputational damages.</t>
  </si>
  <si>
    <t>Operational chaos, ineffective lane management, increased congestion due to misinformation.</t>
  </si>
  <si>
    <t>No direct privacy implications.</t>
  </si>
  <si>
    <t>Robust authentication schemes using cryptographic identity verification.Frequent updates of cryptographic keys.Continuous monitoring for anomalous identity behavior patterns.</t>
  </si>
  <si>
    <t>Cryptographic authentication mechanisms,RSU and OBU identification and registration systems,DENM message identity verification protocols</t>
  </si>
  <si>
    <t>Reliable authentication of lane-position information sources is essential for trusted V2X operations and efficient traffic management.</t>
  </si>
  <si>
    <t>Maintain Integrity and Authenticity of LanePosition information.</t>
  </si>
  <si>
    <t>LanePosition Subcontainer in the DENM à la carte container</t>
  </si>
  <si>
    <t>An attacker manipulates LanePosition data to falsely indicate the lane used by the emergency vehicle, misleading drivers to clear the incorrect lane and blocking the actual lane needed by the emergency responders.</t>
  </si>
  <si>
    <t>The attacker exploits the V2X communication stack in an RSU or compromised vehicle OBU, injecting falsified lane-position information into DENM.</t>
  </si>
  <si>
    <t>The attacker intends to disrupt the passage of emergency vehicles, delaying urgent interventions, potentially exacerbating emergency situations.</t>
  </si>
  <si>
    <t>Potential delay or blockage of emergency vehicles could result in severe or life-threatening injuries to persons awaiting emergency assistance.</t>
  </si>
  <si>
    <t>Possible liabilities due to failed or delayed emergency responses, substantial indirect costs from legal penalties, reputational damages, and corrective actions.</t>
  </si>
  <si>
    <t>Severe disruption to emergency response operations, increased congestion, and extended delays in returning to normal traffic flow.</t>
  </si>
  <si>
    <t>Lane data alone does not expose sensitive personal information or create legislative issues.</t>
  </si>
  <si>
    <t>Use digital signatures and strong cryptographic authentication for LanePosition messages.Implement real-time anomaly detection and validation through cross-checking by multiple vehicles or roadside sensors.Include redundancy checks with CAM (Cooperative Awareness Message) and real-time positioning sensors.</t>
  </si>
  <si>
    <t>RSU and OBU firmware security,DENM message verification and validation systems,Emergency vehicle prioritization protocols in traffic management systems</t>
  </si>
  <si>
    <t>Reliable lane positioning information for emergency vehicle navigation is critical for life-saving responses and traffic safety.</t>
  </si>
  <si>
    <t xml:space="preserve">Maintain Integrity and Availability of lane-position data for emergency scenarios.
</t>
  </si>
  <si>
    <t>An attacker performs a DoS attack specifically targeting the RSU or communication network, blocking the dissemination of LanePosition data related to approaching emergency vehicles.</t>
  </si>
  <si>
    <t>Flooding or overwhelming the network channels or RSU firmware to halt critical lane data transmission.</t>
  </si>
  <si>
    <t>Intentional disruption aiming to delay emergency vehicle passage, creating severe operational disruptions and potential endangerment of life.</t>
  </si>
  <si>
    <t>Emergency vehicles unable to transmit lane data could lead to life-threatening delays or accidents due to unclear or blocked paths.</t>
  </si>
  <si>
    <t>Considerable financial damage due to emergency response failures, potential lawsuits, fines, and indirect reputation loss for the organization.</t>
  </si>
  <si>
    <t>Critical disruption of traffic management for emergency situations, potentially increasing overall response times and congestion.</t>
  </si>
  <si>
    <t>No privacy violation, purely operational disruption.</t>
  </si>
  <si>
    <t>Introduce redundancy and multiple communication paths.Implement network intrusion detection and rapid response mechanisms.Employ frequency/channel hopping and load balancing to mitigate flood attacks.</t>
  </si>
  <si>
    <t>Communication network infrastructure resilience,RSU and OBU redundancy systems,Emergency communication protocol robustness</t>
  </si>
  <si>
    <t>Ensuring continuous availability of critical lane positioning information is essential to enable swift emergency response.</t>
  </si>
  <si>
    <t>Maintain continuous Availability of lane-position information dissemination for emergency vehicles.</t>
  </si>
  <si>
    <t>An attacker impersonates a legitimate RSU or emergency vehicle, broadcasting false lane-position data and misleading other vehicles regarding the actual lane of the approaching emergency vehicle.</t>
  </si>
  <si>
    <t>Attacker exploits identity verification vulnerabilities in the V2X system, masquerading as trusted devices to broadcast malicious lane data.</t>
  </si>
  <si>
    <t>Attacker aims to create confusion among road users, delaying emergency vehicle response or creating traffic accidents.</t>
  </si>
  <si>
    <t>Driver confusion can cause severe incidents or significantly impede emergency response operations.</t>
  </si>
  <si>
    <t>Potential liabilities from accidents, emergency delays, reputation damage, and increased operational management costs.</t>
  </si>
  <si>
    <t>Considerable disruption of traffic management efficiency, delaying both emergency services and public transportation flows.</t>
  </si>
  <si>
    <t>The spoofing of a legitimate RSU or emergency vehicle's identity constitutes a privacy violation. Misuse of these identities could lead to abuse, potential impersonation with legal consequences, and media coverage, damaging trust in V2X systems.</t>
  </si>
  <si>
    <t>Enhance secure cryptographic identity verification protocols.Regular updates and rotation of cryptographic keys to prevent compromise.Real-time validation of vehicle identity by integrating multiple sensor sources.</t>
  </si>
  <si>
    <t>Identity management in RSUs and OBUs.Secure communication protocols.Cross-validation of lane data from multiple trusted sources</t>
  </si>
  <si>
    <t>Authenticity of lane data origin is critical for trusted emergency response operations, minimizing delays and confusion.</t>
  </si>
  <si>
    <t>Maintain Integrity, Authenticity, and Confidentiality of the LanePosition information and identity credentials to prevent spoofing attacks and privacy violations.</t>
  </si>
  <si>
    <t xml:space="preserve"> DENM à la carte container - impactReduction</t>
  </si>
  <si>
    <t>An attacker gains access to the OBU of a vehicle and prevents the broadcast of legitimate impactReduction messages, suppressing critical alerts triggered by environmental conditions (e.g., icy roads, hydroplaning zones). Other vehicles remain unaware of active mitigation systems.</t>
  </si>
  <si>
    <t>Malware within the OBU disables or alters the ITS-S application behavior.
Compromised firmware prevents generation or transmission of DENM packets including impactReduction.
Network-based filtering or jamming selectively blocks outgoing safety messages.</t>
  </si>
  <si>
    <t>OBU manipulation</t>
  </si>
  <si>
    <t>Without alerts, following vehicles cannot anticipate dangerous maneuvers triggered by ESP or AEB, potentially causing collisions.</t>
  </si>
  <si>
    <t>Crash liability or product malfunction issues may arise for OEMs unable to prove broadcast.</t>
  </si>
  <si>
    <t>Delay in vehicle reaction chains leads to slowed traffic, erratic behavior, or congestion.</t>
  </si>
  <si>
    <t>No PII is directly involved, but traceability loss may cause legal challenges.</t>
  </si>
  <si>
    <t>Cryptographic signing of DENMs to detect suppression or non-replayability.
Fallback CAM-based detection of triggered mitigation systems for cross-checking.
Watchdog systems ensuring mitigation-triggered messages are sent within time budget.
Log and report missed broadcasts via backend monitoring.</t>
  </si>
  <si>
    <t>DENM generation trigger logic
Security module (PKI, timestamp validation)
OBU transmission interface</t>
  </si>
  <si>
    <t>Safety-critical systems must not fail silently. Suppression of active signals affects time-sensitive decisions and system coordination. Fully avoiding the threat isn't practical due to insider/local threat possibilities.</t>
  </si>
  <si>
    <t>Availability of event-triggered broadcasts
Integrity of messages from environmental inputs
Authenticity to trace broadcast source
Safety through system accountability</t>
  </si>
  <si>
    <t>An attacker gains access to the V2X stack of a vehicle and prevents the broadcast of legitimate impactReduction messages, suppressing critical alerts triggered by environmental conditions (e.g., icy roads, hydroplaning zones). Other vehicles remain unaware of active mitigation systems.</t>
  </si>
  <si>
    <t>Interception/jamming of outgoing packets</t>
  </si>
  <si>
    <t>The attacker injects fake impactReduction messages indicating that pre-crash mitigation systems (e.g., AEB or ESP) were activated, even though no dangerous conditions exist. Vehicles nearby may take precautionary or evasive actions unnecessarily.</t>
  </si>
  <si>
    <t>Injection or replay of fabricated packets</t>
  </si>
  <si>
    <t>Vehicles might slow down abruptly or re-route without real cause, risking low-speed crashes.</t>
  </si>
  <si>
    <t>OEMs may experience minor reputation damage or legal pushback due to “false alarm” behavior.</t>
  </si>
  <si>
    <t>False positives lead to route inefficiencies, stop-and-go driving, and user frustration.</t>
  </si>
  <si>
    <t>Limited direct privacy implication, but legal exposure exists due to system misuse.</t>
  </si>
  <si>
    <t>Use of location-consistency checks with eventPosition and traces to verify plausibility.
Anti-replay mechanisms and timestamps.
Digital signatures on broadcast DENMs with certificate validation.
Confidence-based filtering at receivers to discard anomalous claims.</t>
  </si>
  <si>
    <t>DENM message handler
Trust model / PKI infrastructure
Plausibility filters in V2X receiver stack</t>
  </si>
  <si>
    <t>This attack doesn’t directly harm vehicles, but erodes trust in safety messages. False mitigation events cause vehicles to behave irrationally. Ensuring message trust and authenticity is a feasible defense.</t>
  </si>
  <si>
    <t>Integrity of incoming mitigation events
Authenticity of event origin
Operational continuity during adverse conditions
Trust assurance for broadcast systems</t>
  </si>
  <si>
    <t>DENM à la carte container - externalTemperature</t>
  </si>
  <si>
    <t>An attacker broadcasts falsified externalTemperature values indicating critically low temperatures (e.g., below 0°C), misleading the system into believing the road is icy.</t>
  </si>
  <si>
    <t>The attacker compromises a vehicle’s V2X stack or emulates a trusted ITS station and injects a DENM with false temperature readings via the network.</t>
  </si>
  <si>
    <t>Drivers may overreact or automated systems may reduce speed unnecessarily, potentially causing rear-end collisions or traffic instability.</t>
  </si>
  <si>
    <t>Minor service interruptions or OEM debugging costs due to false alerts.</t>
  </si>
  <si>
    <t>Unnecessary rerouting, reduced speed, or brake triggering affects traffic flow.</t>
  </si>
  <si>
    <t>Legislative concerns arise if OEM systems act on falsified data, affecting trust and service compliance. No direct privacy breach.</t>
  </si>
  <si>
    <t>Cross-verification with multiple sensors or vehicles.
Use of redundancy and majority trust.
Digital signatures to ensure authenticity.</t>
  </si>
  <si>
    <t>ITS-S application trust module
Weather-sensitive driver assistance features</t>
  </si>
  <si>
    <t>The impact is moderate but repetitive attacks could erode trust in safety systems. Effective mitigation through authentication and cross-verification is feasible.</t>
  </si>
  <si>
    <t>Integrity: Ensure temperature values are not manipulated.
Authenticity: Ensure messages are sent by legitimate sources.
Non-repudiation: Log events for post-incident traceability.</t>
  </si>
  <si>
    <t>The attacker prevents accurate temperature readings from being broadcast by filtering, delaying, or deleting DENMs that contain genuine weather alerts (e.g., icy road conditions). This compromises the system's ability to warn road users of real environmental hazards.</t>
  </si>
  <si>
    <t>The attack is executed locally or adjacently through a compromised ITS-S, misconfigured software module, or malware. The attacker intervenes before DENMs are transmitted, dropping or delaying messages.</t>
  </si>
  <si>
    <t>The attacker has physical or logical access to the ITS-S device (e.g., via direct firmware manipulation or onboard diagnostics). They can suppress outbound messages before they’re sent to the network.</t>
  </si>
  <si>
    <t>Vehicles may remain unaware of real dangerous icy road conditions, increasing accident risk.</t>
  </si>
  <si>
    <t>OEM or ITS provider may face legal action or claims due to unreported hazards.</t>
  </si>
  <si>
    <t>Real-time traffic services fail to reroute traffic, causing buildup in hazardous zones.</t>
  </si>
  <si>
    <t>Suppression of critical data could lead to legal liabilities and regulatory penalties under road safety compliance laws.</t>
  </si>
  <si>
    <t>Implement message transmission redundancy (fallback from other vehicles or RSUs)
Use watchdogs to detect suppressed or delayed DENMs
Logging and secure auditing to detect tampering
Require real-time message consistency checks</t>
  </si>
  <si>
    <t>A la carte container → externalTemperature
V2X message transmission module
ITS-S event generation and broadcast stack
Middleware message queue</t>
  </si>
  <si>
    <t xml:space="preserve">The potential consequences of failing to deliver real-time hazard warnings justify active mitigation measures. Availability is critical in this context, and failure can directly endanger lives and traffic services.
</t>
  </si>
  <si>
    <t>Availability: Ensure that real-world conditions are consistently and promptly broadcast.
Integrity: Make sure transmitted messages reflect accurate environmental data.
Authenticity: Confirm that legitimate ITS-S nodes are trusted to transmit.
Non-repudiation: Ensure tampering or message suppression can be traced back to a source for accountability.</t>
  </si>
  <si>
    <t>The attacker uses an adjacent communication channel (e.g., compromised V2V link or RSU) to intercept and block the outgoing DENM transmissions from reaching their intended targets.</t>
  </si>
  <si>
    <t>DENM à la carte container - stationaryVehicle</t>
  </si>
  <si>
    <t>An attacker modifies the stationaryVehicle container to make a dangerously stopped vehicle appear non-hazardous (e.g., no warning lights, minimal lane obstruction indicated). This misleads approaching vehicles about the severity or nature of the obstacle.</t>
  </si>
  <si>
    <t>The attacker compromises the ITS-S software  to inject modified or downplayed breakdown data, making the vehicle appear safely parked rather than posing a traffic risk.</t>
  </si>
  <si>
    <t>Adjacent attacker with V2V spoofing capability simulates a benign breakdown message to deceive others.</t>
  </si>
  <si>
    <t>Vehicles might not react to a real roadside hazard, causing collisions</t>
  </si>
  <si>
    <t>Potential liability claims and reputational damage if OEM systems fail to warn about real hazards</t>
  </si>
  <si>
    <t>Causes reduced responsiveness in traffic flow due to unexpected stops or late maneuvers</t>
  </si>
  <si>
    <t>Inaccurate event data may impact legal compliance and raise questions about ITS liability</t>
  </si>
  <si>
    <t>Vehicle-based redundancy checks (e.g., LIDAR, radar vs. V2X info)
Message authenticity and hazard severity level validation
Inclusion of fallback detection mechanisms (camera image, emergency light signals)</t>
  </si>
  <si>
    <t>V2X communication stack
DENM message filters
Hazard classification modules in ADAS</t>
  </si>
  <si>
    <t>The attack exploits trust in V2X messages. Mitigation via redundancy and message integrity validation offers a balance between complexity and coverage.</t>
  </si>
  <si>
    <t>Maintain Data Accuracy about vehicle states
Ensure Trustworthy Communication
Preserve Safety-Critical Alerts</t>
  </si>
  <si>
    <t>RSU port broadcasting DENM with stationaryVehicle in the payload</t>
  </si>
  <si>
    <t>The attacker compromises theRSU to inject modified or downplayed breakdown data, making the vehicle appear safely parked rather than posing a traffic risk.</t>
  </si>
  <si>
    <t>Physical</t>
  </si>
  <si>
    <t xml:space="preserve">Physical access to the RSU mounted in strategic points on the road to inject malware </t>
  </si>
  <si>
    <t>No real threat since exploiting physical liabilities of the component requires an extreme effort</t>
  </si>
  <si>
    <t>An attacker fabricates multiple stationaryVehicle events in strategic locations (e.g., freeway on-ramps, tunnels) to simulate congestion or breakdowns, causing unnecessary rerouting or panic.</t>
  </si>
  <si>
    <t>The attacker injects fake DENM messages through compromised or rogue ITS-S units (e.g., portable spoofing devices simulating V2X broadcasts).</t>
  </si>
  <si>
    <t>Messages are injected remotely over V2X wireless interfaces by a device impersonating multiple breakdowns in different locations.</t>
  </si>
  <si>
    <t>May cause drivers to brake or reroute abruptly, especially in high-speed zones</t>
  </si>
  <si>
    <t>Impacts fleet efficiency, congestion costs, and misuse of traffic management resources</t>
  </si>
  <si>
    <t>Large-scale disruption to route planning, emergency vehicle dispatch, or public transit reliability</t>
  </si>
  <si>
    <t>Exploiting trust in system-generated traffic messages may trigger investigations and legal scrutiny of ITS operators</t>
  </si>
  <si>
    <t>Implement message plausibility checks (e.g., no stationary event without CAM correlation)
Deploy broadcast authentication (e.g., digital certificates, location checks)
Rate-limit identical messages from the same region</t>
  </si>
  <si>
    <t>Event processing systems
Routing and congestion control modules
ITS message verification infrastructure</t>
  </si>
  <si>
    <t>Fake event injection cannot be fully avoided in open systems, but mitigation through validation and trust scoring can significantly reduce its impact.</t>
  </si>
  <si>
    <t>Prevent Event Fabrication
Protect Traffic Efficiency
Support Operational Continuity</t>
  </si>
  <si>
    <t>DENM à la carte container - stationaryCause</t>
  </si>
  <si>
    <t xml:space="preserve"> The attacker modifies the stationaryCause field in the DENM message to conceal the true cause of a vehicle breakdown. For example, an attacker may downgrade a braking system problem (code 6) to a lack of fuel (code 1), misleading responding vehicles or infrastructure into underestimating the hazard.</t>
  </si>
  <si>
    <t>The attacker gains access to the ITS-S stack via local firmware vulnerabilities or compromised vehicle ECU. They modify the diagnostic report before it reaches the DENM generator module.</t>
  </si>
  <si>
    <t>The attacker exploits physical access during servicing, rental usage, or a shared fleet environment, or plants malware in the IVI (In-Vehicle Infotainment) or OBU firmware. This allows manipulation of internal diagnostics used by the DENM system, including falsifying the stationaryCause field.</t>
  </si>
  <si>
    <t>Misreporting a serious mechanical failure (e.g., brakes or steering) may cause approaching drivers or systems to make incorrect assumptions, potentially leading to collisions.</t>
  </si>
  <si>
    <t>An OEM or ITS operator might face recall costs or damages due to incorrect hazard communication and resulting incidents.</t>
  </si>
  <si>
    <t>Traffic management systems may underreact to a real threat, leading to avoidable congestion or accident escalation.</t>
  </si>
  <si>
    <t>While no direct PII is exposed, false reporting could raise legal issues related to malfunction concealment or incident misreporting, triggering investigations or compliance violations.</t>
  </si>
  <si>
    <t xml:space="preserve">Implement secure logging and attestation of diagnostic events.
Apply signature-based authentication for each DENM container field.
Use redundant validation from multiple ITS sources (e.g., nearby RSUs or CAM cross-verification).
</t>
  </si>
  <si>
    <t>V2X stack software (DENM generation logic)
Middleware integrity checker
Field validation routines at RSUs and OBU</t>
  </si>
  <si>
    <t>Since the threat involves falsification that may lead to significant risks but can be mitigated by integrity checks, digital signatures, and anomaly detection mechanisms.</t>
  </si>
  <si>
    <t>Ensure Integrity of diagnostic and hazard-related event data.
Ensure Authenticity of data origin (ITS-S must be verifiable and trustworthy).
Support Availability of accurate information to allow safe responses.
Enable Accountability in post-incident forensic analysis.</t>
  </si>
  <si>
    <t>The attacker fabricates or escalates the stationaryCause data in a DENM message by reporting a critical failure (e.g., "braking system problem", code 6), even though the vehicle is operating normally or has a minor issue (e.g., "lack of fuel").</t>
  </si>
  <si>
    <t>The attacker exploits vulnerabilities in the V2X stack or injects malicious messages via a rogue ITS-S. This could be a compromised OBU in a vehicle that fabricates or exaggerates failures to create system-level disruptions or test the response of automated traffic infrastructure.</t>
  </si>
  <si>
    <t>The attacker uses over-the-air (OTA) communication channels (e.g., V2V or V2I) to broadcast malicious DENMs from a fake or hijacked ITS station. Since stationaryCause can trigger automated responses, this results in exaggerated countermeasures even in the absence of real failures.</t>
  </si>
  <si>
    <t>False braking/failure alerts can confuse drivers or autonomous systems, leading to sudden, unnecessary maneuvers or chain reactions in dense traffic.</t>
  </si>
  <si>
    <t>While limited, false alarms may cause operational delays, misuse of emergency services, and small-scale economic impact.</t>
  </si>
  <si>
    <t>Misleading messages can cause traffic congestion, rerouting, or false-positive system interventions across many vehicles.</t>
  </si>
  <si>
    <t>No direct PII is exposed, but misuse of trusted DENM broadcast privileges could raise compliance concerns (e.g., liability for false information affecting public traffic).</t>
  </si>
  <si>
    <t>Implement behavioral analysis to detect inconsistencies in reported vehicle conditions.
Cross-check sensor fusion data (e.g., vehicle speed, CAM messages, environmental inputs).
Deploy trust scoring systems for V2X message sources to reduce influence of false actors.
Apply threshold-based response suppression (e.g., delay escalation until corroborated).</t>
  </si>
  <si>
    <t xml:space="preserve">Event classification logic in the DENM handler
Security middleware for ITS stations
RSU-side decision modules for event severity
</t>
  </si>
  <si>
    <t>Mitigating through authentication, trust validation, and anomaly detection is feasible and critical given the impact on operational reliability and public trust.</t>
  </si>
  <si>
    <t>Integrity: Ensure malfunction causes are accurate and not inflated.
Authenticity: Messages must be tied to real, authorized ITS entities.
Availability: V2X channels must remain usable and not overwhelmed by false critical alerts.
Resilience: System should degrade gracefully and verify before action.</t>
  </si>
  <si>
    <t>DENM à la carte container - PositioningSolution</t>
  </si>
  <si>
    <t>An attacker sends a fake DENM with a falsified Positioning Solution, claiming a vehicle has broken down at a false location. This misleads systems, causing misrouted roadside assistance, unnecessary traffic rerouting, and eroding trust in ITS safety messages.</t>
  </si>
  <si>
    <t>The attacker spoofs a legitimate ITS-S or RSU, crafts a malicious DENM with a fake Positioning Solution type and vehicle position, and broadcasts it via V2X, making it appear as a valid report.</t>
  </si>
  <si>
    <t>The attacker exploits weak identity validation in V2X, impersonating trusted sources to inject false breakdown data for disruption or testing system resilience.</t>
  </si>
  <si>
    <t>Misdirected assistance or rerouting could indirectly affect road safety.</t>
  </si>
  <si>
    <t>Emergency services misused and traffic inefficiencies increase costs.</t>
  </si>
  <si>
    <t>Fake reports disrupt real-time traffic management and resource allocation.</t>
  </si>
  <si>
    <t>Liability for ITS providers due to lack of validation; no direct PII involved.</t>
  </si>
  <si>
    <t>Use of digital signatures and certificate validation
Cross-validation of reported positions with redundant positioning sources
Anomaly detection for location patterns</t>
  </si>
  <si>
    <t xml:space="preserve">PositioningSolutionType field, DENM generation logic, and V2X security/authentication stack.
</t>
  </si>
  <si>
    <t>Attack cannot be entirely avoided in open V2X systems, so mitigation is necessary to preserve system reliability without losing functionality.</t>
  </si>
  <si>
    <t>Ensure authenticity of sender, maintain integrity of event location data, and guarantee availability of trusted service alerts.</t>
  </si>
  <si>
    <t>The attacker manipulates the PositioningSolution field to indicate a high-accuracy GNSS or sensor fusion, while using a low-precision method, misleading the system about the reliability of the reported breakdown location.</t>
  </si>
  <si>
    <t xml:space="preserve">The attacker alters the positioning solution metadata in the DENM message before transmission, making it appear more reliable than it actually is, which can influence ITS decision logic.
</t>
  </si>
  <si>
    <t>The attacker tampers with internal positioning data at the application layer or middleware before the DENM is generated, possibly via firmware or software exploitation.</t>
  </si>
  <si>
    <t>Misplaced trust in inaccurate location can cause delays in detection of actual hazards.</t>
  </si>
  <si>
    <t>Misjudgments in response planning may waste resources, but direct losses are minimal.</t>
  </si>
  <si>
    <t xml:space="preserve"> ITS may over-rely on false precision, causing misallocations of resources.</t>
  </si>
  <si>
    <t>Misleading system behavior may raise compliance issues or audit challenges.</t>
  </si>
  <si>
    <t>Cross-check positioning solution types with actual signal source metadata
Apply trust scoring for positioning sources over time
Enable fallback logic if discrepancies are detected in position quality vs. claimed method</t>
  </si>
  <si>
    <t>PositioningSolutionType, Position Trust Evaluation Layer, and V2X event handling logic.</t>
  </si>
  <si>
    <t>Full avoidance is not feasible due to the optional nature of the field and variability in positioning. Mitigation through detection and verification mechanisms ensures a balance between flexibility and trust.</t>
  </si>
  <si>
    <t>Ensure integrity and authenticity of positioning metadata, support accountability for traceability of decisions based on reported data.</t>
  </si>
  <si>
    <t>An attacker modifies the PositioningSolution field in a DENM message to downgrade the reported positioning quality. This manipulation makes a real vehicle breakdown appear less precise or unreliable, delaying response actions or even preventing assistance.</t>
  </si>
  <si>
    <t>The attacker alters the positioning metadata in the ITS-S device or RSU, reducing the perceived accuracy of the event location, making it harder for emergency or repair services to respond effectively.</t>
  </si>
  <si>
    <t>By exploiting software vulnerabilities or injecting false data into the positioning stack, the attacker degrades the reliability of the PositioningSolution metadata, making the breakdown event seem uncertain or untrustworthy.</t>
  </si>
  <si>
    <t>Delayed response to an actual vehicle breakdown may expose stranded passengers to roadside hazards.</t>
  </si>
  <si>
    <t>Prolonged breakdown events could lead to additional repair costs, fleet inefficiencies, or business reputation damage.</t>
  </si>
  <si>
    <t>Incorrect or missing vehicle positioning may result in traffic disruptions and inefficient road assistance dispatch.</t>
  </si>
  <si>
    <t>OEMs and ITS service providers may face regulatory scrutiny for failing to detect manipulated location accuracy.</t>
  </si>
  <si>
    <t>Use positioning redundancy, requiring multiple sensor inputs to validate GNSS accuracy.
Implement trust scoring for ITS-S nodes based on consistency of previous positioning reports.
Apply anomaly detection algorithms to flag inconsistencies in reported vs. actual movement trends.</t>
  </si>
  <si>
    <t>PositioningSolutionType, Trust Evaluation Framework, GNSS Correction Layers.</t>
  </si>
  <si>
    <t>Avoidance is not possible due to the reliance on dynamic, real-world data sources. Mitigation is achievable through redundancy and anomaly-based validation mechanisms.</t>
  </si>
  <si>
    <t xml:space="preserve">Integrity: Ensure that positioning accuracy reflects actual conditions.
Availability: Guarantee that valid breakdown events remain visible in the ITS ecosystem.
Authenticity: Prevent manipulation of reported positioning solutions.
</t>
  </si>
  <si>
    <t>DENM à la carte container - RoadWorks</t>
  </si>
  <si>
    <t>The attacker crafts and transmits a false DENM message with a forged RoadWorks container, simulating a roadworks zone at a location where none exists. This leads ITS-S-equipped vehicles to misinterpret the road environment, triggering unnecessary behavior like lane changes, speed reductions, or route detours.</t>
  </si>
  <si>
    <t>Using V2X communication, the attacker impersonates a roadside unit (RSU) or a road maintenance authority and transmits a fabricated message that includes false roadworks parameters and location data.</t>
  </si>
  <si>
    <t>The attacker exploits the trust in authorized RSUs and sends malicious V2X broadcasts containing fake roadwork messages, relying on insufficient identity/authentication checks by receiving ITS stations.</t>
  </si>
  <si>
    <t>Misguided maneuvers (e.g., sudden braking, lane switching) in response to fake roadworks could increase minor accident risks.</t>
  </si>
  <si>
    <t>Delays, detours, and unnecessary route changes may increase fuel usage, logistics costs, and resource inefficiencies.</t>
  </si>
  <si>
    <t>Traffic disruption and congestion can affect system-wide ITS service reliability and real-time route planning.</t>
  </si>
  <si>
    <t>Legislative concerns may arise from the failure of the ITS system to validate and reject illegitimate infrastructure-originated data.</t>
  </si>
  <si>
    <t>Employ certificate-based authentication for RSUs sending roadworks-related DENMs.
Implement cross-verification mechanisms with infrastructure databases or backend services.
Use AI-driven plausibility checks (e.g., comparing known maintenance schedules or roadwork patterns).</t>
  </si>
  <si>
    <t>RoadWorks container, ITS-S trust anchor validation, RSU provisioning and access control.</t>
  </si>
  <si>
    <t>Because roadworks are dynamic and may change frequently, avoidance is not feasible. Mitigation is achievable through trust validation and intelligent message filtering.</t>
  </si>
  <si>
    <t xml:space="preserve">Integrity: Prevent false modification of roadwork data.
Authenticity: Ensure messages originate from legitimate RSUs or authorized actors.
Availability: Maintain access to genuine roadworks notifications while rejecting spoofed ones.
</t>
  </si>
  <si>
    <t>DENM à la carte container - DF: Restrictions</t>
  </si>
  <si>
    <t>The attacker alters or inserts a fake restriction field in a DENM, falsely indicating that certain vehicle types (e.g., trucks, buses, or emergency vehicles) are not allowed in a roadwork zone. This misinformation can block access or reroute those vehicles unnecessarily.</t>
  </si>
  <si>
    <t xml:space="preserve">The attacker spoofs a legitimate RSU and broadcasts a false restriction targeting specific vehicle categories. Vehicles complying with the V2X system interpret this restriction as valid and adjust routing or stop entirely.
</t>
  </si>
  <si>
    <t>The attacker uses V2X radio to impersonate road authority infrastructure, targeting the restriction DF to manipulate access control enforcement logic in receiving ITS-S stations.</t>
  </si>
  <si>
    <t>Safety impact is indirect—emergency vehicles may be delayed due to misrouting.</t>
  </si>
  <si>
    <t>Logistics companies and public services may suffer operational delays, fuel loss, or delivery penalties.</t>
  </si>
  <si>
    <t>Blocking or rerouting specific vehicle types may disrupt transportation networks, especially in critical zones.</t>
  </si>
  <si>
    <t>Trust degradation in the system and legal risks for the ITS provider due to unauthorized traffic manipulation.</t>
  </si>
  <si>
    <t>Implement certificate-based message signing tied to infrastructure authority roles.
Enforce restriction field plausibility checks: e.g., vehicle type access vs. known road conditions.
Cross-verify with external policy databases or backend validation before applying restrictions.</t>
  </si>
  <si>
    <t>RoadWorks container
restriction DF
ITS-S access control logic based on received DENMs</t>
  </si>
  <si>
    <t>The restriction field is highly dynamic and specific to temporary conditions, making avoidance impractical. Mitigation is viable through authentication and semantic validation techniques.</t>
  </si>
  <si>
    <t>Integrity: Ensure that restriction data isn’t forged or changed.
Authenticity: Confirm only authorized infrastructure defines vehicle-type restrictions.
Availability: Preserve access for critical vehicles while blocking malicious misuse of restriction logic.</t>
  </si>
  <si>
    <t>DENM à la carte container - LanePosition</t>
  </si>
  <si>
    <t>An attacker modifies the LanePosition DF within the RoadWorks use case, falsely reporting which lanes are affected by the roadworks. This may lead to wrong lane avoidance behavior, creating traffic inefficiencies or even safety hazards.</t>
  </si>
  <si>
    <t>The attacker compromises an RSU or authorized ITS-S and modifies the DENM payload, altering lane position details. Vehicles then interpret these falsified lane positions as legitimate and react accordingly (e.g., switching lanes unnecessarily).</t>
  </si>
  <si>
    <t xml:space="preserve">The attack is executed by modifying the V2X message content in transmission or via a compromised ITS-S that injects malicious lane data directly into DENM broadcasts.
</t>
  </si>
  <si>
    <t>Sudden or unnecessary lane changes may cause collisions or near-misses.</t>
  </si>
  <si>
    <t>Minimal financial losses unless repeated or causing extensive delays.</t>
  </si>
  <si>
    <t>Reduced road capacity and efficiency due to misaligned traffic behavior.</t>
  </si>
  <si>
    <t xml:space="preserve">Liability risks if inaccurate lane info leads to an accident; legal consequences.
</t>
  </si>
  <si>
    <t>Integrate positioning verification using cross-checks with CAM or GNSS-based lane accuracy validation.
Digitally sign lane position data in DENMs.
Set plausibility filters in the receiving ITS-S stack to reject out-of-bound or inconsistent lane markings.</t>
  </si>
  <si>
    <t>LanePosition DF, RSU transmission logic, in-vehicle decision modules, trust model for lane mapping.</t>
  </si>
  <si>
    <t xml:space="preserve">Road lane-level information is essential for fine-grained traffic control. False lane data cannot be prevented in all cases, but systems must mitigate its effects through redundancy and validation.
</t>
  </si>
  <si>
    <t>Integrity: Ensure lane data cannot be modified in transit.
Authenticity: Accept lane info only from trusted senders.
Availability: Ensure valid lane data remains usable and not suppressed or overridden.</t>
  </si>
  <si>
    <t>DENM à la carte container - ClosedLanes</t>
  </si>
  <si>
    <t>An attacker modifies the ClosedLanes DF in the RoadWorks container, falsely reporting closed lanes in areas where lanes are actually open, or vice versa. This leads to confusion, route disruption, and potential safety hazards due to incorrect lane usage.</t>
  </si>
  <si>
    <t>The attacker compromises an ITS-S or RSU and transmits DENMs with manipulated lane closure data. These messages are received by nearby vehicles, which react by switching lanes prematurely, avoiding non-existent closures, or entering truly closed lanes.</t>
  </si>
  <si>
    <t>The attacker injects or alters the ClosedLanes information via a forged or compromised ITS station, mimicking legitimate infrastructure and misleading other road users.</t>
  </si>
  <si>
    <t>Drivers may enter active work zones or swerve due to false closures, risking collisions.</t>
  </si>
  <si>
    <t>Some operational delays or rerouting may cause minor financial impacts.</t>
  </si>
  <si>
    <t>Unnecessary traffic diversions or congestion in unaffected lanes.</t>
  </si>
  <si>
    <t>If an OEM ITS-S generates false closures, it may face regulatory accountability.</t>
  </si>
  <si>
    <t>Use lane-level map verification with high-resolution GNSS/CAM data to validate lane closure claims.
Apply DENM plausibility checks in the receiving ITS stack to compare reported closures with real-time sensor input (e.g., camera or LiDAR).
Digitally sign infrastructure-originated lane restriction data.</t>
  </si>
  <si>
    <t>ClosedLanes DF, RSU transmission modules, V2X receiver interpretation layer, lane availability model in HMI/ADAS systems.</t>
  </si>
  <si>
    <t>While spoofing closures may not be frequent, the risk to traffic safety and mobility is significant enough to warrant proactive validation and filtering.</t>
  </si>
  <si>
    <t>Integrity: Ensure lane closure data remains unchanged during transmission.
Authenticity: Verify that closures originate from authorized infrastructure.
Availability: Prevent suppression or distortion of legitimate closure alerts.</t>
  </si>
  <si>
    <t>DENM à la carte container -SpeedLimit</t>
  </si>
  <si>
    <t>An attacker inserts a falsified SpeedLimit value that is significantly higher than appropriate for the roadwork area. This misguides vehicles into traveling at unsafe speeds, putting road workers and drivers at risk.</t>
  </si>
  <si>
    <t xml:space="preserve">Using a spoofed or compromised RSU or ITS-S, the attacker broadcasts a DENM with manipulated SpeedLimit data. Vehicles in the vicinity adopt these speeds under the assumption of legitimate authority.
</t>
  </si>
  <si>
    <t>Through V2X spoofing or tampered RSU, attackers override the actual speed limits, exploiting trust in infrastructure broadcasts.</t>
  </si>
  <si>
    <t>Dangerous speeds in active roadworks can lead to fatal accidents.</t>
  </si>
  <si>
    <t>Resulting accidents or damages expose stakeholders to liability and fines.</t>
  </si>
  <si>
    <t>Increased crash likelihood causes disruption, delays, and emergency response.</t>
  </si>
  <si>
    <t>Regulatory non-compliance with mandated safe zone enforcement.</t>
  </si>
  <si>
    <t xml:space="preserve">Require authenticated and signed RSU-originated DENMs.
Use vehicle-internal validation (e.g., vision-based traffic sign recognition) to cross-check received speed limits.
Define maximum allowable values for speedLimit in software logic based on context (e.g., construction zones).
</t>
  </si>
  <si>
    <t>SpeedLimit DF, RSU broadcast logic, vehicle ADAS, and HMI safety overlays.</t>
  </si>
  <si>
    <t xml:space="preserve">This threat directly endangers human life, especially in roadwork zones where both drivers and roadside workers are vulnerable. Given the high safety and operational impact, mitigation is essential to preserve trust in V2X systems and to comply with road safety legislation. Accepting or transferring the risk is not viable due to the legal liability and potential for severe injuries or fatalities.
</t>
  </si>
  <si>
    <t>Integrity: Ensure speed limits are not altered in transit.
Authenticity: Verify the origin of speed data.
Safety: Prevent vehicles from adopting hazardous speeds.</t>
  </si>
  <si>
    <t>An attacker broadcasts falsified SpeedLimit values set extremely low (e.g., 10 km/h) in areas without actual hazards. This causes vehicles to slow unnecessarily, disrupting traffic flow.</t>
  </si>
  <si>
    <t>The attacker exploits a vulnerable RSU or uses a spoofed ITS-S to inject false DENMs. Vehicles interpret the low limit as valid and slow down, resulting in congestion and degraded system efficiency.</t>
  </si>
  <si>
    <t xml:space="preserve">By abusing trust in speed recommendations, attackers generate DoS-like behavior, reducing throughput on major roads and degrading overall system availability.
</t>
  </si>
  <si>
    <t>Indirect safety risks from erratic braking or confusion in traffic flow.</t>
  </si>
  <si>
    <t>Losses due to delays, fuel consumption, and operational inefficiencies.</t>
  </si>
  <si>
    <t>Traffic congestion and rerouting affect transport logistics and services.</t>
  </si>
  <si>
    <t xml:space="preserve">Public trust loss in V2X systems; OEMs may face pressure to ensure safeguards.
</t>
  </si>
  <si>
    <t>Set contextual speed validation (e.g., compare with road type, lane info, and other sensor data).
Enable feedback loops where multiple ITS-S cross-verify messages.
Alert drivers when unusually low limits are detected without other contextual signals.</t>
  </si>
  <si>
    <t>SpeedLimit DF, DENM validator, vehicle HMI, and RSU broadcast filters.</t>
  </si>
  <si>
    <t xml:space="preserve">Though not directly threatening lives, the operational damage and service disruption are significant enough to warrant control measures. Since the system's availability and public trust are at stake, mitigation is preferable to acceptance.
</t>
  </si>
  <si>
    <t>Integrity: Prevent modification of authorized speed data.
Availability: Ensure mobility is not hindered by false restrictions.
Resilience: Maintain stable traffic flow despite malicious input.</t>
  </si>
  <si>
    <t>DENM à la carte container - impactReduction (Vehicle Mass &amp; Center of Mass)</t>
  </si>
  <si>
    <t>An attacker manipulates the Vehicle Mass or Center of Mass fields within the impactReduction container to distort how receiving systems assess collision severity or decide response strategies. For example, a vehicle may appear heavier to simulate a more severe crash risk or lighter to avoid detection of a dangerous situation.</t>
  </si>
  <si>
    <t>The attacker gains access to the ITS-S stack via local firmware vulnerabilities or compromised sensors. They alter the vehicle's physical property values at the application or middleware layer before the DENM is constructed and broadcast.The modification occurs pre-broadcast by either malware in the onboard unit or physical access to the ITS-S software stack through debugging interfaces, insecure updates, or internal firmware manipulation.</t>
  </si>
  <si>
    <t>Attack occurs from within the vehicle system (e.g., infected diagnostic tool, insider access).</t>
  </si>
  <si>
    <t>Incorrect mass-related data can mislead automated systems into making poor mitigation decisions (e.g., braking too late or rerouting improperly), potentially causing severe injuries.</t>
  </si>
  <si>
    <t>False readings may trigger unnecessary emergency services, infrastructure activation, or insurance liability events.</t>
  </si>
  <si>
    <t>Misclassification of vehicle severity may alter ITS responses, such as road prioritization or traffic flow redirection.</t>
  </si>
  <si>
    <t>Although not directly PII, misuse of internal vehicle parameters may still raise regulatory concerns over safety compliance and vehicle integrity standards.</t>
  </si>
  <si>
    <t>Integrity checks at the DENM construction level to validate physical parameters against known tolerances (e.g., vehicle profile).
Authentication and encryption of in-vehicle diagnostics to prevent unauthorized modification.
Redundancy by comparing multiple sensor sources (e.g., CAN bus vs. GNSS inferred movement).</t>
  </si>
  <si>
    <t>Middleware and diagnostic data interface.
impactReduction container formation module.
DEN basic service validation logic.</t>
  </si>
  <si>
    <t>Manipulated physical data directly affects the system’s ability to assess and respond to critical safety situations. Tampering must be mitigated to uphold system trust and maintain safety functions.</t>
  </si>
  <si>
    <t>Ensure trustworthiness of safety-critical vehicle dynamics.
Prevent adversarial manipulation of collision severity assessments.
Preserve system credibility in life-threatening situations.</t>
  </si>
  <si>
    <t>Attack from nearby vehicle or RSU via V2X spoofing or relay attack on communication link.</t>
  </si>
  <si>
    <t>DENM à la carte container - impactReduction (Position of Occupants)</t>
  </si>
  <si>
    <t>An attacker alters the Position of Occupants field in the impactReduction container to mislead collision mitigation systems (e.g., emergency response algorithms or in-vehicle safety features), faking an empty cabin or misreporting seating positions to minimize or exaggerate the risk.</t>
  </si>
  <si>
    <t>The attacker modifies occupant data by compromising internal sensors or the middleware collecting seat occupancy status before it is inserted into the DENM payload.Attack can be conducted by malware installed in the onboard unit or misconfigured middleware that handles the input from seat sensors or safety systems (e.g., seatbelt engagement data).</t>
  </si>
  <si>
    <t>The attacker has physical or software access to the in-vehicle systems (via OBD-II port, remote diagnostics, or during service).</t>
  </si>
  <si>
    <t>Incorrect occupant data can mislead collision response systems (e.g., airbag deployment, emergency braking strategies), potentially leading to severe or life-threatening injuries.</t>
  </si>
  <si>
    <t>False data can trigger incorrect safety interventions or insurance misclaims involving passenger safety systems.</t>
  </si>
  <si>
    <t>May disrupt emergency responses or routing decisions, especially when high-occupancy vehicle status is used.</t>
  </si>
  <si>
    <t>Occupant positioning may indirectly relate to passenger identity or behavior. Manipulation could raise compliance and liability concerns with safety standards and data protection regulations.</t>
  </si>
  <si>
    <t>Secure communication between in-cabin sensors and middleware.
Implement redundancy checks (e.g., correlate seat occupancy with seatbelt status, door sensors).
Validate the consistency of occupant data with vehicle status (e.g., moving, parked, collision reported).</t>
  </si>
  <si>
    <t>Internal data interface for occupant detection.
Application layer responsible for impactReduction population.
Security services responsible for message signing and validation.</t>
  </si>
  <si>
    <t>The information directly affects occupant safety protocols and emergency response accuracy. Its manipulation may cause delayed or incorrect system behavior in life-threatening situations.</t>
  </si>
  <si>
    <t xml:space="preserve">Ensure accuracy of safety-critical data for real-time decision-making.
Prevent falsified safety reports that affect emergency and mitigation systems.
Preserve system trust in the presence of critical incidents involving passengers.
</t>
  </si>
  <si>
    <t>f V2X identity spoofing is used, the attacker may inject falsified occupant data remotely, impersonating the original ITS-S source.</t>
  </si>
  <si>
    <t>Impact Criteria</t>
  </si>
  <si>
    <t>Weight</t>
  </si>
  <si>
    <t>Lower Limit</t>
  </si>
  <si>
    <t>Risk Level</t>
  </si>
  <si>
    <t>Impact Rating</t>
  </si>
  <si>
    <t>Threshold Value</t>
  </si>
  <si>
    <t>Safety</t>
  </si>
  <si>
    <t>Critical</t>
  </si>
  <si>
    <t>Operational</t>
  </si>
  <si>
    <t>High</t>
  </si>
  <si>
    <t>Financial</t>
  </si>
  <si>
    <t>Medium</t>
  </si>
  <si>
    <t>Privacy</t>
  </si>
  <si>
    <t>Low</t>
  </si>
  <si>
    <t>Very Low</t>
  </si>
  <si>
    <t>Safety =&gt;S</t>
  </si>
  <si>
    <t>Criteria for Safety Impact Rating</t>
  </si>
  <si>
    <t>Value</t>
  </si>
  <si>
    <t>S3: Life-threatening injuries (survival uncertain), fatal injuries</t>
  </si>
  <si>
    <t xml:space="preserve">Risk Assessment </t>
  </si>
  <si>
    <t>S2: Severe and life-threatening injuries (survival probable)</t>
  </si>
  <si>
    <t>Impact Rating:</t>
  </si>
  <si>
    <t>Impact Level=&gt;l</t>
  </si>
  <si>
    <t>S1: Light and moderate injuries</t>
  </si>
  <si>
    <t xml:space="preserve">(5*S + 1*O + 0.5*F + 0.25*P) / 4 </t>
  </si>
  <si>
    <t>S0: No injuries</t>
  </si>
  <si>
    <t>Risk Score:</t>
  </si>
  <si>
    <t>R = 1 + I×F</t>
  </si>
  <si>
    <t>Reputational =&gt; R</t>
  </si>
  <si>
    <t>Attack Feasibility Level  =&gt; F</t>
  </si>
  <si>
    <t>Criteria for Reputational Impact Rating</t>
  </si>
  <si>
    <t>Threat category (STRIDE)</t>
  </si>
  <si>
    <t>The reputational damage leads to catastrophic consequences which the affected road user might not overcome.</t>
  </si>
  <si>
    <t>Risk Score =&gt;R</t>
  </si>
  <si>
    <t xml:space="preserve">R = 1 + I × F </t>
  </si>
  <si>
    <t>The reputational damage leads to substantial consequences which the affected road user will be able to overcome</t>
  </si>
  <si>
    <t xml:space="preserve">Risk Appetite </t>
  </si>
  <si>
    <t>The reputational damage leads to inconvenient consequences which the affected road user will be able to overcome with limited resources</t>
  </si>
  <si>
    <t>RA Goal:</t>
  </si>
  <si>
    <t>Risk Reduction</t>
  </si>
  <si>
    <t>The reputational damage leads to no effect, negligible consequences or is irrelevant to the road user.</t>
  </si>
  <si>
    <t xml:space="preserve">Information Disclosure </t>
  </si>
  <si>
    <t>Denial of Service</t>
  </si>
  <si>
    <t>Elevation of Privileges</t>
  </si>
  <si>
    <t>Operational =&gt; O</t>
  </si>
  <si>
    <t>Criteria for Operational Impact Rating</t>
  </si>
  <si>
    <t>The operational damage leads to the loss or impairment of a core vehicle function. 
EXAMPLE 1 Vehicle not working or showing unexpected behaviour of core functions such as enabling of limp home mode or autonomous driving to an unintended location.</t>
  </si>
  <si>
    <t>The operational damage leads to the loss or impairment of an important vehicle function. 
EXAMPLE 2 Significant annoyance of the driver.</t>
  </si>
  <si>
    <t>The operational damage leads to partial degradation of a vehicle function. 
EXAMPLE 3 User satisfaction negatively affected.</t>
  </si>
  <si>
    <t>The operational damage leads to no impairment or non-perceivable impairment of a vehicle function.</t>
  </si>
  <si>
    <t>Privacy =&gt; P</t>
  </si>
  <si>
    <t>Criteria for Privacy Impact Rating</t>
  </si>
  <si>
    <t>The privacy damage leads to significant or even irreversible impact to the road user. The information regarding the road user is highly sensitive and easy to link to a PII principal.</t>
  </si>
  <si>
    <t>The privacy damage leads to serious impact to the road user. The information regarding the road user is: a) highly sensitive and difficult to link to a PII principal; or b) sensitive and easy to link to a PII principal.</t>
  </si>
  <si>
    <t>The privacy damage leads to inconvenient consequences to the road user. The information regarding the road user is: a) sensitive but difficult to link to a PII principal; or b) not sensitive but easy to link to a PII principal.</t>
  </si>
  <si>
    <t>The privacy damage leads to no effect or, negligible consequences or is irrelevant to the road user. The information regarding the road user is not sensitive and difficult to link to a PII principal.</t>
  </si>
  <si>
    <t xml:space="preserve"> </t>
  </si>
  <si>
    <t>Attack Feasibility Rating =&gt; F</t>
  </si>
  <si>
    <t>Attack Vector</t>
  </si>
  <si>
    <t>Description</t>
  </si>
  <si>
    <t>Level</t>
  </si>
  <si>
    <t>Potential attack path is bound to network stack without any limitation</t>
  </si>
  <si>
    <t>Potential attack path is bound to network stack; however, the connection is limited physically or logically.</t>
  </si>
  <si>
    <t>Potential attack path is not bound to network stack and threat agents require direct access to the item for realizing the attack path.</t>
  </si>
  <si>
    <t>Threat agents require physical access to realize the attack path.</t>
  </si>
  <si>
    <t>Very low</t>
  </si>
  <si>
    <t xml:space="preserve">Risk Treatment </t>
  </si>
  <si>
    <t>Method</t>
  </si>
  <si>
    <t>The level of risk shall be managed by introducing, removing or altering security controls so that the residual risk can be assessed as being acceptable. Mitigation would be implemented</t>
  </si>
  <si>
    <t>Risk Retention</t>
  </si>
  <si>
    <t>The decision on retaining the risk without further action shall be taken depending on risk evaluation.</t>
  </si>
  <si>
    <t>Risk Avoidance</t>
  </si>
  <si>
    <t xml:space="preserve">The activity or condition that gives rise to the particular risk shall be avoided.
EXAMPLE 1 Avoiding the risk by removing the risk sources, deciding not to start or continue with the
activity that gives rise to the risk.
</t>
  </si>
  <si>
    <t>Risk Transfer</t>
  </si>
  <si>
    <t>The risk shall be shared with another party that can most effectively manage the particular risk
depending on risk evaluation.
EXAMPLE 2 Sharing risk through contracts or transferring risk by buying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</si>
</sst>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0"/>
      <color rgb="FF000000"/>
      <name val="Arial"/>
      <scheme val="minor"/>
    </font>
    <font>
      <sz val="10"/>
      <color theme="1"/>
      <name val="Arial"/>
      <scheme val="minor"/>
    </font>
    <font>
      <b/>
      <i/>
      <sz val="10"/>
      <color rgb="FF000000"/>
      <name val="Verdana"/>
    </font>
    <font>
      <b/>
      <sz val="10"/>
      <color theme="1"/>
      <name val="Arial"/>
      <scheme val="minor"/>
    </font>
    <font>
      <sz val="10"/>
      <color rgb="FF000000"/>
      <name val="Verdana"/>
    </font>
    <font>
      <sz val="9"/>
      <color rgb="FF1F1F1F"/>
      <name val="&quot;Google Sans&quot;"/>
    </font>
    <font>
      <sz val="10"/>
      <color rgb="FF1F1F1F"/>
      <name val="Verdana"/>
    </font>
    <font>
      <sz val="8"/>
      <color rgb="FF000000"/>
      <name val="Verdana"/>
    </font>
    <font>
      <sz val="11"/>
      <color theme="1"/>
      <name val="Calibri"/>
    </font>
    <font>
      <sz val="10"/>
      <color theme="1"/>
      <name val="Verdana"/>
    </font>
    <font>
      <sz val="10"/>
      <color rgb="FF000000"/>
      <name val="Söhne"/>
    </font>
    <font>
      <sz val="11"/>
      <color rgb="FF000000"/>
      <name val="Calibri"/>
    </font>
    <font>
      <b/>
      <sz val="10"/>
      <color theme="1"/>
      <name val="Arial"/>
    </font>
    <font>
      <sz val="10"/>
      <color theme="1"/>
      <name val="Arial"/>
    </font>
    <font>
      <b/>
      <sz val="11"/>
      <color theme="1"/>
      <name val="Calibri"/>
    </font>
    <font>
      <sz val="10"/>
      <name val="Arial"/>
    </font>
    <font>
      <b/>
      <sz val="11"/>
      <color theme="1"/>
      <name val="Arial"/>
    </font>
    <font>
      <sz val="11"/>
      <color theme="1"/>
      <name val="Arial"/>
    </font>
    <font>
      <sz val="12"/>
      <color theme="1"/>
      <name val="Arial"/>
      <scheme val="minor"/>
    </font>
    <font>
      <b/>
      <sz val="10"/>
      <color rgb="FF000000"/>
      <name val="Arial"/>
      <scheme val="minor"/>
    </font>
    <font>
      <sz val="10"/>
      <color rgb="FF000000"/>
      <name val="Arial"/>
      <family val="2"/>
      <scheme val="minor"/>
    </font>
    <font>
      <b/>
      <sz val="10"/>
      <color rgb="FF000000"/>
      <name val="Arial"/>
      <family val="2"/>
      <scheme val="minor"/>
    </font>
    <font>
      <b/>
      <sz val="10"/>
      <color rgb="FF000000"/>
      <name val="Times New Roman"/>
      <family val="1"/>
    </font>
    <font>
      <sz val="10"/>
      <color rgb="FF000000"/>
      <name val="Times New Roman"/>
      <family val="1"/>
    </font>
    <font>
      <b/>
      <i/>
      <sz val="10"/>
      <color rgb="FF000000"/>
      <name val="Verdana"/>
      <family val="2"/>
    </font>
    <font>
      <sz val="10"/>
      <color rgb="FF000000"/>
      <name val="Verdana"/>
      <family val="2"/>
    </font>
    <font>
      <b/>
      <i/>
      <sz val="10"/>
      <color theme="1"/>
      <name val="Verdana"/>
      <family val="2"/>
    </font>
    <font>
      <i/>
      <sz val="10"/>
      <color rgb="FF000000"/>
      <name val="Arial"/>
      <family val="2"/>
      <scheme val="minor"/>
    </font>
    <font>
      <sz val="10"/>
      <color rgb="FF1F1F1F"/>
      <name val="Verdana"/>
      <family val="2"/>
    </font>
    <font>
      <sz val="9"/>
      <color rgb="FF1F1F1F"/>
      <name val="Arial"/>
      <family val="2"/>
    </font>
    <font>
      <sz val="10"/>
      <color theme="1"/>
      <name val="Arial"/>
      <family val="2"/>
      <scheme val="minor"/>
    </font>
  </fonts>
  <fills count="27">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B7E1CD"/>
        <bgColor rgb="FFB7E1CD"/>
      </patternFill>
    </fill>
    <fill>
      <patternFill patternType="solid">
        <fgColor rgb="FFB7B7B7"/>
        <bgColor rgb="FFB7B7B7"/>
      </patternFill>
    </fill>
    <fill>
      <patternFill patternType="solid">
        <fgColor rgb="FF92D050"/>
        <bgColor rgb="FF92D050"/>
      </patternFill>
    </fill>
    <fill>
      <patternFill patternType="solid">
        <fgColor rgb="FFFF9900"/>
        <bgColor rgb="FFFF9900"/>
      </patternFill>
    </fill>
    <fill>
      <patternFill patternType="solid">
        <fgColor rgb="FFD9D9D9"/>
        <bgColor rgb="FFD9D9D9"/>
      </patternFill>
    </fill>
    <fill>
      <patternFill patternType="solid">
        <fgColor rgb="FFA5A5A5"/>
        <bgColor rgb="FFA5A5A5"/>
      </patternFill>
    </fill>
    <fill>
      <patternFill patternType="solid">
        <fgColor rgb="FFFF7C80"/>
        <bgColor rgb="FFFF7C80"/>
      </patternFill>
    </fill>
    <fill>
      <patternFill patternType="solid">
        <fgColor rgb="FFFF0000"/>
        <bgColor rgb="FFFF0000"/>
      </patternFill>
    </fill>
    <fill>
      <patternFill patternType="solid">
        <fgColor rgb="FFD8D8D8"/>
        <bgColor rgb="FFD8D8D8"/>
      </patternFill>
    </fill>
    <fill>
      <patternFill patternType="solid">
        <fgColor theme="6"/>
        <bgColor rgb="FFFFE599"/>
      </patternFill>
    </fill>
    <fill>
      <patternFill patternType="solid">
        <fgColor theme="6"/>
        <bgColor indexed="64"/>
      </patternFill>
    </fill>
    <fill>
      <patternFill patternType="solid">
        <fgColor rgb="FFFA9EC5"/>
        <bgColor rgb="FFFFE599"/>
      </patternFill>
    </fill>
    <fill>
      <patternFill patternType="solid">
        <fgColor rgb="FFFA9EC5"/>
        <bgColor indexed="64"/>
      </patternFill>
    </fill>
    <fill>
      <patternFill patternType="solid">
        <fgColor rgb="FFFF0000"/>
        <bgColor indexed="64"/>
      </patternFill>
    </fill>
    <fill>
      <patternFill patternType="solid">
        <fgColor rgb="FFFF0000"/>
        <bgColor rgb="FFFFE599"/>
      </patternFill>
    </fill>
    <fill>
      <patternFill patternType="solid">
        <fgColor rgb="FFFFC000"/>
        <bgColor indexed="64"/>
      </patternFill>
    </fill>
    <fill>
      <patternFill patternType="solid">
        <fgColor rgb="FFFFC000"/>
        <bgColor rgb="FFFFE599"/>
      </patternFill>
    </fill>
    <fill>
      <patternFill patternType="solid">
        <fgColor rgb="FFF7A1DA"/>
        <bgColor indexed="64"/>
      </patternFill>
    </fill>
    <fill>
      <patternFill patternType="solid">
        <fgColor rgb="FFF7A1DA"/>
        <bgColor rgb="FFFFE599"/>
      </patternFill>
    </fill>
    <fill>
      <patternFill patternType="solid">
        <fgColor rgb="FF92D050"/>
        <bgColor indexed="64"/>
      </patternFill>
    </fill>
    <fill>
      <patternFill patternType="solid">
        <fgColor rgb="FF92D050"/>
        <bgColor rgb="FFFFE599"/>
      </patternFill>
    </fill>
  </fills>
  <borders count="18">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top/>
      <bottom style="thin">
        <color rgb="FF808080"/>
      </bottom>
      <diagonal/>
    </border>
    <border>
      <left/>
      <right style="thin">
        <color rgb="FF80808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808080"/>
      </top>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s>
  <cellStyleXfs count="1">
    <xf numFmtId="0" fontId="0" fillId="0" borderId="0"/>
  </cellStyleXfs>
  <cellXfs count="156">
    <xf numFmtId="0" fontId="0" fillId="0" borderId="0" xfId="0"/>
    <xf numFmtId="0" fontId="1" fillId="0" borderId="0" xfId="0" applyFont="1"/>
    <xf numFmtId="0" fontId="2" fillId="5" borderId="1" xfId="0" applyFont="1" applyFill="1" applyBorder="1" applyAlignment="1">
      <alignment horizontal="center"/>
    </xf>
    <xf numFmtId="0" fontId="2" fillId="5" borderId="2" xfId="0" applyFont="1" applyFill="1" applyBorder="1" applyAlignment="1">
      <alignment horizontal="center" vertical="center"/>
    </xf>
    <xf numFmtId="0" fontId="2" fillId="5" borderId="2" xfId="0" applyFont="1" applyFill="1" applyBorder="1" applyAlignment="1">
      <alignment horizontal="center"/>
    </xf>
    <xf numFmtId="0" fontId="2" fillId="2" borderId="2" xfId="0" applyFont="1" applyFill="1" applyBorder="1" applyAlignment="1">
      <alignment horizontal="center" vertical="center"/>
    </xf>
    <xf numFmtId="0" fontId="2" fillId="0" borderId="0" xfId="0" applyFont="1" applyAlignment="1">
      <alignment horizontal="center"/>
    </xf>
    <xf numFmtId="0" fontId="3" fillId="0" borderId="3" xfId="0" applyFont="1" applyBorder="1" applyAlignment="1">
      <alignment horizontal="center" vertical="center"/>
    </xf>
    <xf numFmtId="0" fontId="4" fillId="0" borderId="4" xfId="0" applyFont="1" applyBorder="1" applyAlignment="1">
      <alignment vertical="center"/>
    </xf>
    <xf numFmtId="0" fontId="4" fillId="0" borderId="5" xfId="0" applyFont="1" applyBorder="1"/>
    <xf numFmtId="0" fontId="4" fillId="0" borderId="5" xfId="0" applyFont="1" applyBorder="1" applyAlignment="1">
      <alignment horizontal="left"/>
    </xf>
    <xf numFmtId="0" fontId="4" fillId="2" borderId="5" xfId="0" applyFont="1" applyFill="1" applyBorder="1"/>
    <xf numFmtId="0" fontId="4" fillId="0" borderId="3" xfId="0" applyFont="1" applyBorder="1"/>
    <xf numFmtId="0" fontId="4" fillId="0" borderId="6" xfId="0" applyFont="1" applyBorder="1"/>
    <xf numFmtId="0" fontId="5" fillId="3" borderId="3" xfId="0" applyFont="1" applyFill="1" applyBorder="1"/>
    <xf numFmtId="0" fontId="4" fillId="3" borderId="0" xfId="0" applyFont="1" applyFill="1" applyAlignment="1">
      <alignment horizontal="left" wrapText="1"/>
    </xf>
    <xf numFmtId="0" fontId="4" fillId="0" borderId="5" xfId="0" applyFont="1" applyBorder="1" applyAlignment="1">
      <alignment wrapText="1"/>
    </xf>
    <xf numFmtId="0" fontId="4" fillId="0" borderId="1" xfId="0" applyFont="1" applyBorder="1"/>
    <xf numFmtId="0" fontId="4" fillId="0" borderId="0" xfId="0" applyFont="1" applyAlignment="1">
      <alignment horizontal="left"/>
    </xf>
    <xf numFmtId="0" fontId="4" fillId="3" borderId="0" xfId="0" applyFont="1" applyFill="1" applyAlignment="1">
      <alignment horizontal="left"/>
    </xf>
    <xf numFmtId="0" fontId="4" fillId="0" borderId="7" xfId="0" applyFont="1" applyBorder="1"/>
    <xf numFmtId="0" fontId="4" fillId="3" borderId="3" xfId="0" applyFont="1" applyFill="1" applyBorder="1" applyAlignment="1">
      <alignment horizontal="left"/>
    </xf>
    <xf numFmtId="0" fontId="4" fillId="4" borderId="3" xfId="0" applyFont="1" applyFill="1" applyBorder="1"/>
    <xf numFmtId="0" fontId="4" fillId="0" borderId="3" xfId="0" applyFont="1" applyBorder="1" applyAlignment="1">
      <alignment wrapText="1"/>
    </xf>
    <xf numFmtId="0" fontId="4" fillId="0" borderId="5" xfId="0" applyFont="1" applyBorder="1" applyAlignment="1">
      <alignment horizontal="left" wrapText="1"/>
    </xf>
    <xf numFmtId="0" fontId="5" fillId="3" borderId="0" xfId="0" applyFont="1" applyFill="1"/>
    <xf numFmtId="0" fontId="6" fillId="3" borderId="3" xfId="0" applyFont="1" applyFill="1" applyBorder="1"/>
    <xf numFmtId="0" fontId="7" fillId="0" borderId="0" xfId="0" applyFont="1" applyAlignment="1">
      <alignment horizontal="left"/>
    </xf>
    <xf numFmtId="0" fontId="8" fillId="0" borderId="0" xfId="0" applyFont="1"/>
    <xf numFmtId="0" fontId="6" fillId="3" borderId="0" xfId="0" applyFont="1" applyFill="1"/>
    <xf numFmtId="0" fontId="9" fillId="0" borderId="0" xfId="0" applyFont="1"/>
    <xf numFmtId="0" fontId="10" fillId="3" borderId="0" xfId="0" applyFont="1" applyFill="1" applyAlignment="1">
      <alignment horizontal="left"/>
    </xf>
    <xf numFmtId="0" fontId="4" fillId="0" borderId="4" xfId="0" applyFont="1" applyBorder="1"/>
    <xf numFmtId="0" fontId="11" fillId="3" borderId="0" xfId="0" applyFont="1" applyFill="1" applyAlignment="1">
      <alignment horizontal="left"/>
    </xf>
    <xf numFmtId="0" fontId="4" fillId="0" borderId="7" xfId="0" applyFont="1" applyBorder="1" applyAlignment="1">
      <alignment horizontal="left"/>
    </xf>
    <xf numFmtId="0" fontId="1" fillId="0" borderId="3" xfId="0" applyFont="1" applyBorder="1"/>
    <xf numFmtId="0" fontId="1" fillId="6" borderId="0" xfId="0" applyFont="1" applyFill="1" applyAlignment="1">
      <alignment vertical="center"/>
    </xf>
    <xf numFmtId="0" fontId="1" fillId="0" borderId="0" xfId="0" applyFont="1" applyAlignment="1">
      <alignment horizontal="left"/>
    </xf>
    <xf numFmtId="0" fontId="12" fillId="7" borderId="3" xfId="0" applyFont="1" applyFill="1" applyBorder="1" applyAlignment="1">
      <alignment horizontal="center" wrapText="1"/>
    </xf>
    <xf numFmtId="0" fontId="12" fillId="0" borderId="0" xfId="0" applyFont="1" applyAlignment="1">
      <alignment wrapText="1"/>
    </xf>
    <xf numFmtId="0" fontId="12" fillId="7" borderId="3" xfId="0" applyFont="1" applyFill="1" applyBorder="1" applyAlignment="1">
      <alignment wrapText="1"/>
    </xf>
    <xf numFmtId="0" fontId="13" fillId="0" borderId="0" xfId="0" applyFont="1"/>
    <xf numFmtId="0" fontId="13" fillId="0" borderId="3" xfId="0" applyFont="1" applyBorder="1" applyAlignment="1">
      <alignment horizontal="center" vertical="center" wrapText="1"/>
    </xf>
    <xf numFmtId="2" fontId="12" fillId="0" borderId="3" xfId="0" applyNumberFormat="1" applyFont="1" applyBorder="1" applyAlignment="1">
      <alignment horizontal="center" vertical="center" wrapText="1"/>
    </xf>
    <xf numFmtId="0" fontId="13" fillId="0" borderId="0" xfId="0" applyFont="1" applyAlignment="1">
      <alignment wrapText="1"/>
    </xf>
    <xf numFmtId="0" fontId="12" fillId="0" borderId="3" xfId="0" applyFont="1" applyBorder="1" applyAlignment="1">
      <alignment horizontal="center" wrapText="1"/>
    </xf>
    <xf numFmtId="0" fontId="13" fillId="0" borderId="0" xfId="0" applyFont="1" applyAlignment="1">
      <alignment horizontal="center" vertical="center" wrapText="1"/>
    </xf>
    <xf numFmtId="0" fontId="12" fillId="0" borderId="3" xfId="0" applyFont="1" applyBorder="1" applyAlignment="1">
      <alignment horizontal="center" vertical="center" wrapText="1"/>
    </xf>
    <xf numFmtId="0" fontId="13" fillId="0" borderId="3" xfId="0" applyFont="1" applyBorder="1" applyAlignment="1">
      <alignment wrapText="1"/>
    </xf>
    <xf numFmtId="0" fontId="12" fillId="7" borderId="3" xfId="0" applyFont="1" applyFill="1" applyBorder="1" applyAlignment="1">
      <alignment horizontal="center" vertical="center" wrapText="1"/>
    </xf>
    <xf numFmtId="2" fontId="13" fillId="0" borderId="3" xfId="0" applyNumberFormat="1" applyFont="1" applyBorder="1"/>
    <xf numFmtId="0" fontId="13" fillId="0" borderId="3" xfId="0" applyFont="1" applyBorder="1"/>
    <xf numFmtId="0" fontId="12" fillId="0" borderId="3" xfId="0" applyFont="1" applyBorder="1" applyAlignment="1">
      <alignment wrapText="1"/>
    </xf>
    <xf numFmtId="0" fontId="8" fillId="8" borderId="3" xfId="0" applyFont="1" applyFill="1" applyBorder="1"/>
    <xf numFmtId="0" fontId="8" fillId="9" borderId="3" xfId="0" applyFont="1" applyFill="1" applyBorder="1"/>
    <xf numFmtId="0" fontId="14" fillId="10" borderId="3" xfId="0" applyFont="1" applyFill="1" applyBorder="1"/>
    <xf numFmtId="0" fontId="8" fillId="12" borderId="3" xfId="0" applyFont="1" applyFill="1" applyBorder="1"/>
    <xf numFmtId="0" fontId="8" fillId="13" borderId="3" xfId="0" applyFont="1" applyFill="1" applyBorder="1"/>
    <xf numFmtId="0" fontId="13" fillId="14" borderId="3" xfId="0" applyFont="1" applyFill="1" applyBorder="1" applyAlignment="1">
      <alignment horizontal="center" vertical="center" wrapText="1"/>
    </xf>
    <xf numFmtId="0" fontId="16" fillId="0" borderId="3" xfId="0" applyFont="1" applyBorder="1" applyAlignment="1">
      <alignment vertical="center"/>
    </xf>
    <xf numFmtId="0" fontId="17" fillId="0" borderId="3" xfId="0" applyFont="1" applyBorder="1" applyAlignment="1">
      <alignment horizontal="left" vertical="center"/>
    </xf>
    <xf numFmtId="0" fontId="8" fillId="0" borderId="3" xfId="0" applyFont="1" applyBorder="1" applyAlignment="1">
      <alignment vertical="center"/>
    </xf>
    <xf numFmtId="0" fontId="8" fillId="0" borderId="3" xfId="0" applyFont="1" applyBorder="1" applyAlignment="1">
      <alignment horizontal="left" vertical="center"/>
    </xf>
    <xf numFmtId="0" fontId="13" fillId="0" borderId="3" xfId="0" applyFont="1" applyBorder="1" applyAlignment="1">
      <alignment vertical="center" wrapText="1"/>
    </xf>
    <xf numFmtId="0" fontId="12" fillId="0" borderId="8" xfId="0" applyFont="1" applyBorder="1" applyAlignment="1">
      <alignment wrapText="1"/>
    </xf>
    <xf numFmtId="0" fontId="12" fillId="0" borderId="3" xfId="0" applyFont="1" applyBorder="1"/>
    <xf numFmtId="0" fontId="12" fillId="7" borderId="13" xfId="0" applyFont="1" applyFill="1" applyBorder="1" applyAlignment="1">
      <alignment horizontal="center" wrapText="1"/>
    </xf>
    <xf numFmtId="0" fontId="12" fillId="0" borderId="3" xfId="0" applyFont="1" applyBorder="1" applyAlignment="1">
      <alignment horizontal="center" vertical="center"/>
    </xf>
    <xf numFmtId="0" fontId="18" fillId="0" borderId="0" xfId="0" applyFont="1"/>
    <xf numFmtId="0" fontId="0" fillId="0" borderId="0" xfId="0" applyAlignment="1">
      <alignment wrapText="1" shrinkToFit="1"/>
    </xf>
    <xf numFmtId="0" fontId="22" fillId="0" borderId="0" xfId="0" applyFont="1" applyAlignment="1">
      <alignment wrapText="1"/>
    </xf>
    <xf numFmtId="0" fontId="24" fillId="5" borderId="2" xfId="0" applyFont="1" applyFill="1" applyBorder="1" applyAlignment="1">
      <alignment horizontal="center"/>
    </xf>
    <xf numFmtId="0" fontId="20" fillId="0" borderId="0" xfId="0" applyFont="1" applyAlignment="1">
      <alignment wrapText="1"/>
    </xf>
    <xf numFmtId="0" fontId="0" fillId="0" borderId="0" xfId="0" applyAlignment="1">
      <alignment wrapText="1"/>
    </xf>
    <xf numFmtId="0" fontId="4" fillId="0" borderId="1" xfId="0" applyFont="1" applyBorder="1" applyAlignment="1">
      <alignment wrapText="1"/>
    </xf>
    <xf numFmtId="0" fontId="25" fillId="0" borderId="1" xfId="0" applyFont="1" applyBorder="1" applyAlignment="1">
      <alignment wrapText="1"/>
    </xf>
    <xf numFmtId="0" fontId="21" fillId="0" borderId="0" xfId="0" applyFont="1" applyAlignment="1">
      <alignment wrapText="1"/>
    </xf>
    <xf numFmtId="0" fontId="25" fillId="0" borderId="5" xfId="0" applyFont="1" applyBorder="1" applyAlignment="1">
      <alignment wrapText="1"/>
    </xf>
    <xf numFmtId="0" fontId="25" fillId="0" borderId="5" xfId="0" applyFont="1" applyBorder="1" applyAlignment="1">
      <alignment horizontal="left" wrapText="1"/>
    </xf>
    <xf numFmtId="0" fontId="4" fillId="0" borderId="6" xfId="0" applyFont="1" applyBorder="1" applyAlignment="1">
      <alignment wrapText="1"/>
    </xf>
    <xf numFmtId="0" fontId="26" fillId="5" borderId="2" xfId="0" applyFont="1" applyFill="1" applyBorder="1" applyAlignment="1">
      <alignment horizontal="center" wrapText="1"/>
    </xf>
    <xf numFmtId="0" fontId="4" fillId="0" borderId="4" xfId="0" applyFont="1" applyBorder="1" applyAlignment="1">
      <alignment vertical="center" wrapText="1"/>
    </xf>
    <xf numFmtId="0" fontId="25" fillId="0" borderId="3" xfId="0" applyFont="1" applyBorder="1" applyAlignment="1">
      <alignment wrapText="1"/>
    </xf>
    <xf numFmtId="0" fontId="4" fillId="4" borderId="3" xfId="0" applyFont="1" applyFill="1" applyBorder="1" applyAlignment="1">
      <alignment wrapText="1"/>
    </xf>
    <xf numFmtId="0" fontId="4" fillId="15" borderId="5" xfId="0" applyFont="1" applyFill="1" applyBorder="1"/>
    <xf numFmtId="0" fontId="4" fillId="16" borderId="3" xfId="0" applyFont="1" applyFill="1" applyBorder="1"/>
    <xf numFmtId="0" fontId="4" fillId="17" borderId="5" xfId="0" applyFont="1" applyFill="1" applyBorder="1"/>
    <xf numFmtId="0" fontId="4" fillId="18" borderId="3" xfId="0" applyFont="1" applyFill="1" applyBorder="1"/>
    <xf numFmtId="0" fontId="4" fillId="19" borderId="3" xfId="0" applyFont="1" applyFill="1" applyBorder="1"/>
    <xf numFmtId="0" fontId="4" fillId="20" borderId="5" xfId="0" applyFont="1" applyFill="1" applyBorder="1"/>
    <xf numFmtId="0" fontId="4" fillId="20" borderId="5" xfId="0" applyFont="1" applyFill="1" applyBorder="1" applyAlignment="1">
      <alignment wrapText="1"/>
    </xf>
    <xf numFmtId="0" fontId="4" fillId="0" borderId="7" xfId="0" applyFont="1" applyBorder="1" applyAlignment="1">
      <alignment wrapText="1"/>
    </xf>
    <xf numFmtId="0" fontId="25" fillId="0" borderId="7" xfId="0" applyFont="1" applyBorder="1" applyAlignment="1">
      <alignment wrapText="1"/>
    </xf>
    <xf numFmtId="0" fontId="20" fillId="0" borderId="0" xfId="0" applyFont="1" applyAlignment="1">
      <alignment horizontal="left" vertical="center" wrapText="1"/>
    </xf>
    <xf numFmtId="0" fontId="20" fillId="0" borderId="0" xfId="0" applyFont="1"/>
    <xf numFmtId="0" fontId="4" fillId="17" borderId="5" xfId="0" applyFont="1" applyFill="1" applyBorder="1" applyAlignment="1">
      <alignment wrapText="1"/>
    </xf>
    <xf numFmtId="0" fontId="27" fillId="0" borderId="0" xfId="0" applyFont="1" applyAlignment="1">
      <alignment wrapText="1"/>
    </xf>
    <xf numFmtId="0" fontId="4" fillId="0" borderId="5" xfId="0" applyFont="1" applyBorder="1" applyAlignment="1">
      <alignment horizontal="center" vertical="center" wrapText="1"/>
    </xf>
    <xf numFmtId="0" fontId="0" fillId="0" borderId="0" xfId="0" applyAlignment="1">
      <alignment horizontal="left" vertical="center" wrapText="1" indent="1"/>
    </xf>
    <xf numFmtId="0" fontId="4" fillId="21" borderId="3" xfId="0" applyFont="1" applyFill="1" applyBorder="1"/>
    <xf numFmtId="0" fontId="4" fillId="22" borderId="5" xfId="0" applyFont="1" applyFill="1" applyBorder="1"/>
    <xf numFmtId="0" fontId="6" fillId="3" borderId="0" xfId="0" applyFont="1" applyFill="1" applyAlignment="1">
      <alignment horizontal="left"/>
    </xf>
    <xf numFmtId="0" fontId="9" fillId="0" borderId="5" xfId="0" applyFont="1" applyBorder="1"/>
    <xf numFmtId="0" fontId="5" fillId="3" borderId="3" xfId="0" applyFont="1" applyFill="1" applyBorder="1" applyAlignment="1">
      <alignment wrapText="1"/>
    </xf>
    <xf numFmtId="0" fontId="25" fillId="3" borderId="3" xfId="0" applyFont="1" applyFill="1" applyBorder="1" applyAlignment="1">
      <alignment horizontal="left" wrapText="1"/>
    </xf>
    <xf numFmtId="0" fontId="25" fillId="0" borderId="0" xfId="0" applyFont="1" applyAlignment="1">
      <alignment horizontal="left" wrapText="1"/>
    </xf>
    <xf numFmtId="0" fontId="28" fillId="3" borderId="0" xfId="0" applyFont="1" applyFill="1" applyAlignment="1">
      <alignment horizontal="left" wrapText="1"/>
    </xf>
    <xf numFmtId="0" fontId="25" fillId="0" borderId="5" xfId="0" applyFont="1" applyBorder="1"/>
    <xf numFmtId="0" fontId="4" fillId="23" borderId="3" xfId="0" applyFont="1" applyFill="1" applyBorder="1"/>
    <xf numFmtId="0" fontId="4" fillId="24" borderId="5" xfId="0" applyFont="1" applyFill="1" applyBorder="1"/>
    <xf numFmtId="0" fontId="28" fillId="0" borderId="0" xfId="0" applyFont="1" applyAlignment="1">
      <alignment wrapText="1"/>
    </xf>
    <xf numFmtId="0" fontId="26" fillId="5" borderId="2" xfId="0" applyFont="1" applyFill="1" applyBorder="1" applyAlignment="1">
      <alignment horizontal="center"/>
    </xf>
    <xf numFmtId="0" fontId="25" fillId="3" borderId="0" xfId="0" applyFont="1" applyFill="1" applyAlignment="1">
      <alignment horizontal="left" wrapText="1"/>
    </xf>
    <xf numFmtId="0" fontId="4" fillId="24" borderId="5" xfId="0" applyFont="1" applyFill="1" applyBorder="1" applyAlignment="1">
      <alignment wrapText="1"/>
    </xf>
    <xf numFmtId="0" fontId="4" fillId="22" borderId="5" xfId="0" applyFont="1" applyFill="1" applyBorder="1" applyAlignment="1">
      <alignment wrapText="1"/>
    </xf>
    <xf numFmtId="0" fontId="4" fillId="2" borderId="5" xfId="0" applyFont="1" applyFill="1" applyBorder="1" applyAlignment="1">
      <alignment wrapText="1"/>
    </xf>
    <xf numFmtId="0" fontId="5" fillId="0" borderId="0" xfId="0" applyFont="1" applyAlignment="1">
      <alignment wrapText="1"/>
    </xf>
    <xf numFmtId="0" fontId="25" fillId="0" borderId="16" xfId="0" applyFont="1" applyBorder="1" applyAlignment="1">
      <alignment horizontal="center" vertical="center" wrapText="1"/>
    </xf>
    <xf numFmtId="0" fontId="4" fillId="25" borderId="3" xfId="0" applyFont="1" applyFill="1" applyBorder="1"/>
    <xf numFmtId="0" fontId="4" fillId="26" borderId="5" xfId="0" applyFont="1" applyFill="1" applyBorder="1" applyAlignment="1">
      <alignment wrapText="1"/>
    </xf>
    <xf numFmtId="0" fontId="25" fillId="0" borderId="16" xfId="0" applyFont="1" applyBorder="1" applyAlignment="1">
      <alignment vertical="center" wrapText="1"/>
    </xf>
    <xf numFmtId="0" fontId="25" fillId="0" borderId="17" xfId="0" applyFont="1" applyBorder="1" applyAlignment="1">
      <alignment vertical="center" wrapText="1"/>
    </xf>
    <xf numFmtId="0" fontId="25" fillId="0" borderId="4" xfId="0" applyFont="1" applyBorder="1" applyAlignment="1">
      <alignment vertical="center" wrapText="1"/>
    </xf>
    <xf numFmtId="0" fontId="25" fillId="0" borderId="0" xfId="0" applyFont="1" applyAlignment="1">
      <alignment horizontal="center" vertical="center" wrapText="1"/>
    </xf>
    <xf numFmtId="0" fontId="4" fillId="0" borderId="0" xfId="0" applyFont="1" applyAlignment="1">
      <alignment horizontal="left" wrapText="1"/>
    </xf>
    <xf numFmtId="0" fontId="6" fillId="3" borderId="0" xfId="0" applyFont="1" applyFill="1" applyAlignment="1">
      <alignment horizontal="left" wrapText="1"/>
    </xf>
    <xf numFmtId="0" fontId="29" fillId="0" borderId="0" xfId="0" applyFont="1" applyAlignment="1">
      <alignment wrapText="1"/>
    </xf>
    <xf numFmtId="0" fontId="30" fillId="0" borderId="0" xfId="0" applyFont="1" applyAlignment="1">
      <alignment wrapText="1"/>
    </xf>
    <xf numFmtId="0" fontId="25" fillId="0" borderId="16"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0" xfId="0" applyFont="1" applyAlignment="1">
      <alignment horizontal="center" vertical="center" wrapText="1"/>
    </xf>
    <xf numFmtId="0" fontId="25" fillId="0" borderId="6"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5"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4" xfId="0" applyFont="1" applyBorder="1" applyAlignment="1">
      <alignment horizontal="center" vertical="center" wrapText="1"/>
    </xf>
    <xf numFmtId="0" fontId="25" fillId="0" borderId="17" xfId="0" applyFont="1"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4" fillId="0" borderId="16" xfId="0" applyFont="1" applyBorder="1" applyAlignment="1">
      <alignment horizontal="center" vertical="center" wrapText="1"/>
    </xf>
    <xf numFmtId="0" fontId="25" fillId="0" borderId="16" xfId="0" applyFont="1" applyBorder="1" applyAlignment="1">
      <alignment horizontal="center" vertical="center"/>
    </xf>
    <xf numFmtId="0" fontId="25" fillId="0" borderId="4" xfId="0" applyFont="1" applyBorder="1" applyAlignment="1">
      <alignment horizontal="center" vertical="center"/>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25" fillId="0" borderId="15" xfId="0" applyFont="1" applyBorder="1" applyAlignment="1">
      <alignment horizontal="left" vertical="center" wrapText="1"/>
    </xf>
    <xf numFmtId="0" fontId="25" fillId="0" borderId="5" xfId="0" applyFont="1" applyBorder="1" applyAlignment="1">
      <alignment horizontal="left" vertical="center" wrapText="1"/>
    </xf>
    <xf numFmtId="0" fontId="20" fillId="0" borderId="0" xfId="0" applyFont="1" applyAlignment="1">
      <alignment horizontal="center" vertical="center" wrapText="1"/>
    </xf>
    <xf numFmtId="0" fontId="20" fillId="0" borderId="6" xfId="0" applyFont="1" applyBorder="1" applyAlignment="1">
      <alignment horizontal="center" vertical="center" wrapText="1"/>
    </xf>
    <xf numFmtId="0" fontId="20" fillId="0" borderId="14" xfId="0" applyFont="1" applyBorder="1" applyAlignment="1">
      <alignment horizontal="center" vertical="center" wrapText="1"/>
    </xf>
    <xf numFmtId="0" fontId="14" fillId="11" borderId="8" xfId="0" applyFont="1" applyFill="1" applyBorder="1" applyAlignment="1">
      <alignment horizontal="center" vertical="center"/>
    </xf>
    <xf numFmtId="0" fontId="14" fillId="11" borderId="9" xfId="0" applyFont="1" applyFill="1" applyBorder="1" applyAlignment="1">
      <alignment horizontal="center"/>
    </xf>
    <xf numFmtId="0" fontId="15" fillId="0" borderId="13" xfId="0" applyFont="1" applyBorder="1" applyAlignment="1"/>
    <xf numFmtId="0" fontId="15" fillId="0" borderId="10" xfId="0" applyFont="1" applyBorder="1" applyAlignment="1"/>
    <xf numFmtId="0" fontId="15" fillId="0" borderId="11" xfId="0" applyFont="1" applyBorder="1" applyAlignment="1"/>
    <xf numFmtId="0" fontId="15" fillId="0" borderId="12" xfId="0" applyFont="1" applyBorder="1" applyAlignment="1"/>
  </cellXfs>
  <cellStyles count="1">
    <cellStyle name="Normal" xfId="0" builtinId="0"/>
  </cellStyles>
  <dxfs count="42">
    <dxf>
      <fill>
        <patternFill patternType="solid">
          <fgColor rgb="FFFFFFFF"/>
          <bgColor rgb="FFFFFFFF"/>
        </patternFill>
      </fill>
    </dxf>
    <dxf>
      <fill>
        <patternFill patternType="solid">
          <fgColor rgb="FFFEFFFE"/>
          <bgColor rgb="FFFEFFFE"/>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s>
  <tableStyles count="10" defaultTableStyle="TableStyleMedium2" defaultPivotStyle="PivotStyleLight16">
    <tableStyle name="Reference-style" pivot="0" count="4" xr9:uid="{00000000-0011-0000-FFFF-FFFF00000000}">
      <tableStyleElement type="headerRow" dxfId="41"/>
      <tableStyleElement type="totalRow" dxfId="40"/>
      <tableStyleElement type="firstRowStripe" dxfId="39"/>
      <tableStyleElement type="secondRowStripe" dxfId="38"/>
    </tableStyle>
    <tableStyle name="Reference-style 2" pivot="0" count="4" xr9:uid="{00000000-0011-0000-FFFF-FFFF01000000}">
      <tableStyleElement type="headerRow" dxfId="37"/>
      <tableStyleElement type="totalRow" dxfId="36"/>
      <tableStyleElement type="firstRowStripe" dxfId="35"/>
      <tableStyleElement type="secondRowStripe" dxfId="34"/>
    </tableStyle>
    <tableStyle name="Reference-style 3" pivot="0" count="4" xr9:uid="{00000000-0011-0000-FFFF-FFFF02000000}">
      <tableStyleElement type="headerRow" dxfId="33"/>
      <tableStyleElement type="totalRow" dxfId="32"/>
      <tableStyleElement type="firstRowStripe" dxfId="31"/>
      <tableStyleElement type="secondRowStripe" dxfId="30"/>
    </tableStyle>
    <tableStyle name="Reference-style 4" pivot="0" count="4" xr9:uid="{00000000-0011-0000-FFFF-FFFF03000000}">
      <tableStyleElement type="headerRow" dxfId="29"/>
      <tableStyleElement type="totalRow" dxfId="28"/>
      <tableStyleElement type="firstRowStripe" dxfId="27"/>
      <tableStyleElement type="secondRowStripe" dxfId="26"/>
    </tableStyle>
    <tableStyle name="Reference-style 5" pivot="0" count="4" xr9:uid="{00000000-0011-0000-FFFF-FFFF04000000}">
      <tableStyleElement type="headerRow" dxfId="25"/>
      <tableStyleElement type="totalRow" dxfId="24"/>
      <tableStyleElement type="firstRowStripe" dxfId="23"/>
      <tableStyleElement type="secondRowStripe" dxfId="22"/>
    </tableStyle>
    <tableStyle name="Reference-style 6" pivot="0" count="4" xr9:uid="{00000000-0011-0000-FFFF-FFFF05000000}">
      <tableStyleElement type="headerRow" dxfId="21"/>
      <tableStyleElement type="totalRow" dxfId="20"/>
      <tableStyleElement type="firstRowStripe" dxfId="19"/>
      <tableStyleElement type="secondRowStripe" dxfId="18"/>
    </tableStyle>
    <tableStyle name="Reference-style 7" pivot="0" count="4" xr9:uid="{00000000-0011-0000-FFFF-FFFF06000000}">
      <tableStyleElement type="headerRow" dxfId="17"/>
      <tableStyleElement type="totalRow" dxfId="16"/>
      <tableStyleElement type="firstRowStripe" dxfId="15"/>
      <tableStyleElement type="secondRowStripe" dxfId="14"/>
    </tableStyle>
    <tableStyle name="Reference-style 8" pivot="0" count="4" xr9:uid="{00000000-0011-0000-FFFF-FFFF07000000}">
      <tableStyleElement type="headerRow" dxfId="13"/>
      <tableStyleElement type="totalRow" dxfId="12"/>
      <tableStyleElement type="firstRowStripe" dxfId="11"/>
      <tableStyleElement type="secondRowStripe" dxfId="10"/>
    </tableStyle>
    <tableStyle name="Reference-style 9" pivot="0" count="4" xr9:uid="{00000000-0011-0000-FFFF-FFFF08000000}">
      <tableStyleElement type="headerRow" dxfId="9"/>
      <tableStyleElement type="totalRow" dxfId="8"/>
      <tableStyleElement type="firstRowStripe" dxfId="7"/>
      <tableStyleElement type="secondRowStripe" dxfId="6"/>
    </tableStyle>
    <tableStyle name="Reference-style 10" pivot="0" count="4" xr9:uid="{00000000-0011-0000-FFFF-FFFF09000000}">
      <tableStyleElement type="headerRow" dxfId="5"/>
      <tableStyleElement type="totalRow" dxfId="4"/>
      <tableStyleElement type="firstRowStripe" dxfId="3"/>
      <tableStyleElement type="secondRowStripe" dxfId="2"/>
    </tableStyle>
  </tableStyles>
  <colors>
    <mruColors>
      <color rgb="FFFA9EC5"/>
      <color rgb="FFF7A1DA"/>
      <color rgb="FFD12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5">
  <tableColumns count="2">
    <tableColumn id="1" xr3:uid="{00000000-0010-0000-0000-000001000000}" name="Impact Criteria"/>
    <tableColumn id="2" xr3:uid="{00000000-0010-0000-0000-000002000000}" name="Weight"/>
  </tableColumns>
  <tableStyleInfo name="Referen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1:E6">
  <tableColumns count="2">
    <tableColumn id="1" xr3:uid="{00000000-0010-0000-0100-000001000000}" name="Lower Limit"/>
    <tableColumn id="2" xr3:uid="{00000000-0010-0000-0100-000002000000}" name="Risk Level"/>
  </tableColumns>
  <tableStyleInfo name="Referenc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G1:H5">
  <tableColumns count="2">
    <tableColumn id="1" xr3:uid="{00000000-0010-0000-0200-000001000000}" name="Impact Rating"/>
    <tableColumn id="2" xr3:uid="{00000000-0010-0000-0200-000002000000}" name="Threshold Value"/>
  </tableColumns>
  <tableStyleInfo name="Referenc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C12">
  <tableColumns count="3">
    <tableColumn id="1" xr3:uid="{00000000-0010-0000-0300-000001000000}" name="Impact Rating"/>
    <tableColumn id="2" xr3:uid="{00000000-0010-0000-0300-000002000000}" name="Criteria for Safety Impact Rating"/>
    <tableColumn id="3" xr3:uid="{00000000-0010-0000-0300-000003000000}" name="Value"/>
  </tableColumns>
  <tableStyleInfo name="Reference-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6:C20">
  <tableColumns count="3">
    <tableColumn id="1" xr3:uid="{00000000-0010-0000-0400-000001000000}" name="Impact Rating"/>
    <tableColumn id="2" xr3:uid="{00000000-0010-0000-0400-000002000000}" name="Criteria for Reputational Impact Rating"/>
    <tableColumn id="3" xr3:uid="{00000000-0010-0000-0400-000003000000}" name="Value"/>
  </tableColumns>
  <tableStyleInfo name="Reference-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E16:E22">
  <tableColumns count="1">
    <tableColumn id="1" xr3:uid="{00000000-0010-0000-0500-000001000000}" name="Threat category (STRIDE)"/>
  </tableColumns>
  <tableStyleInfo name="Reference-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4:C28">
  <tableColumns count="3">
    <tableColumn id="1" xr3:uid="{00000000-0010-0000-0600-000001000000}" name="Impact Rating"/>
    <tableColumn id="2" xr3:uid="{00000000-0010-0000-0600-000002000000}" name="Criteria for Operational Impact Rating"/>
    <tableColumn id="3" xr3:uid="{00000000-0010-0000-0600-000003000000}" name="Value"/>
  </tableColumns>
  <tableStyleInfo name="Reference-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32:C36">
  <tableColumns count="3">
    <tableColumn id="1" xr3:uid="{00000000-0010-0000-0700-000001000000}" name="Impact Rating"/>
    <tableColumn id="2" xr3:uid="{00000000-0010-0000-0700-000002000000}" name="Criteria for Privacy Impact Rating"/>
    <tableColumn id="3" xr3:uid="{00000000-0010-0000-0700-000003000000}" name="Value"/>
  </tableColumns>
  <tableStyleInfo name="Reference-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40:D44">
  <tableColumns count="4">
    <tableColumn id="1" xr3:uid="{00000000-0010-0000-0800-000001000000}" name="Attack Vector"/>
    <tableColumn id="2" xr3:uid="{00000000-0010-0000-0800-000002000000}" name="Description"/>
    <tableColumn id="3" xr3:uid="{00000000-0010-0000-0800-000003000000}" name="Level"/>
    <tableColumn id="4" xr3:uid="{00000000-0010-0000-0800-000004000000}" name="Value"/>
  </tableColumns>
  <tableStyleInfo name="Reference-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47:B51">
  <tableColumns count="2">
    <tableColumn id="1" xr3:uid="{00000000-0010-0000-0900-000001000000}" name="Method"/>
    <tableColumn id="2" xr3:uid="{00000000-0010-0000-0900-000002000000}" name="Description"/>
  </tableColumns>
  <tableStyleInfo name="Reference-style 1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959"/>
  <sheetViews>
    <sheetView tabSelected="1" topLeftCell="V9" zoomScale="90" zoomScaleNormal="90" zoomScaleSheetLayoutView="80" workbookViewId="0">
      <selection activeCell="D9" sqref="D9:AE10"/>
    </sheetView>
  </sheetViews>
  <sheetFormatPr defaultColWidth="12.7109375" defaultRowHeight="15.75" customHeight="1"/>
  <cols>
    <col min="1" max="1" width="24.140625" customWidth="1"/>
    <col min="2" max="2" width="41.7109375" customWidth="1"/>
    <col min="3" max="3" width="17.28515625" customWidth="1"/>
    <col min="4" max="4" width="39.140625" customWidth="1"/>
    <col min="5" max="5" width="44" customWidth="1"/>
    <col min="6" max="6" width="21" customWidth="1"/>
    <col min="7" max="7" width="40.140625" customWidth="1"/>
    <col min="8" max="8" width="21.28515625" customWidth="1"/>
    <col min="9" max="9" width="57.42578125" customWidth="1"/>
    <col min="10" max="10" width="20.28515625" customWidth="1"/>
    <col min="11" max="11" width="33" customWidth="1"/>
    <col min="12" max="12" width="20.85546875" customWidth="1"/>
    <col min="13" max="13" width="21.28515625" customWidth="1"/>
    <col min="14" max="14" width="16.85546875" customWidth="1"/>
    <col min="15" max="15" width="42.7109375" customWidth="1"/>
    <col min="16" max="16" width="15.42578125" customWidth="1"/>
    <col min="17" max="17" width="22.28515625" customWidth="1"/>
    <col min="18" max="18" width="21.28515625" customWidth="1"/>
    <col min="19" max="19" width="21.42578125" customWidth="1"/>
    <col min="20" max="20" width="38.7109375" customWidth="1"/>
    <col min="21" max="21" width="22.42578125" customWidth="1"/>
    <col min="22" max="22" width="47.7109375" customWidth="1"/>
    <col min="23" max="23" width="35" customWidth="1"/>
  </cols>
  <sheetData>
    <row r="1" spans="1:31" ht="32.25" customHeight="1">
      <c r="A1" s="2" t="s">
        <v>0</v>
      </c>
      <c r="B1" s="2" t="s">
        <v>1</v>
      </c>
      <c r="C1" s="80" t="s">
        <v>2</v>
      </c>
      <c r="D1" s="111" t="s">
        <v>3</v>
      </c>
      <c r="E1" s="3" t="s">
        <v>4</v>
      </c>
      <c r="F1" s="4" t="s">
        <v>5</v>
      </c>
      <c r="G1" s="4" t="s">
        <v>6</v>
      </c>
      <c r="H1" s="4" t="s">
        <v>7</v>
      </c>
      <c r="I1" s="4" t="s">
        <v>8</v>
      </c>
      <c r="J1" s="4" t="s">
        <v>9</v>
      </c>
      <c r="K1" s="4" t="s">
        <v>10</v>
      </c>
      <c r="L1" s="4" t="s">
        <v>11</v>
      </c>
      <c r="M1" s="4" t="s">
        <v>12</v>
      </c>
      <c r="N1" s="71" t="s">
        <v>13</v>
      </c>
      <c r="O1" s="4" t="s">
        <v>14</v>
      </c>
      <c r="P1" s="5" t="s">
        <v>15</v>
      </c>
      <c r="Q1" s="5" t="s">
        <v>16</v>
      </c>
      <c r="R1" s="5" t="s">
        <v>17</v>
      </c>
      <c r="S1" s="4" t="s">
        <v>18</v>
      </c>
      <c r="T1" s="4" t="s">
        <v>19</v>
      </c>
      <c r="U1" s="4" t="s">
        <v>20</v>
      </c>
      <c r="V1" s="4" t="s">
        <v>21</v>
      </c>
      <c r="W1" s="4" t="s">
        <v>22</v>
      </c>
      <c r="X1" s="6"/>
      <c r="Y1" s="7" t="s">
        <v>23</v>
      </c>
      <c r="Z1" s="7" t="s">
        <v>24</v>
      </c>
      <c r="AA1" s="7" t="s">
        <v>25</v>
      </c>
      <c r="AB1" s="7" t="s">
        <v>26</v>
      </c>
      <c r="AC1" s="7" t="s">
        <v>27</v>
      </c>
      <c r="AD1" s="7" t="s">
        <v>28</v>
      </c>
      <c r="AE1" s="7" t="s">
        <v>29</v>
      </c>
    </row>
    <row r="2" spans="1:31" ht="92.45">
      <c r="A2" s="132" t="s">
        <v>30</v>
      </c>
      <c r="B2" s="77" t="s">
        <v>31</v>
      </c>
      <c r="C2" s="16" t="s">
        <v>32</v>
      </c>
      <c r="D2" s="24" t="s">
        <v>33</v>
      </c>
      <c r="E2" s="72" t="s">
        <v>34</v>
      </c>
      <c r="F2" s="16" t="s">
        <v>35</v>
      </c>
      <c r="G2" s="16" t="s">
        <v>36</v>
      </c>
      <c r="H2" s="16" t="s">
        <v>37</v>
      </c>
      <c r="I2" s="72" t="s">
        <v>38</v>
      </c>
      <c r="J2" s="16" t="s">
        <v>39</v>
      </c>
      <c r="K2" s="73" t="s">
        <v>40</v>
      </c>
      <c r="L2" s="16" t="s">
        <v>39</v>
      </c>
      <c r="M2" s="73" t="s">
        <v>41</v>
      </c>
      <c r="N2" s="16" t="s">
        <v>37</v>
      </c>
      <c r="O2" s="72" t="s">
        <v>42</v>
      </c>
      <c r="P2" s="84" t="str">
        <f>IF(AC2&gt;=Reference!$H$2, Reference!$G$2, IF(AC2&gt;=Reference!$H$3, Reference!$G$3, IF(AC2&gt;=Reference!$H$4, Reference!$G$4, IF(AC2&gt;=Reference!$H$5, Reference!$G$5, ""))))</f>
        <v>Moderate</v>
      </c>
      <c r="Q2" s="84" t="str">
        <f t="shared" ref="Q2:Q79" si="0">IF(F2="Physical", "Very Low", IF(F2="Local", "Low", IF(F2="Adjacent", "Medium", IF(F2="Network", "High", ""))))</f>
        <v>High</v>
      </c>
      <c r="R2" s="84" t="str">
        <f>IF(AE2&gt;=Reference!$D$2, Reference!$G$2, IF(AE2&gt;=Reference!$D$3, Reference!$E$3, IF(AE2&gt;=Reference!$D$4, Reference!$E$4, IF(AE2&gt;=Reference!$D$5, Reference!$E$5, ""))))</f>
        <v>Medium</v>
      </c>
      <c r="S2" s="9" t="s">
        <v>43</v>
      </c>
      <c r="T2" s="72" t="s">
        <v>44</v>
      </c>
      <c r="U2" s="72" t="s">
        <v>45</v>
      </c>
      <c r="V2" s="72" t="s">
        <v>46</v>
      </c>
      <c r="W2" s="16"/>
      <c r="Y2" s="12">
        <f>IF(H2=Reference!$A$12, Reference!$C$12, IF(H2=Reference!$A$11, Reference!$C$11, IF(H2=Reference!$A$10, Reference!$C$10, IF(H2=Reference!$A$9, Reference!$C$9, 0))))</f>
        <v>1</v>
      </c>
      <c r="Z2" s="12">
        <f>IF(J2=Reference!$A$20, Reference!$C$20, IF(J2=Reference!$A$19, Reference!$C$19, IF(J2=Reference!$A$18, Reference!$C$18, IF(J2=Reference!$A$17, Reference!$C$17, 0))))</f>
        <v>4</v>
      </c>
      <c r="AA2" s="12">
        <f>IF(L2=Reference!$A$28, Reference!$C$28, IF(L2=Reference!$A$27, Reference!$C$27, IF(L2=Reference!$A$26, Reference!$C$26, IF(L2=Reference!$A$25, Reference!$C$25, 0))))</f>
        <v>4</v>
      </c>
      <c r="AB2" s="12">
        <f>IF(N2=Reference!$A$36, Reference!$C$36, IF(N2=Reference!$A$35, Reference!$C$35, IF(N2=Reference!$A$34, Reference!$C$34, IF(N2=Reference!$A$33, Reference!$C$33, 0))))</f>
        <v>1</v>
      </c>
      <c r="AC2" s="12">
        <f>(Reference!$B$2*Y2 + Reference!$B$3*AA2 + Reference!$B$4*Z2 + Reference!$B$5 * AB2)/4</f>
        <v>2.8125</v>
      </c>
      <c r="AD2" s="12">
        <f>IF(Q2=Reference!$C$41, Reference!$D$41, IF(Q2=Reference!$C$42, Reference!$D$42, IF(Q2=Reference!$C$43, Reference!$D$43, IF(Q2=Reference!$C$44, Reference!$D$44, 0))))</f>
        <v>10</v>
      </c>
      <c r="AE2" s="85">
        <f t="shared" ref="AE2:AE80" si="1">1 + (AC2 * AD2)</f>
        <v>29.125</v>
      </c>
    </row>
    <row r="3" spans="1:31" ht="92.45">
      <c r="A3" s="143"/>
      <c r="B3" s="16" t="s">
        <v>47</v>
      </c>
      <c r="C3" s="16" t="s">
        <v>32</v>
      </c>
      <c r="D3" s="78" t="s">
        <v>48</v>
      </c>
      <c r="E3" s="72" t="s">
        <v>49</v>
      </c>
      <c r="F3" s="16" t="s">
        <v>35</v>
      </c>
      <c r="G3" s="77" t="s">
        <v>50</v>
      </c>
      <c r="H3" s="16" t="s">
        <v>39</v>
      </c>
      <c r="I3" s="72" t="s">
        <v>51</v>
      </c>
      <c r="J3" s="16" t="s">
        <v>39</v>
      </c>
      <c r="K3" s="72" t="s">
        <v>52</v>
      </c>
      <c r="L3" s="16" t="s">
        <v>39</v>
      </c>
      <c r="M3" s="72" t="s">
        <v>53</v>
      </c>
      <c r="N3" s="16" t="s">
        <v>39</v>
      </c>
      <c r="O3" s="72" t="s">
        <v>54</v>
      </c>
      <c r="P3" s="109" t="str">
        <f>IF(AC3&gt;=Reference!$H$2, Reference!$G$2, IF(AC3&gt;=Reference!$H$3, Reference!$G$3, IF(AC3&gt;=Reference!$H$4, Reference!$G$4, IF(AC3&gt;=Reference!$H$5, Reference!$G$5, ""))))</f>
        <v>Major</v>
      </c>
      <c r="Q3" s="109" t="str">
        <f t="shared" ref="Q3" si="2">IF(F3="Physical", "Very Low", IF(F3="Local", "Low", IF(F3="Adjacent", "Medium", IF(F3="Network", "High", ""))))</f>
        <v>High</v>
      </c>
      <c r="R3" s="109" t="str">
        <f>IF(AE3&gt;=Reference!$D$2, Reference!$G$2, IF(AE3&gt;=Reference!$D$3, Reference!$E$3, IF(AE3&gt;=Reference!$D$4, Reference!$E$4, IF(AE3&gt;=Reference!$D$5, Reference!$E$5, ""))))</f>
        <v>High</v>
      </c>
      <c r="S3" s="107" t="s">
        <v>43</v>
      </c>
      <c r="T3" s="72" t="s">
        <v>55</v>
      </c>
      <c r="U3" s="72" t="s">
        <v>56</v>
      </c>
      <c r="V3" s="72" t="s">
        <v>57</v>
      </c>
      <c r="W3" s="77" t="s">
        <v>58</v>
      </c>
      <c r="Y3" s="12">
        <f>IF(H3=Reference!$A$12, Reference!$C$12, IF(H3=Reference!$A$11, Reference!$C$11, IF(H3=Reference!$A$10, Reference!$C$10, IF(H3=Reference!$A$9, Reference!$C$9, 0))))</f>
        <v>4</v>
      </c>
      <c r="Z3" s="12">
        <f>IF(J3=Reference!$A$20, Reference!$C$20, IF(J3=Reference!$A$19, Reference!$C$19, IF(J3=Reference!$A$18, Reference!$C$18, IF(J3=Reference!$A$17, Reference!$C$17, 0))))</f>
        <v>4</v>
      </c>
      <c r="AA3" s="12">
        <f>IF(L3=Reference!$A$28, Reference!$C$28, IF(L3=Reference!$A$27, Reference!$C$27, IF(L3=Reference!$A$26, Reference!$C$26, IF(L3=Reference!$A$25, Reference!$C$25, 0))))</f>
        <v>4</v>
      </c>
      <c r="AB3" s="12">
        <f>IF(N3=Reference!$A$36, Reference!$C$36, IF(N3=Reference!$A$35, Reference!$C$35, IF(N3=Reference!$A$34, Reference!$C$34, IF(N3=Reference!$A$33, Reference!$C$33, 0))))</f>
        <v>4</v>
      </c>
      <c r="AC3" s="12">
        <f>(Reference!$B$2*Y3 + Reference!$B$3*AA3 + Reference!$B$4*Z3 + Reference!$B$5 * AB3)/4</f>
        <v>6.75</v>
      </c>
      <c r="AD3" s="12">
        <f>IF(Q3=Reference!$C$41, Reference!$D$41, IF(Q3=Reference!$C$42, Reference!$D$42, IF(Q3=Reference!$C$43, Reference!$D$43, IF(Q3=Reference!$C$44, Reference!$D$44, 0))))</f>
        <v>10</v>
      </c>
      <c r="AE3" s="108">
        <f t="shared" ref="AE3" si="3">1 + (AC3 * AD3)</f>
        <v>68.5</v>
      </c>
    </row>
    <row r="4" spans="1:31" ht="118.9">
      <c r="A4" s="144"/>
      <c r="B4" s="16" t="s">
        <v>59</v>
      </c>
      <c r="C4" s="16" t="s">
        <v>60</v>
      </c>
      <c r="D4" s="78" t="s">
        <v>61</v>
      </c>
      <c r="E4" s="72" t="s">
        <v>62</v>
      </c>
      <c r="F4" s="16" t="s">
        <v>35</v>
      </c>
      <c r="G4" s="77" t="s">
        <v>63</v>
      </c>
      <c r="H4" s="16" t="s">
        <v>64</v>
      </c>
      <c r="I4" s="72" t="s">
        <v>65</v>
      </c>
      <c r="J4" s="16" t="s">
        <v>64</v>
      </c>
      <c r="K4" s="72" t="s">
        <v>66</v>
      </c>
      <c r="L4" s="16" t="s">
        <v>64</v>
      </c>
      <c r="M4" s="72" t="s">
        <v>67</v>
      </c>
      <c r="N4" s="16" t="s">
        <v>64</v>
      </c>
      <c r="O4" s="72" t="s">
        <v>68</v>
      </c>
      <c r="P4" s="89" t="str">
        <f>IF(AC4&gt;=Reference!$H$2, Reference!$G$2, IF(AC4&gt;=Reference!$H$3, Reference!$G$3, IF(AC4&gt;=Reference!$H$4, Reference!$G$4, IF(AC4&gt;=Reference!$H$5, Reference!$G$5, ""))))</f>
        <v>Severe</v>
      </c>
      <c r="Q4" s="89" t="str">
        <f t="shared" ref="Q4" si="4">IF(F4="Physical", "Very Low", IF(F4="Local", "Low", IF(F4="Adjacent", "Medium", IF(F4="Network", "High", ""))))</f>
        <v>High</v>
      </c>
      <c r="R4" s="89" t="str">
        <f>IF(AE4&gt;=Reference!$D$2, Reference!$G$2, IF(AE4&gt;=Reference!$D$3, Reference!$E$3, IF(AE4&gt;=Reference!$D$4, Reference!$E$4, IF(AE4&gt;=Reference!$D$5, Reference!$E$5, ""))))</f>
        <v>Severe</v>
      </c>
      <c r="S4" s="9" t="s">
        <v>43</v>
      </c>
      <c r="T4" s="72" t="s">
        <v>69</v>
      </c>
      <c r="U4" s="72" t="s">
        <v>70</v>
      </c>
      <c r="V4" s="72" t="s">
        <v>71</v>
      </c>
      <c r="W4" s="77" t="s">
        <v>72</v>
      </c>
      <c r="Y4" s="12">
        <f>IF(H4=Reference!$A$12, Reference!$C$12, IF(H4=Reference!$A$11, Reference!$C$11, IF(H4=Reference!$A$10, Reference!$C$10, IF(H4=Reference!$A$9, Reference!$C$9, 0))))</f>
        <v>7</v>
      </c>
      <c r="Z4" s="12">
        <f>IF(J4=Reference!$A$20, Reference!$C$20, IF(J4=Reference!$A$19, Reference!$C$19, IF(J4=Reference!$A$18, Reference!$C$18, IF(J4=Reference!$A$17, Reference!$C$17, 0))))</f>
        <v>7</v>
      </c>
      <c r="AA4" s="12">
        <f>IF(L4=Reference!$A$28, Reference!$C$28, IF(L4=Reference!$A$27, Reference!$C$27, IF(L4=Reference!$A$26, Reference!$C$26, IF(L4=Reference!$A$25, Reference!$C$25, 0))))</f>
        <v>7</v>
      </c>
      <c r="AB4" s="12">
        <f>IF(N4=Reference!$A$36, Reference!$C$36, IF(N4=Reference!$A$35, Reference!$C$35, IF(N4=Reference!$A$34, Reference!$C$34, IF(N4=Reference!$A$33, Reference!$C$33, 0))))</f>
        <v>7</v>
      </c>
      <c r="AC4" s="12">
        <f>(Reference!$B$2*Y4 + Reference!$B$3*AA4 + Reference!$B$4*Z4 + Reference!$B$5 * AB4)/4</f>
        <v>11.8125</v>
      </c>
      <c r="AD4" s="12">
        <f>IF(Q4=Reference!$C$41, Reference!$D$41, IF(Q4=Reference!$C$42, Reference!$D$42, IF(Q4=Reference!$C$43, Reference!$D$43, IF(Q4=Reference!$C$44, Reference!$D$44, 0))))</f>
        <v>10</v>
      </c>
      <c r="AE4" s="88">
        <f t="shared" ref="AE4" si="5">1 + (AC4 * AD4)</f>
        <v>119.125</v>
      </c>
    </row>
    <row r="5" spans="1:31" ht="92.45">
      <c r="A5" s="77" t="s">
        <v>73</v>
      </c>
      <c r="B5" s="16" t="s">
        <v>74</v>
      </c>
      <c r="C5" s="77" t="s">
        <v>75</v>
      </c>
      <c r="D5" s="24" t="s">
        <v>76</v>
      </c>
      <c r="E5" s="72" t="s">
        <v>77</v>
      </c>
      <c r="F5" s="16" t="s">
        <v>35</v>
      </c>
      <c r="G5" s="72" t="s">
        <v>78</v>
      </c>
      <c r="H5" s="16" t="s">
        <v>39</v>
      </c>
      <c r="I5" s="72" t="s">
        <v>79</v>
      </c>
      <c r="J5" s="16" t="s">
        <v>39</v>
      </c>
      <c r="K5" s="69" t="s">
        <v>80</v>
      </c>
      <c r="L5" s="16" t="s">
        <v>39</v>
      </c>
      <c r="M5" s="70" t="s">
        <v>81</v>
      </c>
      <c r="N5" s="16" t="s">
        <v>37</v>
      </c>
      <c r="O5" s="72" t="s">
        <v>82</v>
      </c>
      <c r="P5" s="86" t="str">
        <f>IF(AC5&gt;=Reference!$H$2, Reference!$G$2, IF(AC5&gt;=Reference!$H$3, Reference!$G$3, IF(AC5&gt;=Reference!$H$4, Reference!$G$4, IF(AC5&gt;=Reference!$H$5, Reference!$G$5, ""))))</f>
        <v>Major</v>
      </c>
      <c r="Q5" s="86" t="str">
        <f t="shared" si="0"/>
        <v>High</v>
      </c>
      <c r="R5" s="86" t="str">
        <f>IF(AE5&gt;=Reference!$D$2, Reference!$G$2, IF(AE5&gt;=Reference!$D$3, Reference!$E$3, IF(AE5&gt;=Reference!$D$4, Reference!$E$4, IF(AE5&gt;=Reference!$D$5, Reference!$E$5, ""))))</f>
        <v>High</v>
      </c>
      <c r="S5" s="9" t="s">
        <v>43</v>
      </c>
      <c r="T5" s="72" t="s">
        <v>83</v>
      </c>
      <c r="U5" s="72" t="s">
        <v>84</v>
      </c>
      <c r="V5" s="72" t="s">
        <v>85</v>
      </c>
      <c r="W5" s="16"/>
      <c r="Y5" s="12">
        <f>IF(H5=Reference!$A$12, Reference!$C$12, IF(H5=Reference!$A$11, Reference!$C$11, IF(H5=Reference!$A$10, Reference!$C$10, IF(H5=Reference!$A$9, Reference!$C$9, 0))))</f>
        <v>4</v>
      </c>
      <c r="Z5" s="12">
        <f>IF(J5=Reference!$A$20, Reference!$C$20, IF(J5=Reference!$A$19, Reference!$C$19, IF(J5=Reference!$A$18, Reference!$C$18, IF(J5=Reference!$A$17, Reference!$C$17, 0))))</f>
        <v>4</v>
      </c>
      <c r="AA5" s="12">
        <f>IF(L5=Reference!$A$28, Reference!$C$28, IF(L5=Reference!$A$27, Reference!$C$27, IF(L5=Reference!$A$26, Reference!$C$26, IF(L5=Reference!$A$25, Reference!$C$25, 0))))</f>
        <v>4</v>
      </c>
      <c r="AB5" s="12">
        <f>IF(N5=Reference!$A$36, Reference!$C$36, IF(N5=Reference!$A$35, Reference!$C$35, IF(N5=Reference!$A$34, Reference!$C$34, IF(N5=Reference!$A$33, Reference!$C$33, 0))))</f>
        <v>1</v>
      </c>
      <c r="AC5" s="12">
        <f>(Reference!$B$2*Y5 + Reference!$B$3*AA5 + Reference!$B$4*Z5 + Reference!$B$5 * AB5)/4</f>
        <v>6.5625</v>
      </c>
      <c r="AD5" s="12">
        <f>IF(Q5=Reference!$C$41, Reference!$D$41, IF(Q5=Reference!$C$42, Reference!$D$42, IF(Q5=Reference!$C$43, Reference!$D$43, IF(Q5=Reference!$C$44, Reference!$D$44, 0))))</f>
        <v>10</v>
      </c>
      <c r="AE5" s="87">
        <f t="shared" si="1"/>
        <v>66.625</v>
      </c>
    </row>
    <row r="6" spans="1:31" ht="92.45">
      <c r="A6" s="16" t="s">
        <v>73</v>
      </c>
      <c r="B6" s="16" t="s">
        <v>31</v>
      </c>
      <c r="C6" s="16" t="s">
        <v>32</v>
      </c>
      <c r="D6" s="72" t="s">
        <v>86</v>
      </c>
      <c r="E6" s="72" t="s">
        <v>87</v>
      </c>
      <c r="F6" s="16" t="s">
        <v>35</v>
      </c>
      <c r="G6" s="72" t="s">
        <v>88</v>
      </c>
      <c r="H6" s="16" t="s">
        <v>39</v>
      </c>
      <c r="I6" s="72" t="s">
        <v>89</v>
      </c>
      <c r="J6" s="16" t="s">
        <v>39</v>
      </c>
      <c r="K6" s="72" t="s">
        <v>90</v>
      </c>
      <c r="L6" s="16" t="s">
        <v>39</v>
      </c>
      <c r="M6" s="72" t="s">
        <v>91</v>
      </c>
      <c r="N6" s="16" t="s">
        <v>37</v>
      </c>
      <c r="O6" s="76" t="s">
        <v>92</v>
      </c>
      <c r="P6" s="86" t="str">
        <f>IF(AC6&gt;=Reference!$H$2, Reference!$G$2, IF(AC6&gt;=Reference!$H$3, Reference!$G$3, IF(AC6&gt;=Reference!$H$4, Reference!$G$4, IF(AC6&gt;=Reference!$H$5, Reference!$G$5, ""))))</f>
        <v>Major</v>
      </c>
      <c r="Q6" s="86" t="str">
        <f t="shared" si="0"/>
        <v>High</v>
      </c>
      <c r="R6" s="86" t="str">
        <f>IF(AE6&gt;=Reference!$D$2, Reference!$E$2, IF(AE6&gt;=Reference!$D$3, Reference!$E$3, IF(AE6&gt;=Reference!$D$4, Reference!$E$4, IF(AE6&gt;=Reference!$D$5, Reference!$E$5, ""))))</f>
        <v>High</v>
      </c>
      <c r="S6" s="13" t="s">
        <v>43</v>
      </c>
      <c r="T6" s="72" t="s">
        <v>93</v>
      </c>
      <c r="U6" s="72" t="s">
        <v>94</v>
      </c>
      <c r="V6" s="76" t="s">
        <v>95</v>
      </c>
      <c r="W6" s="16"/>
      <c r="Y6" s="12">
        <f>IF(H6=Reference!$A$12, Reference!$C$12, IF(H6=Reference!$A$11, Reference!$C$11, IF(H6=Reference!$A$10, Reference!$C$10, IF(H6=Reference!$A$9, Reference!$C$9, 0))))</f>
        <v>4</v>
      </c>
      <c r="Z6" s="12">
        <f>IF(J6=Reference!$A$20, Reference!$C$20, IF(J6=Reference!$A$19, Reference!$C$19, IF(J6=Reference!$A$18, Reference!$C$18, IF(J6=Reference!$A$17, Reference!$C$17, 0))))</f>
        <v>4</v>
      </c>
      <c r="AA6" s="12">
        <f>IF(L6=Reference!$A$28, Reference!$C$28, IF(L6=Reference!$A$27, Reference!$C$27, IF(L6=Reference!$A$26, Reference!$C$26, IF(L6=Reference!$A$25, Reference!$C$25, 0))))</f>
        <v>4</v>
      </c>
      <c r="AB6" s="12">
        <f>IF(N6=Reference!$A$36, Reference!$C$36, IF(N6=Reference!$A$35, Reference!$C$35, IF(N6=Reference!$A$34, Reference!$C$34, IF(N6=Reference!$A$33, Reference!$C$33, 0))))</f>
        <v>1</v>
      </c>
      <c r="AC6" s="12">
        <f>(Reference!$B$2*Y6 + Reference!$B$3*AA6 + Reference!$B$4*Z6 + Reference!$B$5 * AB6)/4</f>
        <v>6.5625</v>
      </c>
      <c r="AD6" s="12">
        <f>IF(Q6=Reference!$C$41, Reference!$D$41, IF(Q6=Reference!$C$42, Reference!$D$42, IF(Q6=Reference!$C$43, Reference!$D$43, IF(Q6=Reference!$C$44, Reference!$D$44, 0))))</f>
        <v>10</v>
      </c>
      <c r="AE6" s="87">
        <f t="shared" si="1"/>
        <v>66.625</v>
      </c>
    </row>
    <row r="7" spans="1:31" ht="92.45">
      <c r="A7" s="77" t="s">
        <v>73</v>
      </c>
      <c r="B7" s="92" t="s">
        <v>31</v>
      </c>
      <c r="C7" s="77" t="s">
        <v>32</v>
      </c>
      <c r="D7" s="72" t="s">
        <v>96</v>
      </c>
      <c r="E7" s="72" t="s">
        <v>97</v>
      </c>
      <c r="F7" s="16" t="s">
        <v>35</v>
      </c>
      <c r="G7" s="72" t="s">
        <v>98</v>
      </c>
      <c r="H7" s="16" t="s">
        <v>64</v>
      </c>
      <c r="I7" s="72" t="s">
        <v>99</v>
      </c>
      <c r="J7" s="16" t="s">
        <v>39</v>
      </c>
      <c r="K7" s="72" t="s">
        <v>100</v>
      </c>
      <c r="L7" s="16" t="s">
        <v>64</v>
      </c>
      <c r="M7" s="72" t="s">
        <v>101</v>
      </c>
      <c r="N7" s="16" t="s">
        <v>37</v>
      </c>
      <c r="O7" s="72" t="s">
        <v>102</v>
      </c>
      <c r="P7" s="89" t="str">
        <f>IF(AC7&gt;=Reference!$H$2, Reference!$G$2, IF(AC7&gt;=Reference!$H$3, Reference!$G$3, IF(AC7&gt;=Reference!$H$4, Reference!$G$4, IF(AC7&gt;=Reference!$H$5, Reference!$G$5, ""))))</f>
        <v>Severe</v>
      </c>
      <c r="Q7" s="89" t="str">
        <f t="shared" si="0"/>
        <v>High</v>
      </c>
      <c r="R7" s="89" t="str">
        <f>IF(AE7&gt;=Reference!$D$2, Reference!$G$2, IF(AE7&gt;=Reference!$D$3, Reference!$E$3, IF(AE7&gt;=Reference!$D$4, Reference!$E$4, IF(AE7&gt;=Reference!$D$5, Reference!$E$5, ""))))</f>
        <v>Severe</v>
      </c>
      <c r="S7" s="13" t="s">
        <v>43</v>
      </c>
      <c r="T7" s="72" t="s">
        <v>103</v>
      </c>
      <c r="U7" s="72" t="s">
        <v>104</v>
      </c>
      <c r="V7" s="16"/>
      <c r="W7" s="16"/>
      <c r="Y7" s="12">
        <f>IF(H7=Reference!$A$12, Reference!$C$12, IF(H7=Reference!$A$11, Reference!$C$11, IF(H7=Reference!$A$10, Reference!$C$10, IF(H7=Reference!$A$9, Reference!$C$9, 0))))</f>
        <v>7</v>
      </c>
      <c r="Z7" s="12">
        <f>IF(J7=Reference!$A$20, Reference!$C$20, IF(J7=Reference!$A$19, Reference!$C$19, IF(J7=Reference!$A$18, Reference!$C$18, IF(J7=Reference!$A$17, Reference!$C$17, 0))))</f>
        <v>4</v>
      </c>
      <c r="AA7" s="12">
        <f>IF(L7=Reference!$A$28, Reference!$C$28, IF(L7=Reference!$A$27, Reference!$C$27, IF(L7=Reference!$A$26, Reference!$C$26, IF(L7=Reference!$A$25, Reference!$C$25, 0))))</f>
        <v>7</v>
      </c>
      <c r="AB7" s="12">
        <f>IF(N7=Reference!$A$36, Reference!$C$36, IF(N7=Reference!$A$35, Reference!$C$35, IF(N7=Reference!$A$34, Reference!$C$34, IF(N7=Reference!$A$33, Reference!$C$33, 0))))</f>
        <v>1</v>
      </c>
      <c r="AC7" s="12">
        <f>(Reference!$B$2*Y7 + Reference!$B$3*AA7 + Reference!$B$4*Z7 + Reference!$B$5 * AB7)/4</f>
        <v>11.0625</v>
      </c>
      <c r="AD7" s="12">
        <f>IF(Q7=Reference!$C$41, Reference!$D$41, IF(Q7=Reference!$C$42, Reference!$D$42, IF(Q7=Reference!$C$43, Reference!$D$43, IF(Q7=Reference!$C$44, Reference!$D$44, 0))))</f>
        <v>10</v>
      </c>
      <c r="AE7" s="88">
        <f t="shared" si="1"/>
        <v>111.625</v>
      </c>
    </row>
    <row r="8" spans="1:31" ht="92.45">
      <c r="A8" s="77" t="s">
        <v>73</v>
      </c>
      <c r="B8" s="16" t="s">
        <v>31</v>
      </c>
      <c r="C8" s="77" t="s">
        <v>32</v>
      </c>
      <c r="D8" s="72" t="s">
        <v>105</v>
      </c>
      <c r="E8" s="72" t="s">
        <v>106</v>
      </c>
      <c r="F8" s="16" t="s">
        <v>35</v>
      </c>
      <c r="G8" s="72" t="s">
        <v>98</v>
      </c>
      <c r="H8" s="16" t="s">
        <v>39</v>
      </c>
      <c r="I8" s="72" t="s">
        <v>107</v>
      </c>
      <c r="J8" s="16" t="s">
        <v>39</v>
      </c>
      <c r="K8" s="72" t="s">
        <v>100</v>
      </c>
      <c r="L8" s="16" t="s">
        <v>64</v>
      </c>
      <c r="M8" s="72" t="s">
        <v>101</v>
      </c>
      <c r="N8" s="16" t="s">
        <v>37</v>
      </c>
      <c r="O8" s="72" t="s">
        <v>102</v>
      </c>
      <c r="P8" s="86" t="str">
        <f>IF(AC8&gt;=Reference!$H$2, Reference!$G$2, IF(AC8&gt;=Reference!$H$3, Reference!$G$3, IF(AC8&gt;=Reference!$H$4, Reference!$G$4, IF(AC8&gt;=Reference!$H$5, Reference!$G$5, ""))))</f>
        <v>Major</v>
      </c>
      <c r="Q8" s="86" t="str">
        <f t="shared" si="0"/>
        <v>High</v>
      </c>
      <c r="R8" s="86" t="str">
        <f>IF(AE8&gt;=Reference!$D$2, Reference!$G$2, IF(AE8&gt;=Reference!$D$3, Reference!$E$3, IF(AE8&gt;=Reference!$D$4, Reference!$E$4, IF(AE8&gt;=Reference!$D$5, Reference!$E$5, ""))))</f>
        <v>High</v>
      </c>
      <c r="S8" s="13" t="s">
        <v>43</v>
      </c>
      <c r="T8" s="72" t="s">
        <v>108</v>
      </c>
      <c r="U8" s="72" t="s">
        <v>109</v>
      </c>
      <c r="V8" s="16"/>
      <c r="W8" s="16"/>
      <c r="Y8" s="12">
        <f>IF(H8=Reference!$A$12, Reference!$C$12, IF(H8=Reference!$A$11, Reference!$C$11, IF(H8=Reference!$A$10, Reference!$C$10, IF(H8=Reference!$A$9, Reference!$C$9, 0))))</f>
        <v>4</v>
      </c>
      <c r="Z8" s="12">
        <f>IF(J8=Reference!$A$20, Reference!$C$20, IF(J8=Reference!$A$19, Reference!$C$19, IF(J8=Reference!$A$18, Reference!$C$18, IF(J8=Reference!$A$17, Reference!$C$17, 0))))</f>
        <v>4</v>
      </c>
      <c r="AA8" s="12">
        <f>IF(L8=Reference!$A$28, Reference!$C$28, IF(L8=Reference!$A$27, Reference!$C$27, IF(L8=Reference!$A$26, Reference!$C$26, IF(L8=Reference!$A$25, Reference!$C$25, 0))))</f>
        <v>7</v>
      </c>
      <c r="AB8" s="12">
        <f>IF(N8=Reference!$A$36, Reference!$C$36, IF(N8=Reference!$A$35, Reference!$C$35, IF(N8=Reference!$A$34, Reference!$C$34, IF(N8=Reference!$A$33, Reference!$C$33, 0))))</f>
        <v>1</v>
      </c>
      <c r="AC8" s="12">
        <f>(Reference!$B$2*Y8 + Reference!$B$3*AA8 + Reference!$B$4*Z8 + Reference!$B$5 * AB8)/4</f>
        <v>7.3125</v>
      </c>
      <c r="AD8" s="12">
        <f>IF(Q8=Reference!$C$41, Reference!$D$41, IF(Q8=Reference!$C$42, Reference!$D$42, IF(Q8=Reference!$C$43, Reference!$D$43, IF(Q8=Reference!$C$44, Reference!$D$44, 0))))</f>
        <v>10</v>
      </c>
      <c r="AE8" s="87">
        <f t="shared" si="1"/>
        <v>74.125</v>
      </c>
    </row>
    <row r="9" spans="1:31" ht="92.45">
      <c r="A9" s="145" t="s">
        <v>73</v>
      </c>
      <c r="B9" s="16" t="s">
        <v>47</v>
      </c>
      <c r="C9" s="77" t="s">
        <v>32</v>
      </c>
      <c r="D9" s="72" t="s">
        <v>110</v>
      </c>
      <c r="E9" s="75" t="s">
        <v>106</v>
      </c>
      <c r="F9" s="16" t="s">
        <v>35</v>
      </c>
      <c r="G9" s="72" t="s">
        <v>98</v>
      </c>
      <c r="H9" s="16" t="s">
        <v>37</v>
      </c>
      <c r="I9" s="72" t="s">
        <v>111</v>
      </c>
      <c r="J9" s="16" t="s">
        <v>39</v>
      </c>
      <c r="K9" s="72" t="s">
        <v>112</v>
      </c>
      <c r="L9" s="16" t="s">
        <v>37</v>
      </c>
      <c r="M9" s="72" t="s">
        <v>113</v>
      </c>
      <c r="N9" s="16" t="s">
        <v>64</v>
      </c>
      <c r="O9" s="72" t="s">
        <v>114</v>
      </c>
      <c r="P9" s="100" t="str">
        <f>IF(AC9&gt;=Reference!$H$2, Reference!$G$2, IF(AC9&gt;=Reference!$H$3, Reference!$G$3, IF(AC9&gt;=Reference!$H$4, Reference!$G$4, IF(AC9&gt;=Reference!$H$5, Reference!$G$5, ""))))</f>
        <v>Negligible</v>
      </c>
      <c r="Q9" s="100" t="str">
        <f t="shared" si="0"/>
        <v>High</v>
      </c>
      <c r="R9" s="100" t="str">
        <f>IF(AE9&gt;=Reference!$D$2, Reference!$G$2, IF(AE9&gt;=Reference!$D$3, Reference!$E$3, IF(AE9&gt;=Reference!$D$4, Reference!$E$4, IF(AE9&gt;=Reference!$D$5, Reference!$E$5, ""))))</f>
        <v>Medium</v>
      </c>
      <c r="S9" s="13" t="s">
        <v>43</v>
      </c>
      <c r="T9" s="72" t="s">
        <v>115</v>
      </c>
      <c r="U9" s="72" t="s">
        <v>116</v>
      </c>
      <c r="V9" s="72" t="s">
        <v>117</v>
      </c>
      <c r="W9" s="16"/>
      <c r="Y9" s="12">
        <f>IF(H9=Reference!$A$12, Reference!$C$12, IF(H9=Reference!$A$11, Reference!$C$11, IF(H9=Reference!$A$10, Reference!$C$10, IF(H9=Reference!$A$9, Reference!$C$9, 0))))</f>
        <v>1</v>
      </c>
      <c r="Z9" s="12">
        <f>IF(J9=Reference!$A$20, Reference!$C$20, IF(J9=Reference!$A$19, Reference!$C$19, IF(J9=Reference!$A$18, Reference!$C$18, IF(J9=Reference!$A$17, Reference!$C$17, 0))))</f>
        <v>4</v>
      </c>
      <c r="AA9" s="12">
        <f>IF(L9=Reference!$A$28, Reference!$C$28, IF(L9=Reference!$A$27, Reference!$C$27, IF(L9=Reference!$A$26, Reference!$C$26, IF(L9=Reference!$A$25, Reference!$C$25, 0))))</f>
        <v>1</v>
      </c>
      <c r="AB9" s="12">
        <f>IF(N9=Reference!$A$36, Reference!$C$36, IF(N9=Reference!$A$35, Reference!$C$35, IF(N9=Reference!$A$34, Reference!$C$34, IF(N9=Reference!$A$33, Reference!$C$33, 0))))</f>
        <v>7</v>
      </c>
      <c r="AC9" s="12">
        <f>(Reference!$B$2*Y9 + Reference!$B$3*AA9 + Reference!$B$4*Z9 + Reference!$B$5 * AB9)/4</f>
        <v>2.4375</v>
      </c>
      <c r="AD9" s="12">
        <f>IF(Q9=Reference!$C$41, Reference!$D$41, IF(Q9=Reference!$C$42, Reference!$D$42, IF(Q9=Reference!$C$43, Reference!$D$43, IF(Q9=Reference!$C$44, Reference!$D$44, 0))))</f>
        <v>10</v>
      </c>
      <c r="AE9" s="99">
        <f t="shared" si="1"/>
        <v>25.375</v>
      </c>
    </row>
    <row r="10" spans="1:31" ht="105" customHeight="1">
      <c r="A10" s="146"/>
      <c r="B10" s="16" t="s">
        <v>59</v>
      </c>
      <c r="C10" s="77" t="s">
        <v>60</v>
      </c>
      <c r="D10" s="72" t="s">
        <v>110</v>
      </c>
      <c r="E10" s="75" t="s">
        <v>106</v>
      </c>
      <c r="F10" s="16" t="s">
        <v>35</v>
      </c>
      <c r="G10" s="72" t="s">
        <v>98</v>
      </c>
      <c r="H10" s="16" t="s">
        <v>37</v>
      </c>
      <c r="I10" s="72" t="s">
        <v>111</v>
      </c>
      <c r="J10" s="16" t="s">
        <v>39</v>
      </c>
      <c r="K10" s="72" t="s">
        <v>112</v>
      </c>
      <c r="L10" s="16" t="s">
        <v>37</v>
      </c>
      <c r="M10" s="72" t="s">
        <v>113</v>
      </c>
      <c r="N10" s="16" t="s">
        <v>64</v>
      </c>
      <c r="O10" s="72" t="s">
        <v>114</v>
      </c>
      <c r="P10" s="100" t="str">
        <f>IF(AC10&gt;=Reference!$H$2, Reference!$G$2, IF(AC10&gt;=Reference!$H$3, Reference!$G$3, IF(AC10&gt;=Reference!$H$4, Reference!$G$4, IF(AC10&gt;=Reference!$H$5, Reference!$G$5, ""))))</f>
        <v>Negligible</v>
      </c>
      <c r="Q10" s="100" t="str">
        <f t="shared" ref="Q10" si="6">IF(F10="Physical", "Very Low", IF(F10="Local", "Low", IF(F10="Adjacent", "Medium", IF(F10="Network", "High", ""))))</f>
        <v>High</v>
      </c>
      <c r="R10" s="100" t="str">
        <f>IF(AE10&gt;=Reference!$D$2, Reference!$G$2, IF(AE10&gt;=Reference!$D$3, Reference!$E$3, IF(AE10&gt;=Reference!$D$4, Reference!$E$4, IF(AE10&gt;=Reference!$D$5, Reference!$E$5, ""))))</f>
        <v>Medium</v>
      </c>
      <c r="S10" s="13" t="s">
        <v>43</v>
      </c>
      <c r="T10" s="72" t="s">
        <v>115</v>
      </c>
      <c r="U10" s="72" t="s">
        <v>116</v>
      </c>
      <c r="V10" s="72" t="s">
        <v>117</v>
      </c>
      <c r="W10" s="16"/>
      <c r="Y10" s="12">
        <f>IF(H10=Reference!$A$12, Reference!$C$12, IF(H10=Reference!$A$11, Reference!$C$11, IF(H10=Reference!$A$10, Reference!$C$10, IF(H10=Reference!$A$9, Reference!$C$9, 0))))</f>
        <v>1</v>
      </c>
      <c r="Z10" s="12">
        <f>IF(J10=Reference!$A$20, Reference!$C$20, IF(J10=Reference!$A$19, Reference!$C$19, IF(J10=Reference!$A$18, Reference!$C$18, IF(J10=Reference!$A$17, Reference!$C$17, 0))))</f>
        <v>4</v>
      </c>
      <c r="AA10" s="12">
        <f>IF(L10=Reference!$A$28, Reference!$C$28, IF(L10=Reference!$A$27, Reference!$C$27, IF(L10=Reference!$A$26, Reference!$C$26, IF(L10=Reference!$A$25, Reference!$C$25, 0))))</f>
        <v>1</v>
      </c>
      <c r="AB10" s="12">
        <f>IF(N10=Reference!$A$36, Reference!$C$36, IF(N10=Reference!$A$35, Reference!$C$35, IF(N10=Reference!$A$34, Reference!$C$34, IF(N10=Reference!$A$33, Reference!$C$33, 0))))</f>
        <v>7</v>
      </c>
      <c r="AC10" s="12">
        <f>(Reference!$B$2*Y10 + Reference!$B$3*AA10 + Reference!$B$4*Z10 + Reference!$B$5 * AB10)/4</f>
        <v>2.4375</v>
      </c>
      <c r="AD10" s="12">
        <f>IF(Q10=Reference!$C$41, Reference!$D$41, IF(Q10=Reference!$C$42, Reference!$D$42, IF(Q10=Reference!$C$43, Reference!$D$43, IF(Q10=Reference!$C$44, Reference!$D$44, 0))))</f>
        <v>10</v>
      </c>
      <c r="AE10" s="99">
        <f t="shared" ref="AE10" si="7">1 + (AC10 * AD10)</f>
        <v>25.375</v>
      </c>
    </row>
    <row r="11" spans="1:31" ht="108" customHeight="1">
      <c r="A11" s="77" t="s">
        <v>73</v>
      </c>
      <c r="B11" s="16" t="s">
        <v>31</v>
      </c>
      <c r="C11" s="77" t="s">
        <v>32</v>
      </c>
      <c r="D11" s="72" t="s">
        <v>118</v>
      </c>
      <c r="E11" s="74" t="s">
        <v>106</v>
      </c>
      <c r="F11" s="16" t="s">
        <v>35</v>
      </c>
      <c r="G11" s="72" t="s">
        <v>98</v>
      </c>
      <c r="H11" s="16" t="s">
        <v>119</v>
      </c>
      <c r="I11" s="72" t="s">
        <v>120</v>
      </c>
      <c r="J11" s="16" t="s">
        <v>119</v>
      </c>
      <c r="K11" s="76" t="s">
        <v>121</v>
      </c>
      <c r="L11" s="16" t="s">
        <v>119</v>
      </c>
      <c r="M11" s="72" t="s">
        <v>122</v>
      </c>
      <c r="N11" s="16" t="s">
        <v>37</v>
      </c>
      <c r="O11" s="72" t="s">
        <v>123</v>
      </c>
      <c r="P11" s="89" t="str">
        <f>IF(AC11&gt;=Reference!$H$2, Reference!$G$2, IF(AC11&gt;=Reference!$H$3, Reference!$G$3, IF(AC11&gt;=Reference!$H$4, Reference!$G$4, IF(AC11&gt;=Reference!$H$5, Reference!$G$5, ""))))</f>
        <v>Severe</v>
      </c>
      <c r="Q11" s="89" t="str">
        <f t="shared" si="0"/>
        <v>High</v>
      </c>
      <c r="R11" s="89" t="str">
        <f>IF(AE11&gt;=Reference!$D$2, Reference!$G$2, IF(AE11&gt;=Reference!$D$3, Reference!$E$3, IF(AE11&gt;=Reference!$D$4, Reference!$E$4, IF(AE11&gt;=Reference!$D$5, Reference!$E$5, ""))))</f>
        <v>Severe</v>
      </c>
      <c r="S11" s="13" t="s">
        <v>43</v>
      </c>
      <c r="T11" s="72" t="s">
        <v>124</v>
      </c>
      <c r="U11" s="72" t="s">
        <v>116</v>
      </c>
      <c r="V11" s="72" t="s">
        <v>125</v>
      </c>
      <c r="W11" s="16"/>
      <c r="Y11" s="12">
        <f>IF(H11=Reference!$A$12, Reference!$C$12, IF(H11=Reference!$A$11, Reference!$C$11, IF(H11=Reference!$A$10, Reference!$C$10, IF(H11=Reference!$A$9, Reference!$C$9, 0))))</f>
        <v>10</v>
      </c>
      <c r="Z11" s="12">
        <f>IF(J11=Reference!$A$20, Reference!$C$20, IF(J11=Reference!$A$19, Reference!$C$19, IF(J11=Reference!$A$18, Reference!$C$18, IF(J11=Reference!$A$17, Reference!$C$17, 0))))</f>
        <v>10</v>
      </c>
      <c r="AA11" s="12">
        <f>IF(L11=Reference!$A$28, Reference!$C$28, IF(L11=Reference!$A$27, Reference!$C$27, IF(L11=Reference!$A$26, Reference!$C$26, IF(L11=Reference!$A$25, Reference!$C$25, 0))))</f>
        <v>10</v>
      </c>
      <c r="AB11" s="12">
        <f>IF(N11=Reference!$A$36, Reference!$C$36, IF(N11=Reference!$A$35, Reference!$C$35, IF(N11=Reference!$A$34, Reference!$C$34, IF(N11=Reference!$A$33, Reference!$C$33, 0))))</f>
        <v>1</v>
      </c>
      <c r="AC11" s="12">
        <f>(Reference!$B$2*Y11 + Reference!$B$3*AA11 + Reference!$B$4*Z11 + Reference!$B$5 * AB11)/4</f>
        <v>16.3125</v>
      </c>
      <c r="AD11" s="12">
        <f>IF(Q11=Reference!$C$41, Reference!$D$41, IF(Q11=Reference!$C$42, Reference!$D$42, IF(Q11=Reference!$C$43, Reference!$D$43, IF(Q11=Reference!$C$44, Reference!$D$44, 0))))</f>
        <v>10</v>
      </c>
      <c r="AE11" s="88">
        <f t="shared" si="1"/>
        <v>164.125</v>
      </c>
    </row>
    <row r="12" spans="1:31" ht="79.150000000000006">
      <c r="A12" s="16" t="s">
        <v>73</v>
      </c>
      <c r="B12" s="16" t="s">
        <v>126</v>
      </c>
      <c r="C12" s="16" t="s">
        <v>32</v>
      </c>
      <c r="D12" s="73" t="s">
        <v>127</v>
      </c>
      <c r="E12" s="76" t="s">
        <v>128</v>
      </c>
      <c r="F12" s="16" t="s">
        <v>35</v>
      </c>
      <c r="G12" s="72" t="s">
        <v>129</v>
      </c>
      <c r="H12" s="16" t="s">
        <v>119</v>
      </c>
      <c r="I12" s="93" t="s">
        <v>130</v>
      </c>
      <c r="J12" s="16" t="s">
        <v>119</v>
      </c>
      <c r="K12" s="93" t="s">
        <v>131</v>
      </c>
      <c r="L12" s="16" t="s">
        <v>119</v>
      </c>
      <c r="M12" s="72" t="s">
        <v>132</v>
      </c>
      <c r="N12" s="16" t="s">
        <v>119</v>
      </c>
      <c r="O12" s="72" t="s">
        <v>133</v>
      </c>
      <c r="P12" s="89" t="str">
        <f>IF(AC12&gt;=Reference!$H$2, Reference!$G$2, IF(AC12&gt;=Reference!$H$3, Reference!$G$3, IF(AC12&gt;=Reference!$H$4, Reference!$G$4, IF(AC12&gt;=Reference!$H$5, Reference!$G$5, ""))))</f>
        <v>Severe</v>
      </c>
      <c r="Q12" s="89" t="str">
        <f t="shared" si="0"/>
        <v>High</v>
      </c>
      <c r="R12" s="89" t="str">
        <f>IF(AE12&gt;=Reference!$D$2, Reference!$G$2, IF(AE12&gt;=Reference!$D$3, Reference!$E$3, IF(AE12&gt;=Reference!$D$4, Reference!$E$4, IF(AE12&gt;=Reference!$D$5, Reference!$E$5, ""))))</f>
        <v>Severe</v>
      </c>
      <c r="S12" s="13" t="s">
        <v>43</v>
      </c>
      <c r="T12" s="72" t="s">
        <v>134</v>
      </c>
      <c r="U12" s="72" t="s">
        <v>135</v>
      </c>
      <c r="V12" s="72" t="s">
        <v>136</v>
      </c>
      <c r="W12" s="16"/>
      <c r="Y12" s="12">
        <f>IF(H12=Reference!$A$12, Reference!$C$12, IF(H12=Reference!$A$11, Reference!$C$11, IF(H12=Reference!$A$10, Reference!$C$10, IF(H12=Reference!$A$9, Reference!$C$9, 0))))</f>
        <v>10</v>
      </c>
      <c r="Z12" s="12">
        <f>IF(J12=Reference!$A$20, Reference!$C$20, IF(J12=Reference!$A$19, Reference!$C$19, IF(J12=Reference!$A$18, Reference!$C$18, IF(J12=Reference!$A$17, Reference!$C$17, 0))))</f>
        <v>10</v>
      </c>
      <c r="AA12" s="12">
        <f>IF(L12=Reference!$A$28, Reference!$C$28, IF(L12=Reference!$A$27, Reference!$C$27, IF(L12=Reference!$A$26, Reference!$C$26, IF(L12=Reference!$A$25, Reference!$C$25, 0))))</f>
        <v>10</v>
      </c>
      <c r="AB12" s="12">
        <f>IF(N12=Reference!$A$36, Reference!$C$36, IF(N12=Reference!$A$35, Reference!$C$35, IF(N12=Reference!$A$34, Reference!$C$34, IF(N12=Reference!$A$33, Reference!$C$33, 0))))</f>
        <v>10</v>
      </c>
      <c r="AC12" s="12">
        <f>(Reference!$B$2*Y12 + Reference!$B$3*AA12 + Reference!$B$4*Z12 + Reference!$B$5 * AB12)/4</f>
        <v>16.875</v>
      </c>
      <c r="AD12" s="12">
        <f>IF(Q12=Reference!$C$41, Reference!$D$41, IF(Q12=Reference!$C$42, Reference!$D$42, IF(Q12=Reference!$C$43, Reference!$D$43, IF(Q12=Reference!$C$44, Reference!$D$44, 0))))</f>
        <v>10</v>
      </c>
      <c r="AE12" s="88">
        <f t="shared" si="1"/>
        <v>169.75</v>
      </c>
    </row>
    <row r="13" spans="1:31" ht="105.6">
      <c r="A13" s="72" t="s">
        <v>137</v>
      </c>
      <c r="B13" s="16" t="s">
        <v>31</v>
      </c>
      <c r="C13" s="92" t="s">
        <v>32</v>
      </c>
      <c r="D13" s="72" t="s">
        <v>138</v>
      </c>
      <c r="E13" s="72" t="s">
        <v>139</v>
      </c>
      <c r="F13" s="16" t="s">
        <v>35</v>
      </c>
      <c r="G13" s="72" t="s">
        <v>140</v>
      </c>
      <c r="H13" s="16" t="s">
        <v>119</v>
      </c>
      <c r="I13" s="72" t="s">
        <v>141</v>
      </c>
      <c r="J13" s="16" t="s">
        <v>119</v>
      </c>
      <c r="K13" s="72" t="s">
        <v>142</v>
      </c>
      <c r="L13" s="16" t="s">
        <v>119</v>
      </c>
      <c r="M13" s="72" t="s">
        <v>142</v>
      </c>
      <c r="N13" s="16" t="s">
        <v>39</v>
      </c>
      <c r="O13" s="72" t="s">
        <v>143</v>
      </c>
      <c r="P13" s="89" t="str">
        <f>IF(AC13&gt;=Reference!$H$2, Reference!$G$2, IF(AC13&gt;=Reference!$H$3, Reference!$G$3, IF(AC13&gt;=Reference!$H$4, Reference!$G$4, IF(AC13&gt;=Reference!$H$5, Reference!$G$5, ""))))</f>
        <v>Severe</v>
      </c>
      <c r="Q13" s="89" t="str">
        <f t="shared" si="0"/>
        <v>High</v>
      </c>
      <c r="R13" s="89" t="str">
        <f>IF(AE13&gt;=Reference!$D$2, Reference!$G$2, IF(AE13&gt;=Reference!$D$3, Reference!$E$3, IF(AE13&gt;=Reference!$D$4, Reference!$E$4, IF(AE13&gt;=Reference!$D$5, Reference!$E$5, ""))))</f>
        <v>Severe</v>
      </c>
      <c r="S13" s="13" t="s">
        <v>43</v>
      </c>
      <c r="T13" s="72" t="s">
        <v>144</v>
      </c>
      <c r="U13" s="91"/>
      <c r="V13" s="72" t="s">
        <v>145</v>
      </c>
      <c r="W13" s="16"/>
      <c r="Y13" s="12">
        <f>IF(H13=Reference!$A$12, Reference!$C$12, IF(H13=Reference!$A$11, Reference!$C$11, IF(H13=Reference!$A$10, Reference!$C$10, IF(H13=Reference!$A$9, Reference!$C$9, 0))))</f>
        <v>10</v>
      </c>
      <c r="Z13" s="12">
        <f>IF(J13=Reference!$A$20, Reference!$C$20, IF(J13=Reference!$A$19, Reference!$C$19, IF(J13=Reference!$A$18, Reference!$C$18, IF(J13=Reference!$A$17, Reference!$C$17, 0))))</f>
        <v>10</v>
      </c>
      <c r="AA13" s="12">
        <f>IF(L13=Reference!$A$28, Reference!$C$28, IF(L13=Reference!$A$27, Reference!$C$27, IF(L13=Reference!$A$26, Reference!$C$26, IF(L13=Reference!$A$25, Reference!$C$25, 0))))</f>
        <v>10</v>
      </c>
      <c r="AB13" s="12">
        <f>IF(N13=Reference!$A$36, Reference!$C$36, IF(N13=Reference!$A$35, Reference!$C$35, IF(N13=Reference!$A$34, Reference!$C$34, IF(N13=Reference!$A$33, Reference!$C$33, 0))))</f>
        <v>4</v>
      </c>
      <c r="AC13" s="12">
        <f>(Reference!$B$2*Y13 + Reference!$B$3*AA13 + Reference!$B$4*Z13 + Reference!$B$5 * AB13)/4</f>
        <v>16.5</v>
      </c>
      <c r="AD13" s="12">
        <f>IF(Q13=Reference!$C$41, Reference!$D$41, IF(Q13=Reference!$C$42, Reference!$D$42, IF(Q13=Reference!$C$43, Reference!$D$43, IF(Q13=Reference!$C$44, Reference!$D$44, 0))))</f>
        <v>10</v>
      </c>
      <c r="AE13" s="88">
        <f t="shared" si="1"/>
        <v>166</v>
      </c>
    </row>
    <row r="14" spans="1:31" ht="118.9">
      <c r="A14" s="77" t="s">
        <v>137</v>
      </c>
      <c r="B14" s="16" t="s">
        <v>47</v>
      </c>
      <c r="C14" s="77" t="s">
        <v>32</v>
      </c>
      <c r="D14" s="72" t="s">
        <v>146</v>
      </c>
      <c r="E14" s="72" t="s">
        <v>147</v>
      </c>
      <c r="F14" s="16" t="s">
        <v>35</v>
      </c>
      <c r="G14" s="72" t="s">
        <v>148</v>
      </c>
      <c r="H14" s="16" t="s">
        <v>64</v>
      </c>
      <c r="I14" s="72" t="s">
        <v>149</v>
      </c>
      <c r="J14" s="16" t="s">
        <v>64</v>
      </c>
      <c r="K14" s="72" t="s">
        <v>150</v>
      </c>
      <c r="L14" s="16" t="s">
        <v>64</v>
      </c>
      <c r="M14" s="72" t="s">
        <v>151</v>
      </c>
      <c r="N14" s="16" t="s">
        <v>64</v>
      </c>
      <c r="O14" s="72" t="s">
        <v>152</v>
      </c>
      <c r="P14" s="89" t="str">
        <f>IF(AC14&gt;=Reference!$H$2, Reference!$G$2, IF(AC14&gt;=Reference!$H$3, Reference!$G$3, IF(AC14&gt;=Reference!$H$4, Reference!$G$4, IF(AC14&gt;=Reference!$H$5, Reference!$G$5, ""))))</f>
        <v>Severe</v>
      </c>
      <c r="Q14" s="89" t="str">
        <f t="shared" si="0"/>
        <v>High</v>
      </c>
      <c r="R14" s="89" t="str">
        <f>IF(AE14&gt;=Reference!$D$2, Reference!$G$2, IF(AE14&gt;=Reference!$D$3, Reference!$E$3, IF(AE14&gt;=Reference!$D$4, Reference!$E$4, IF(AE14&gt;=Reference!$D$5, Reference!$E$5, ""))))</f>
        <v>Severe</v>
      </c>
      <c r="S14" s="13" t="s">
        <v>43</v>
      </c>
      <c r="T14" s="72" t="s">
        <v>153</v>
      </c>
      <c r="U14" s="72" t="s">
        <v>154</v>
      </c>
      <c r="V14" s="72" t="s">
        <v>155</v>
      </c>
      <c r="W14" s="16"/>
      <c r="Y14" s="12">
        <f>IF(H14=Reference!$A$12, Reference!$C$12, IF(H14=Reference!$A$11, Reference!$C$11, IF(H14=Reference!$A$10, Reference!$C$10, IF(H14=Reference!$A$9, Reference!$C$9, 0))))</f>
        <v>7</v>
      </c>
      <c r="Z14" s="12">
        <f>IF(J14=Reference!$A$20, Reference!$C$20, IF(J14=Reference!$A$19, Reference!$C$19, IF(J14=Reference!$A$18, Reference!$C$18, IF(J14=Reference!$A$17, Reference!$C$17, 0))))</f>
        <v>7</v>
      </c>
      <c r="AA14" s="12">
        <f>IF(L14=Reference!$A$28, Reference!$C$28, IF(L14=Reference!$A$27, Reference!$C$27, IF(L14=Reference!$A$26, Reference!$C$26, IF(L14=Reference!$A$25, Reference!$C$25, 0))))</f>
        <v>7</v>
      </c>
      <c r="AB14" s="12">
        <f>IF(N14=Reference!$A$36, Reference!$C$36, IF(N14=Reference!$A$35, Reference!$C$35, IF(N14=Reference!$A$34, Reference!$C$34, IF(N14=Reference!$A$33, Reference!$C$33, 0))))</f>
        <v>7</v>
      </c>
      <c r="AC14" s="12">
        <f>(Reference!$B$2*Y14 + Reference!$B$3*AA14 + Reference!$B$4*Z14 + Reference!$B$5 * AB14)/4</f>
        <v>11.8125</v>
      </c>
      <c r="AD14" s="12">
        <f>IF(Q14=Reference!$C$41, Reference!$D$41, IF(Q14=Reference!$C$42, Reference!$D$42, IF(Q14=Reference!$C$43, Reference!$D$43, IF(Q14=Reference!$C$44, Reference!$D$44, 0))))</f>
        <v>10</v>
      </c>
      <c r="AE14" s="88">
        <f t="shared" si="1"/>
        <v>119.125</v>
      </c>
    </row>
    <row r="15" spans="1:31" ht="66">
      <c r="A15" s="132" t="s">
        <v>156</v>
      </c>
      <c r="B15" s="16" t="s">
        <v>47</v>
      </c>
      <c r="C15" s="77" t="s">
        <v>32</v>
      </c>
      <c r="D15" s="72" t="s">
        <v>157</v>
      </c>
      <c r="E15" s="72" t="s">
        <v>158</v>
      </c>
      <c r="F15" s="16" t="s">
        <v>35</v>
      </c>
      <c r="G15" s="72" t="s">
        <v>159</v>
      </c>
      <c r="H15" s="16" t="s">
        <v>64</v>
      </c>
      <c r="I15" s="72" t="s">
        <v>160</v>
      </c>
      <c r="J15" s="16" t="s">
        <v>64</v>
      </c>
      <c r="K15" s="72" t="s">
        <v>161</v>
      </c>
      <c r="L15" s="16" t="s">
        <v>119</v>
      </c>
      <c r="M15" s="72" t="s">
        <v>162</v>
      </c>
      <c r="N15" s="16" t="s">
        <v>119</v>
      </c>
      <c r="O15" s="76" t="s">
        <v>163</v>
      </c>
      <c r="P15" s="89" t="str">
        <f>IF(AC15&gt;=Reference!$H$2, Reference!$G$2, IF(AC15&gt;=Reference!$H$3, Reference!$G$3, IF(AC15&gt;=Reference!$H$4, Reference!$G$4, IF(AC15&gt;=Reference!$H$5, Reference!$G$5, ""))))</f>
        <v>Severe</v>
      </c>
      <c r="Q15" s="89" t="str">
        <f t="shared" si="0"/>
        <v>High</v>
      </c>
      <c r="R15" s="89" t="str">
        <f>IF(AE15&gt;=Reference!$D$2, Reference!$G$2, IF(AE15&gt;=Reference!$D$3, Reference!$E$3, IF(AE15&gt;=Reference!$D$4, Reference!$E$4, IF(AE15&gt;=Reference!$D$5, Reference!$E$5, ""))))</f>
        <v>Severe</v>
      </c>
      <c r="S15" s="13" t="s">
        <v>43</v>
      </c>
      <c r="T15" s="72" t="s">
        <v>164</v>
      </c>
      <c r="U15" s="72" t="s">
        <v>165</v>
      </c>
      <c r="V15" s="72" t="s">
        <v>166</v>
      </c>
      <c r="W15" s="16"/>
      <c r="Y15" s="12">
        <f>IF(H15=Reference!$A$12, Reference!$C$12, IF(H15=Reference!$A$11, Reference!$C$11, IF(H15=Reference!$A$10, Reference!$C$10, IF(H15=Reference!$A$9, Reference!$C$9, 0))))</f>
        <v>7</v>
      </c>
      <c r="Z15" s="12">
        <f>IF(J15=Reference!$A$20, Reference!$C$20, IF(J15=Reference!$A$19, Reference!$C$19, IF(J15=Reference!$A$18, Reference!$C$18, IF(J15=Reference!$A$17, Reference!$C$17, 0))))</f>
        <v>7</v>
      </c>
      <c r="AA15" s="12">
        <f>IF(L15=Reference!$A$28, Reference!$C$28, IF(L15=Reference!$A$27, Reference!$C$27, IF(L15=Reference!$A$26, Reference!$C$26, IF(L15=Reference!$A$25, Reference!$C$25, 0))))</f>
        <v>10</v>
      </c>
      <c r="AB15" s="12">
        <f>IF(N15=Reference!$A$36, Reference!$C$36, IF(N15=Reference!$A$35, Reference!$C$35, IF(N15=Reference!$A$34, Reference!$C$34, IF(N15=Reference!$A$33, Reference!$C$33, 0))))</f>
        <v>10</v>
      </c>
      <c r="AC15" s="12">
        <f>(Reference!$B$2*Y15 + Reference!$B$3*AA15 + Reference!$B$4*Z15 + Reference!$B$5 * AB15)/4</f>
        <v>12.75</v>
      </c>
      <c r="AD15" s="12">
        <f>IF(Q15=Reference!$C$41, Reference!$D$41, IF(Q15=Reference!$C$42, Reference!$D$42, IF(Q15=Reference!$C$43, Reference!$D$43, IF(Q15=Reference!$C$44, Reference!$D$44, 0))))</f>
        <v>10</v>
      </c>
      <c r="AE15" s="88">
        <f t="shared" si="1"/>
        <v>128.5</v>
      </c>
    </row>
    <row r="16" spans="1:31" ht="118.9">
      <c r="A16" s="133"/>
      <c r="B16" s="16" t="s">
        <v>31</v>
      </c>
      <c r="C16" s="77" t="s">
        <v>32</v>
      </c>
      <c r="D16" s="72" t="s">
        <v>167</v>
      </c>
      <c r="E16" s="72" t="s">
        <v>168</v>
      </c>
      <c r="F16" s="16" t="s">
        <v>169</v>
      </c>
      <c r="G16" s="72" t="s">
        <v>170</v>
      </c>
      <c r="H16" s="16" t="s">
        <v>39</v>
      </c>
      <c r="I16" s="72" t="s">
        <v>171</v>
      </c>
      <c r="J16" s="16" t="s">
        <v>39</v>
      </c>
      <c r="K16" s="72" t="s">
        <v>172</v>
      </c>
      <c r="L16" s="16" t="s">
        <v>64</v>
      </c>
      <c r="M16" s="72" t="s">
        <v>173</v>
      </c>
      <c r="N16" s="16" t="s">
        <v>39</v>
      </c>
      <c r="O16" s="76" t="s">
        <v>174</v>
      </c>
      <c r="P16" s="100" t="str">
        <f>IF(AC16&gt;=Reference!$H$2, Reference!$G$2, IF(AC16&gt;=Reference!$H$3, Reference!$G$3, IF(AC16&gt;=Reference!$H$4, Reference!$G$4, IF(AC16&gt;=Reference!$H$5, Reference!$G$5, ""))))</f>
        <v>Major</v>
      </c>
      <c r="Q16" s="100" t="str">
        <f t="shared" ref="Q16:Q17" si="8">IF(F16="Physical", "Very Low", IF(F16="Local", "Low", IF(F16="Adjacent", "Medium", IF(F16="Network", "High", ""))))</f>
        <v>Low</v>
      </c>
      <c r="R16" s="100" t="str">
        <f>IF(AE16&gt;=Reference!$D$2, Reference!$G$2, IF(AE16&gt;=Reference!$D$3, Reference!$E$3, IF(AE16&gt;=Reference!$D$4, Reference!$E$4, IF(AE16&gt;=Reference!$D$5, Reference!$E$5, ""))))</f>
        <v>Medium</v>
      </c>
      <c r="S16" s="13" t="s">
        <v>43</v>
      </c>
      <c r="T16" s="72" t="s">
        <v>175</v>
      </c>
      <c r="U16" s="72" t="s">
        <v>176</v>
      </c>
      <c r="V16" s="72" t="s">
        <v>177</v>
      </c>
      <c r="W16" s="77" t="s">
        <v>178</v>
      </c>
      <c r="Y16" s="12">
        <f>IF(H16=Reference!$A$12, Reference!$C$12, IF(H16=Reference!$A$11, Reference!$C$11, IF(H16=Reference!$A$10, Reference!$C$10, IF(H16=Reference!$A$9, Reference!$C$9, 0))))</f>
        <v>4</v>
      </c>
      <c r="Z16" s="12">
        <f>IF(J16=Reference!$A$20, Reference!$C$20, IF(J16=Reference!$A$19, Reference!$C$19, IF(J16=Reference!$A$18, Reference!$C$18, IF(J16=Reference!$A$17, Reference!$C$17, 0))))</f>
        <v>4</v>
      </c>
      <c r="AA16" s="12">
        <f>IF(L16=Reference!$A$28, Reference!$C$28, IF(L16=Reference!$A$27, Reference!$C$27, IF(L16=Reference!$A$26, Reference!$C$26, IF(L16=Reference!$A$25, Reference!$C$25, 0))))</f>
        <v>7</v>
      </c>
      <c r="AB16" s="12">
        <f>IF(N16=Reference!$A$36, Reference!$C$36, IF(N16=Reference!$A$35, Reference!$C$35, IF(N16=Reference!$A$34, Reference!$C$34, IF(N16=Reference!$A$33, Reference!$C$33, 0))))</f>
        <v>4</v>
      </c>
      <c r="AC16" s="12">
        <f>(Reference!$B$2*Y16 + Reference!$B$3*AA16 + Reference!$B$4*Z16 + Reference!$B$5 * AB16)/4</f>
        <v>7.5</v>
      </c>
      <c r="AD16" s="12">
        <f>IF(Q16=Reference!$C$41, Reference!$D$41, IF(Q16=Reference!$C$42, Reference!$D$42, IF(Q16=Reference!$C$43, Reference!$D$43, IF(Q16=Reference!$C$44, Reference!$D$44, 0))))</f>
        <v>4</v>
      </c>
      <c r="AE16" s="99">
        <f t="shared" ref="AE16:AE17" si="9">1 + (AC16 * AD16)</f>
        <v>31</v>
      </c>
    </row>
    <row r="17" spans="1:31" ht="118.9">
      <c r="A17" s="134"/>
      <c r="B17" s="16" t="s">
        <v>179</v>
      </c>
      <c r="C17" s="77" t="s">
        <v>32</v>
      </c>
      <c r="D17" s="72" t="s">
        <v>167</v>
      </c>
      <c r="E17" s="72" t="s">
        <v>168</v>
      </c>
      <c r="F17" s="16" t="s">
        <v>180</v>
      </c>
      <c r="G17" s="72" t="s">
        <v>181</v>
      </c>
      <c r="H17" s="16" t="s">
        <v>39</v>
      </c>
      <c r="I17" s="72" t="s">
        <v>171</v>
      </c>
      <c r="J17" s="16" t="s">
        <v>39</v>
      </c>
      <c r="K17" s="72" t="s">
        <v>172</v>
      </c>
      <c r="L17" s="16" t="s">
        <v>64</v>
      </c>
      <c r="M17" s="72" t="s">
        <v>173</v>
      </c>
      <c r="N17" s="16" t="s">
        <v>39</v>
      </c>
      <c r="O17" s="76" t="s">
        <v>174</v>
      </c>
      <c r="P17" s="86" t="str">
        <f>IF(AC17&gt;=Reference!$H$2, Reference!$G$2, IF(AC17&gt;=Reference!$H$3, Reference!$G$3, IF(AC17&gt;=Reference!$H$4, Reference!$G$4, IF(AC17&gt;=Reference!$H$5, Reference!$G$5, ""))))</f>
        <v>Major</v>
      </c>
      <c r="Q17" s="86" t="str">
        <f t="shared" ref="Q17" si="10">IF(F17="Physical", "Very Low", IF(F17="Local", "Low", IF(F17="Adjacent", "Medium", IF(F17="Network", "High", ""))))</f>
        <v>Medium</v>
      </c>
      <c r="R17" s="86" t="str">
        <f>IF(AE17&gt;=Reference!$D$2, Reference!$G$2, IF(AE17&gt;=Reference!$D$3, Reference!$E$3, IF(AE17&gt;=Reference!$D$4, Reference!$E$4, IF(AE17&gt;=Reference!$D$5, Reference!$E$5, ""))))</f>
        <v>High</v>
      </c>
      <c r="S17" s="13" t="s">
        <v>43</v>
      </c>
      <c r="T17" s="72" t="s">
        <v>175</v>
      </c>
      <c r="U17" s="72" t="s">
        <v>176</v>
      </c>
      <c r="V17" s="72" t="s">
        <v>177</v>
      </c>
      <c r="W17" s="77" t="s">
        <v>178</v>
      </c>
      <c r="Y17" s="12">
        <f>IF(H17=Reference!$A$12, Reference!$C$12, IF(H17=Reference!$A$11, Reference!$C$11, IF(H17=Reference!$A$10, Reference!$C$10, IF(H17=Reference!$A$9, Reference!$C$9, 0))))</f>
        <v>4</v>
      </c>
      <c r="Z17" s="12">
        <f>IF(J17=Reference!$A$20, Reference!$C$20, IF(J17=Reference!$A$19, Reference!$C$19, IF(J17=Reference!$A$18, Reference!$C$18, IF(J17=Reference!$A$17, Reference!$C$17, 0))))</f>
        <v>4</v>
      </c>
      <c r="AA17" s="12">
        <f>IF(L17=Reference!$A$28, Reference!$C$28, IF(L17=Reference!$A$27, Reference!$C$27, IF(L17=Reference!$A$26, Reference!$C$26, IF(L17=Reference!$A$25, Reference!$C$25, 0))))</f>
        <v>7</v>
      </c>
      <c r="AB17" s="12">
        <f>IF(N17=Reference!$A$36, Reference!$C$36, IF(N17=Reference!$A$35, Reference!$C$35, IF(N17=Reference!$A$34, Reference!$C$34, IF(N17=Reference!$A$33, Reference!$C$33, 0))))</f>
        <v>4</v>
      </c>
      <c r="AC17" s="12">
        <f>(Reference!$B$2*Y17 + Reference!$B$3*AA17 + Reference!$B$4*Z17 + Reference!$B$5 * AB17)/4</f>
        <v>7.5</v>
      </c>
      <c r="AD17" s="12">
        <f>IF(Q17=Reference!$C$41, Reference!$D$41, IF(Q17=Reference!$C$42, Reference!$D$42, IF(Q17=Reference!$C$43, Reference!$D$43, IF(Q17=Reference!$C$44, Reference!$D$44, 0))))</f>
        <v>7</v>
      </c>
      <c r="AE17" s="87">
        <f t="shared" si="9"/>
        <v>53.5</v>
      </c>
    </row>
    <row r="18" spans="1:31" ht="105.6">
      <c r="A18" s="77" t="s">
        <v>182</v>
      </c>
      <c r="B18" s="16" t="s">
        <v>31</v>
      </c>
      <c r="C18" s="77" t="s">
        <v>32</v>
      </c>
      <c r="D18" s="78" t="s">
        <v>183</v>
      </c>
      <c r="E18" s="72" t="s">
        <v>184</v>
      </c>
      <c r="F18" s="16" t="s">
        <v>35</v>
      </c>
      <c r="G18" s="72" t="s">
        <v>185</v>
      </c>
      <c r="H18" s="16" t="s">
        <v>64</v>
      </c>
      <c r="I18" s="72" t="s">
        <v>186</v>
      </c>
      <c r="J18" s="16" t="s">
        <v>64</v>
      </c>
      <c r="K18" s="72" t="s">
        <v>187</v>
      </c>
      <c r="L18" s="16" t="s">
        <v>64</v>
      </c>
      <c r="M18" s="72" t="s">
        <v>188</v>
      </c>
      <c r="N18" s="16" t="s">
        <v>39</v>
      </c>
      <c r="O18" s="72" t="s">
        <v>189</v>
      </c>
      <c r="P18" s="90" t="str">
        <f>IF(AC18&gt;=Reference!$H$2, Reference!$G$2, IF(AC18&gt;=Reference!$H$3, Reference!$G$3, IF(AC18&gt;=Reference!$H$4, Reference!$G$4, IF(AC18&gt;=Reference!$H$5, Reference!$G$5, ""))))</f>
        <v>Severe</v>
      </c>
      <c r="Q18" s="90" t="str">
        <f t="shared" si="0"/>
        <v>High</v>
      </c>
      <c r="R18" s="90" t="str">
        <f>IF(AE18&gt;=Reference!$D$2, Reference!$G$2, IF(AE18&gt;=Reference!$D$3, Reference!$E$3, IF(AE18&gt;=Reference!$D$4, Reference!$E$4, IF(AE18&gt;=Reference!$D$5, Reference!$E$5, ""))))</f>
        <v>Severe</v>
      </c>
      <c r="S18" s="79" t="s">
        <v>43</v>
      </c>
      <c r="T18" s="72" t="s">
        <v>190</v>
      </c>
      <c r="U18" s="72" t="s">
        <v>191</v>
      </c>
      <c r="V18" s="72" t="s">
        <v>192</v>
      </c>
      <c r="W18" s="16"/>
      <c r="Y18" s="12">
        <f>IF(H18=Reference!$A$12, Reference!$C$12, IF(H18=Reference!$A$11, Reference!$C$11, IF(H18=Reference!$A$10, Reference!$C$10, IF(H18=Reference!$A$9, Reference!$C$9, 0))))</f>
        <v>7</v>
      </c>
      <c r="Z18" s="12">
        <f>IF(J18=Reference!$A$20, Reference!$C$20, IF(J18=Reference!$A$19, Reference!$C$19, IF(J18=Reference!$A$18, Reference!$C$18, IF(J18=Reference!$A$17, Reference!$C$17, 0))))</f>
        <v>7</v>
      </c>
      <c r="AA18" s="12">
        <f>IF(L18=Reference!$A$28, Reference!$C$28, IF(L18=Reference!$A$27, Reference!$C$27, IF(L18=Reference!$A$26, Reference!$C$26, IF(L18=Reference!$A$25, Reference!$C$25, 0))))</f>
        <v>7</v>
      </c>
      <c r="AB18" s="12">
        <f>IF(N18=Reference!$A$36, Reference!$C$36, IF(N18=Reference!$A$35, Reference!$C$35, IF(N18=Reference!$A$34, Reference!$C$34, IF(N18=Reference!$A$33, Reference!$C$33, 0))))</f>
        <v>4</v>
      </c>
      <c r="AC18" s="12">
        <f>(Reference!$B$2*Y18 + Reference!$B$3*AA18 + Reference!$B$4*Z18 + Reference!$B$5 * AB18)/4</f>
        <v>11.625</v>
      </c>
      <c r="AD18" s="12">
        <f>IF(Q18=Reference!$C$41, Reference!$D$41, IF(Q18=Reference!$C$42, Reference!$D$42, IF(Q18=Reference!$C$43, Reference!$D$43, IF(Q18=Reference!$C$44, Reference!$D$44, 0))))</f>
        <v>10</v>
      </c>
      <c r="AE18" s="88">
        <f t="shared" si="1"/>
        <v>117.25</v>
      </c>
    </row>
    <row r="19" spans="1:31" ht="105.6">
      <c r="A19" s="73" t="s">
        <v>193</v>
      </c>
      <c r="B19" s="16" t="s">
        <v>31</v>
      </c>
      <c r="C19" s="73" t="s">
        <v>32</v>
      </c>
      <c r="D19" s="73" t="s">
        <v>194</v>
      </c>
      <c r="E19" s="73" t="s">
        <v>195</v>
      </c>
      <c r="F19" s="16" t="s">
        <v>35</v>
      </c>
      <c r="G19" s="73" t="s">
        <v>196</v>
      </c>
      <c r="H19" s="16" t="s">
        <v>119</v>
      </c>
      <c r="I19" s="73" t="s">
        <v>197</v>
      </c>
      <c r="J19" s="16" t="s">
        <v>119</v>
      </c>
      <c r="K19" s="73" t="s">
        <v>198</v>
      </c>
      <c r="L19" s="16" t="s">
        <v>64</v>
      </c>
      <c r="M19" s="73" t="s">
        <v>199</v>
      </c>
      <c r="N19" s="16" t="s">
        <v>119</v>
      </c>
      <c r="O19" s="73" t="s">
        <v>200</v>
      </c>
      <c r="P19" s="90" t="str">
        <f>IF(AC19&gt;=Reference!$H$2, Reference!$G$2, IF(AC19&gt;=Reference!$H$3, Reference!$G$3, IF(AC19&gt;=Reference!$H$4, Reference!$G$4, IF(AC19&gt;=Reference!$H$5, Reference!$G$5, ""))))</f>
        <v>Severe</v>
      </c>
      <c r="Q19" s="90" t="str">
        <f t="shared" si="0"/>
        <v>High</v>
      </c>
      <c r="R19" s="90" t="str">
        <f>IF(AE19&gt;=Reference!$D$2, Reference!$G$2, IF(AE19&gt;=Reference!$D$3, Reference!$E$3, IF(AE19&gt;=Reference!$D$4, Reference!$E$4, IF(AE19&gt;=Reference!$D$5, Reference!$E$5, ""))))</f>
        <v>Severe</v>
      </c>
      <c r="S19" s="79" t="s">
        <v>43</v>
      </c>
      <c r="T19" s="73" t="s">
        <v>201</v>
      </c>
      <c r="U19" s="73" t="s">
        <v>202</v>
      </c>
      <c r="V19" s="73" t="s">
        <v>203</v>
      </c>
      <c r="W19" s="16"/>
      <c r="Y19" s="12">
        <f>IF(H19=Reference!$A$12, Reference!$C$12, IF(H19=Reference!$A$11, Reference!$C$11, IF(H19=Reference!$A$10, Reference!$C$10, IF(H19=Reference!$A$9, Reference!$C$9, 0))))</f>
        <v>10</v>
      </c>
      <c r="Z19" s="12">
        <f>IF(J19=Reference!$A$20, Reference!$C$20, IF(J19=Reference!$A$19, Reference!$C$19, IF(J19=Reference!$A$18, Reference!$C$18, IF(J19=Reference!$A$17, Reference!$C$17, 0))))</f>
        <v>10</v>
      </c>
      <c r="AA19" s="12">
        <f>IF(L19=Reference!$A$28, Reference!$C$28, IF(L19=Reference!$A$27, Reference!$C$27, IF(L19=Reference!$A$26, Reference!$C$26, IF(L19=Reference!$A$25, Reference!$C$25, 0))))</f>
        <v>7</v>
      </c>
      <c r="AB19" s="12">
        <f>IF(N19=Reference!$A$36, Reference!$C$36, IF(N19=Reference!$A$35, Reference!$C$35, IF(N19=Reference!$A$34, Reference!$C$34, IF(N19=Reference!$A$33, Reference!$C$33, 0))))</f>
        <v>10</v>
      </c>
      <c r="AC19" s="12">
        <f>(Reference!$B$2*Y19 + Reference!$B$3*AA19 + Reference!$B$4*Z19 + Reference!$B$5 * AB19)/4</f>
        <v>16.125</v>
      </c>
      <c r="AD19" s="12">
        <f>IF(Q19=Reference!$C$41, Reference!$D$41, IF(Q19=Reference!$C$42, Reference!$D$42, IF(Q19=Reference!$C$43, Reference!$D$43, IF(Q19=Reference!$C$44, Reference!$D$44, 0))))</f>
        <v>10</v>
      </c>
      <c r="AE19" s="88">
        <f t="shared" si="1"/>
        <v>162.25</v>
      </c>
    </row>
    <row r="20" spans="1:31" ht="79.150000000000006">
      <c r="A20" s="77" t="s">
        <v>137</v>
      </c>
      <c r="B20" s="16" t="s">
        <v>31</v>
      </c>
      <c r="C20" s="77" t="s">
        <v>32</v>
      </c>
      <c r="D20" s="72" t="s">
        <v>204</v>
      </c>
      <c r="E20" s="72" t="s">
        <v>205</v>
      </c>
      <c r="F20" s="16" t="s">
        <v>35</v>
      </c>
      <c r="G20" s="72" t="s">
        <v>206</v>
      </c>
      <c r="H20" s="16" t="s">
        <v>119</v>
      </c>
      <c r="I20" s="72" t="s">
        <v>207</v>
      </c>
      <c r="J20" s="16" t="s">
        <v>119</v>
      </c>
      <c r="K20" s="72" t="s">
        <v>208</v>
      </c>
      <c r="L20" s="16" t="s">
        <v>119</v>
      </c>
      <c r="M20" s="72" t="s">
        <v>209</v>
      </c>
      <c r="N20" s="16" t="s">
        <v>64</v>
      </c>
      <c r="O20" s="72" t="s">
        <v>210</v>
      </c>
      <c r="P20" s="90" t="str">
        <f>IF(AC20&gt;=Reference!$H$2, Reference!$G$2, IF(AC20&gt;=Reference!$H$3, Reference!$G$3, IF(AC20&gt;=Reference!$H$4, Reference!$G$4, IF(AC20&gt;=Reference!$H$5, Reference!$G$5, ""))))</f>
        <v>Severe</v>
      </c>
      <c r="Q20" s="90" t="str">
        <f t="shared" si="0"/>
        <v>High</v>
      </c>
      <c r="R20" s="90" t="str">
        <f>IF(AE20&gt;=Reference!$D$2, Reference!$G$2, IF(AE20&gt;=Reference!$D$3, Reference!$E$3, IF(AE20&gt;=Reference!$D$4, Reference!$E$4, IF(AE20&gt;=Reference!$D$5, Reference!$E$5, ""))))</f>
        <v>Severe</v>
      </c>
      <c r="S20" s="79" t="s">
        <v>43</v>
      </c>
      <c r="T20" s="72" t="s">
        <v>211</v>
      </c>
      <c r="U20" s="72" t="s">
        <v>212</v>
      </c>
      <c r="V20" s="72" t="s">
        <v>213</v>
      </c>
      <c r="W20" s="9"/>
      <c r="Y20" s="12">
        <f>IF(H20=Reference!$A$12, Reference!$C$12, IF(H20=Reference!$A$11, Reference!$C$11, IF(H20=Reference!$A$10, Reference!$C$10, IF(H20=Reference!$A$9, Reference!$C$9, 0))))</f>
        <v>10</v>
      </c>
      <c r="Z20" s="12">
        <f>IF(J20=Reference!$A$20, Reference!$C$20, IF(J20=Reference!$A$19, Reference!$C$19, IF(J20=Reference!$A$18, Reference!$C$18, IF(J20=Reference!$A$17, Reference!$C$17, 0))))</f>
        <v>10</v>
      </c>
      <c r="AA20" s="12">
        <f>IF(L20=Reference!$A$28, Reference!$C$28, IF(L20=Reference!$A$27, Reference!$C$27, IF(L20=Reference!$A$26, Reference!$C$26, IF(L20=Reference!$A$25, Reference!$C$25, 0))))</f>
        <v>10</v>
      </c>
      <c r="AB20" s="12">
        <f>IF(N20=Reference!$A$36, Reference!$C$36, IF(N20=Reference!$A$35, Reference!$C$35, IF(N20=Reference!$A$34, Reference!$C$34, IF(N20=Reference!$A$33, Reference!$C$33, 0))))</f>
        <v>7</v>
      </c>
      <c r="AC20" s="12">
        <f>(Reference!$B$2*Y20 + Reference!$B$3*AA20 + Reference!$B$4*Z20 + Reference!$B$5 * AB20)/4</f>
        <v>16.6875</v>
      </c>
      <c r="AD20" s="12">
        <f>IF(Q20=Reference!$C$41, Reference!$D$41, IF(Q20=Reference!$C$42, Reference!$D$42, IF(Q20=Reference!$C$43, Reference!$D$43, IF(Q20=Reference!$C$44, Reference!$D$44, 0))))</f>
        <v>10</v>
      </c>
      <c r="AE20" s="88">
        <f t="shared" si="1"/>
        <v>167.875</v>
      </c>
    </row>
    <row r="21" spans="1:31" ht="92.45">
      <c r="A21" s="76" t="s">
        <v>214</v>
      </c>
      <c r="B21" s="16" t="s">
        <v>47</v>
      </c>
      <c r="C21" s="76" t="s">
        <v>32</v>
      </c>
      <c r="D21" s="72" t="s">
        <v>215</v>
      </c>
      <c r="E21" s="72" t="s">
        <v>216</v>
      </c>
      <c r="F21" s="16" t="s">
        <v>35</v>
      </c>
      <c r="G21" s="72" t="s">
        <v>217</v>
      </c>
      <c r="H21" s="16" t="s">
        <v>64</v>
      </c>
      <c r="I21" s="72" t="s">
        <v>218</v>
      </c>
      <c r="J21" s="16" t="s">
        <v>64</v>
      </c>
      <c r="K21" s="72" t="s">
        <v>219</v>
      </c>
      <c r="L21" s="16" t="s">
        <v>64</v>
      </c>
      <c r="M21" s="72" t="s">
        <v>220</v>
      </c>
      <c r="N21" s="16" t="s">
        <v>119</v>
      </c>
      <c r="O21" s="72" t="s">
        <v>221</v>
      </c>
      <c r="P21" s="90" t="str">
        <f>IF(AC21&gt;=Reference!$H$2, Reference!$G$2, IF(AC21&gt;=Reference!$H$3, Reference!$G$3, IF(AC21&gt;=Reference!$H$4, Reference!$G$4, IF(AC21&gt;=Reference!$H$5, Reference!$G$5, ""))))</f>
        <v>Severe</v>
      </c>
      <c r="Q21" s="90" t="str">
        <f t="shared" si="0"/>
        <v>High</v>
      </c>
      <c r="R21" s="90" t="str">
        <f>IF(AE21&gt;=Reference!$D$2, Reference!$G$2, IF(AE21&gt;=Reference!$D$3, Reference!$E$3, IF(AE21&gt;=Reference!$D$4, Reference!$E$4, IF(AE21&gt;=Reference!$D$5, Reference!$E$5, ""))))</f>
        <v>Severe</v>
      </c>
      <c r="S21" s="79" t="s">
        <v>43</v>
      </c>
      <c r="T21" s="72" t="s">
        <v>222</v>
      </c>
      <c r="U21" s="72" t="s">
        <v>223</v>
      </c>
      <c r="V21" s="72" t="s">
        <v>224</v>
      </c>
      <c r="W21" s="9"/>
      <c r="Y21" s="12">
        <f>IF(H21=Reference!$A$12, Reference!$C$12, IF(H21=Reference!$A$11, Reference!$C$11, IF(H21=Reference!$A$10, Reference!$C$10, IF(H21=Reference!$A$9, Reference!$C$9, 0))))</f>
        <v>7</v>
      </c>
      <c r="Z21" s="12">
        <f>IF(J21=Reference!$A$20, Reference!$C$20, IF(J21=Reference!$A$19, Reference!$C$19, IF(J21=Reference!$A$18, Reference!$C$18, IF(J21=Reference!$A$17, Reference!$C$17, 0))))</f>
        <v>7</v>
      </c>
      <c r="AA21" s="12">
        <f>IF(L21=Reference!$A$28, Reference!$C$28, IF(L21=Reference!$A$27, Reference!$C$27, IF(L21=Reference!$A$26, Reference!$C$26, IF(L21=Reference!$A$25, Reference!$C$25, 0))))</f>
        <v>7</v>
      </c>
      <c r="AB21" s="12">
        <f>IF(N21=Reference!$A$36, Reference!$C$36, IF(N21=Reference!$A$35, Reference!$C$35, IF(N21=Reference!$A$34, Reference!$C$34, IF(N21=Reference!$A$33, Reference!$C$33, 0))))</f>
        <v>10</v>
      </c>
      <c r="AC21" s="12">
        <f>(Reference!$B$2*Y21 + Reference!$B$3*AA21 + Reference!$B$4*Z21 + Reference!$B$5 * AB21)/4</f>
        <v>12</v>
      </c>
      <c r="AD21" s="12">
        <f>IF(Q21=Reference!$C$41, Reference!$D$41, IF(Q21=Reference!$C$42, Reference!$D$42, IF(Q21=Reference!$C$43, Reference!$D$43, IF(Q21=Reference!$C$44, Reference!$D$44, 0))))</f>
        <v>10</v>
      </c>
      <c r="AE21" s="88">
        <f t="shared" si="1"/>
        <v>121</v>
      </c>
    </row>
    <row r="22" spans="1:31" ht="184.9">
      <c r="A22" s="130" t="s">
        <v>225</v>
      </c>
      <c r="B22" s="16" t="s">
        <v>31</v>
      </c>
      <c r="C22" s="76" t="s">
        <v>32</v>
      </c>
      <c r="D22" s="72" t="s">
        <v>226</v>
      </c>
      <c r="E22" s="72" t="s">
        <v>227</v>
      </c>
      <c r="F22" s="16" t="s">
        <v>169</v>
      </c>
      <c r="G22" s="72" t="s">
        <v>228</v>
      </c>
      <c r="H22" s="16" t="s">
        <v>39</v>
      </c>
      <c r="I22" s="72" t="s">
        <v>229</v>
      </c>
      <c r="J22" s="16" t="s">
        <v>39</v>
      </c>
      <c r="K22" s="72" t="s">
        <v>230</v>
      </c>
      <c r="L22" s="16" t="s">
        <v>64</v>
      </c>
      <c r="M22" s="72" t="s">
        <v>231</v>
      </c>
      <c r="N22" s="16" t="s">
        <v>39</v>
      </c>
      <c r="O22" s="72" t="s">
        <v>232</v>
      </c>
      <c r="P22" s="114" t="str">
        <f>IF(AC22&gt;=Reference!$H$2, Reference!$G$2, IF(AC22&gt;=Reference!$H$3, Reference!$G$3, IF(AC22&gt;=Reference!$H$4, Reference!$G$4, IF(AC22&gt;=Reference!$H$5, Reference!$G$5, ""))))</f>
        <v>Major</v>
      </c>
      <c r="Q22" s="114" t="str">
        <f t="shared" ref="Q22" si="11">IF(F22="Physical", "Very Low", IF(F22="Local", "Low", IF(F22="Adjacent", "Medium", IF(F22="Network", "High", ""))))</f>
        <v>Low</v>
      </c>
      <c r="R22" s="114" t="str">
        <f>IF(AE22&gt;=Reference!$D$2, Reference!$G$2, IF(AE22&gt;=Reference!$D$3, Reference!$E$3, IF(AE22&gt;=Reference!$D$4, Reference!$E$4, IF(AE22&gt;=Reference!$D$5, Reference!$E$5, ""))))</f>
        <v>Medium</v>
      </c>
      <c r="S22" s="79" t="s">
        <v>43</v>
      </c>
      <c r="T22" s="72" t="s">
        <v>233</v>
      </c>
      <c r="U22" s="72" t="s">
        <v>234</v>
      </c>
      <c r="V22" s="72" t="s">
        <v>235</v>
      </c>
      <c r="W22" s="77" t="s">
        <v>236</v>
      </c>
      <c r="Y22" s="12">
        <f>IF(H22=Reference!$A$12, Reference!$C$12, IF(H22=Reference!$A$11, Reference!$C$11, IF(H22=Reference!$A$10, Reference!$C$10, IF(H22=Reference!$A$9, Reference!$C$9, 0))))</f>
        <v>4</v>
      </c>
      <c r="Z22" s="12">
        <f>IF(J22=Reference!$A$20, Reference!$C$20, IF(J22=Reference!$A$19, Reference!$C$19, IF(J22=Reference!$A$18, Reference!$C$18, IF(J22=Reference!$A$17, Reference!$C$17, 0))))</f>
        <v>4</v>
      </c>
      <c r="AA22" s="12">
        <f>IF(L22=Reference!$A$28, Reference!$C$28, IF(L22=Reference!$A$27, Reference!$C$27, IF(L22=Reference!$A$26, Reference!$C$26, IF(L22=Reference!$A$25, Reference!$C$25, 0))))</f>
        <v>7</v>
      </c>
      <c r="AB22" s="12">
        <f>IF(N22=Reference!$A$36, Reference!$C$36, IF(N22=Reference!$A$35, Reference!$C$35, IF(N22=Reference!$A$34, Reference!$C$34, IF(N22=Reference!$A$33, Reference!$C$33, 0))))</f>
        <v>4</v>
      </c>
      <c r="AC22" s="12">
        <f>(Reference!$B$2*Y22 + Reference!$B$3*AA22 + Reference!$B$4*Z22 + Reference!$B$5 * AB22)/4</f>
        <v>7.5</v>
      </c>
      <c r="AD22" s="12">
        <f>IF(Q22=Reference!$C$41, Reference!$D$41, IF(Q22=Reference!$C$42, Reference!$D$42, IF(Q22=Reference!$C$43, Reference!$D$43, IF(Q22=Reference!$C$44, Reference!$D$44, 0))))</f>
        <v>4</v>
      </c>
      <c r="AE22" s="99">
        <f t="shared" ref="AE22" si="12">1 + (AC22 * AD22)</f>
        <v>31</v>
      </c>
    </row>
    <row r="23" spans="1:31" ht="184.9">
      <c r="A23" s="131"/>
      <c r="B23" s="16" t="s">
        <v>74</v>
      </c>
      <c r="C23" s="16" t="s">
        <v>75</v>
      </c>
      <c r="D23" s="72" t="s">
        <v>226</v>
      </c>
      <c r="E23" s="72" t="s">
        <v>227</v>
      </c>
      <c r="F23" s="16" t="s">
        <v>180</v>
      </c>
      <c r="G23" s="72" t="s">
        <v>237</v>
      </c>
      <c r="H23" s="16" t="s">
        <v>39</v>
      </c>
      <c r="I23" s="72" t="s">
        <v>229</v>
      </c>
      <c r="J23" s="16" t="s">
        <v>39</v>
      </c>
      <c r="K23" s="72" t="s">
        <v>230</v>
      </c>
      <c r="L23" s="16" t="s">
        <v>64</v>
      </c>
      <c r="M23" s="72" t="s">
        <v>231</v>
      </c>
      <c r="N23" s="16" t="s">
        <v>39</v>
      </c>
      <c r="O23" s="72" t="s">
        <v>232</v>
      </c>
      <c r="P23" s="95" t="str">
        <f>IF(AC23&gt;=Reference!$H$2, Reference!$G$2, IF(AC23&gt;=Reference!$H$3, Reference!$G$3, IF(AC23&gt;=Reference!$H$4, Reference!$G$4, IF(AC23&gt;=Reference!$H$5, Reference!$G$5, ""))))</f>
        <v>Major</v>
      </c>
      <c r="Q23" s="95" t="str">
        <f t="shared" ref="Q23" si="13">IF(F23="Physical", "Very Low", IF(F23="Local", "Low", IF(F23="Adjacent", "Medium", IF(F23="Network", "High", ""))))</f>
        <v>Medium</v>
      </c>
      <c r="R23" s="95" t="str">
        <f>IF(AE23&gt;=Reference!$D$2, Reference!$G$2, IF(AE23&gt;=Reference!$D$3, Reference!$E$3, IF(AE23&gt;=Reference!$D$4, Reference!$E$4, IF(AE23&gt;=Reference!$D$5, Reference!$E$5, ""))))</f>
        <v>High</v>
      </c>
      <c r="S23" s="79" t="s">
        <v>43</v>
      </c>
      <c r="T23" s="72" t="s">
        <v>233</v>
      </c>
      <c r="U23" s="72" t="s">
        <v>234</v>
      </c>
      <c r="V23" s="72" t="s">
        <v>235</v>
      </c>
      <c r="W23" s="77" t="s">
        <v>236</v>
      </c>
      <c r="Y23" s="12">
        <f>IF(H23=Reference!$A$12, Reference!$C$12, IF(H23=Reference!$A$11, Reference!$C$11, IF(H23=Reference!$A$10, Reference!$C$10, IF(H23=Reference!$A$9, Reference!$C$9, 0))))</f>
        <v>4</v>
      </c>
      <c r="Z23" s="12">
        <f>IF(J23=Reference!$A$20, Reference!$C$20, IF(J23=Reference!$A$19, Reference!$C$19, IF(J23=Reference!$A$18, Reference!$C$18, IF(J23=Reference!$A$17, Reference!$C$17, 0))))</f>
        <v>4</v>
      </c>
      <c r="AA23" s="12">
        <f>IF(L23=Reference!$A$28, Reference!$C$28, IF(L23=Reference!$A$27, Reference!$C$27, IF(L23=Reference!$A$26, Reference!$C$26, IF(L23=Reference!$A$25, Reference!$C$25, 0))))</f>
        <v>7</v>
      </c>
      <c r="AB23" s="12">
        <f>IF(N23=Reference!$A$36, Reference!$C$36, IF(N23=Reference!$A$35, Reference!$C$35, IF(N23=Reference!$A$34, Reference!$C$34, IF(N23=Reference!$A$33, Reference!$C$33, 0))))</f>
        <v>4</v>
      </c>
      <c r="AC23" s="12">
        <f>(Reference!$B$2*Y23 + Reference!$B$3*AA23 + Reference!$B$4*Z23 + Reference!$B$5 * AB23)/4</f>
        <v>7.5</v>
      </c>
      <c r="AD23" s="12">
        <f>IF(Q23=Reference!$C$41, Reference!$D$41, IF(Q23=Reference!$C$42, Reference!$D$42, IF(Q23=Reference!$C$43, Reference!$D$43, IF(Q23=Reference!$C$44, Reference!$D$44, 0))))</f>
        <v>7</v>
      </c>
      <c r="AE23" s="87">
        <f t="shared" si="1"/>
        <v>53.5</v>
      </c>
    </row>
    <row r="24" spans="1:31" ht="105.6">
      <c r="A24" s="123" t="s">
        <v>238</v>
      </c>
      <c r="B24" s="16" t="s">
        <v>31</v>
      </c>
      <c r="C24" s="16" t="s">
        <v>32</v>
      </c>
      <c r="D24" s="72" t="s">
        <v>239</v>
      </c>
      <c r="E24" s="72" t="s">
        <v>240</v>
      </c>
      <c r="F24" s="16" t="s">
        <v>169</v>
      </c>
      <c r="G24" s="72" t="s">
        <v>241</v>
      </c>
      <c r="H24" s="16" t="s">
        <v>64</v>
      </c>
      <c r="I24" s="72" t="s">
        <v>242</v>
      </c>
      <c r="J24" s="16" t="s">
        <v>64</v>
      </c>
      <c r="K24" s="72" t="s">
        <v>243</v>
      </c>
      <c r="L24" s="16" t="s">
        <v>64</v>
      </c>
      <c r="M24" s="72" t="s">
        <v>244</v>
      </c>
      <c r="N24" s="16" t="s">
        <v>64</v>
      </c>
      <c r="O24" s="72" t="s">
        <v>245</v>
      </c>
      <c r="P24" s="114" t="str">
        <f>IF(AC24&gt;=Reference!$H$2, Reference!$G$2, IF(AC24&gt;=Reference!$H$3, Reference!$G$3, IF(AC24&gt;=Reference!$H$4, Reference!$G$4, IF(AC24&gt;=Reference!$H$5, Reference!$G$5, ""))))</f>
        <v>Severe</v>
      </c>
      <c r="Q24" s="114" t="str">
        <f t="shared" ref="Q24" si="14">IF(F24="Physical", "Very Low", IF(F24="Local", "Low", IF(F24="Adjacent", "Medium", IF(F24="Network", "High", ""))))</f>
        <v>Low</v>
      </c>
      <c r="R24" s="114" t="str">
        <f>IF(AE24&gt;=Reference!$D$2, Reference!$G$2, IF(AE24&gt;=Reference!$D$3, Reference!$E$3, IF(AE24&gt;=Reference!$D$4, Reference!$E$4, IF(AE24&gt;=Reference!$D$5, Reference!$E$5, ""))))</f>
        <v>Medium</v>
      </c>
      <c r="S24" s="79" t="s">
        <v>43</v>
      </c>
      <c r="T24" s="72" t="s">
        <v>246</v>
      </c>
      <c r="U24" s="72" t="s">
        <v>247</v>
      </c>
      <c r="V24" s="72" t="s">
        <v>248</v>
      </c>
      <c r="W24" s="77" t="s">
        <v>249</v>
      </c>
      <c r="Y24" s="12">
        <f>IF(H24=Reference!$A$12, Reference!$C$12, IF(H24=Reference!$A$11, Reference!$C$11, IF(H24=Reference!$A$10, Reference!$C$10, IF(H24=Reference!$A$9, Reference!$C$9, 0))))</f>
        <v>7</v>
      </c>
      <c r="Z24" s="12">
        <f>IF(J24=Reference!$A$20, Reference!$C$20, IF(J24=Reference!$A$19, Reference!$C$19, IF(J24=Reference!$A$18, Reference!$C$18, IF(J24=Reference!$A$17, Reference!$C$17, 0))))</f>
        <v>7</v>
      </c>
      <c r="AA24" s="12">
        <f>IF(L24=Reference!$A$28, Reference!$C$28, IF(L24=Reference!$A$27, Reference!$C$27, IF(L24=Reference!$A$26, Reference!$C$26, IF(L24=Reference!$A$25, Reference!$C$25, 0))))</f>
        <v>7</v>
      </c>
      <c r="AB24" s="12">
        <f>IF(N24=Reference!$A$36, Reference!$C$36, IF(N24=Reference!$A$35, Reference!$C$35, IF(N24=Reference!$A$34, Reference!$C$34, IF(N24=Reference!$A$33, Reference!$C$33, 0))))</f>
        <v>7</v>
      </c>
      <c r="AC24" s="12">
        <f>(Reference!$B$2*Y24 + Reference!$B$3*AA24 + Reference!$B$4*Z24 + Reference!$B$5 * AB24)/4</f>
        <v>11.8125</v>
      </c>
      <c r="AD24" s="12">
        <f>IF(Q24=Reference!$C$41, Reference!$D$41, IF(Q24=Reference!$C$42, Reference!$D$42, IF(Q24=Reference!$C$43, Reference!$D$43, IF(Q24=Reference!$C$44, Reference!$D$44, 0))))</f>
        <v>4</v>
      </c>
      <c r="AE24" s="99">
        <f t="shared" ref="AE24" si="15">1 + (AC24 * AD24)</f>
        <v>48.25</v>
      </c>
    </row>
    <row r="25" spans="1:31" ht="105.6">
      <c r="A25" s="123" t="s">
        <v>238</v>
      </c>
      <c r="B25" s="16" t="s">
        <v>179</v>
      </c>
      <c r="C25" s="16" t="s">
        <v>75</v>
      </c>
      <c r="D25" s="72" t="s">
        <v>239</v>
      </c>
      <c r="E25" s="72" t="s">
        <v>240</v>
      </c>
      <c r="F25" s="16" t="s">
        <v>180</v>
      </c>
      <c r="G25" s="72" t="s">
        <v>250</v>
      </c>
      <c r="H25" s="16" t="s">
        <v>64</v>
      </c>
      <c r="I25" s="72" t="s">
        <v>242</v>
      </c>
      <c r="J25" s="16" t="s">
        <v>64</v>
      </c>
      <c r="K25" s="72" t="s">
        <v>243</v>
      </c>
      <c r="L25" s="16" t="s">
        <v>64</v>
      </c>
      <c r="M25" s="72" t="s">
        <v>244</v>
      </c>
      <c r="N25" s="16" t="s">
        <v>64</v>
      </c>
      <c r="O25" s="72" t="s">
        <v>245</v>
      </c>
      <c r="P25" s="113" t="str">
        <f>IF(AC25&gt;=Reference!$H$2, Reference!$G$2, IF(AC25&gt;=Reference!$H$3, Reference!$G$3, IF(AC25&gt;=Reference!$H$4, Reference!$G$4, IF(AC25&gt;=Reference!$H$5, Reference!$G$5, ""))))</f>
        <v>Severe</v>
      </c>
      <c r="Q25" s="113" t="str">
        <f t="shared" ref="Q25" si="16">IF(F25="Physical", "Very Low", IF(F25="Local", "Low", IF(F25="Adjacent", "Medium", IF(F25="Network", "High", ""))))</f>
        <v>Medium</v>
      </c>
      <c r="R25" s="113" t="str">
        <f>IF(AE25&gt;=Reference!$D$2, Reference!$G$2, IF(AE25&gt;=Reference!$D$3, Reference!$E$3, IF(AE25&gt;=Reference!$D$4, Reference!$E$4, IF(AE25&gt;=Reference!$D$5, Reference!$E$5, ""))))</f>
        <v>High</v>
      </c>
      <c r="S25" s="79" t="s">
        <v>43</v>
      </c>
      <c r="T25" s="72" t="s">
        <v>246</v>
      </c>
      <c r="U25" s="72" t="s">
        <v>247</v>
      </c>
      <c r="V25" s="72" t="s">
        <v>248</v>
      </c>
      <c r="W25" s="77" t="s">
        <v>249</v>
      </c>
      <c r="Y25" s="12">
        <f>IF(H25=Reference!$A$12, Reference!$C$12, IF(H25=Reference!$A$11, Reference!$C$11, IF(H25=Reference!$A$10, Reference!$C$10, IF(H25=Reference!$A$9, Reference!$C$9, 0))))</f>
        <v>7</v>
      </c>
      <c r="Z25" s="12">
        <f>IF(J25=Reference!$A$20, Reference!$C$20, IF(J25=Reference!$A$19, Reference!$C$19, IF(J25=Reference!$A$18, Reference!$C$18, IF(J25=Reference!$A$17, Reference!$C$17, 0))))</f>
        <v>7</v>
      </c>
      <c r="AA25" s="12">
        <f>IF(L25=Reference!$A$28, Reference!$C$28, IF(L25=Reference!$A$27, Reference!$C$27, IF(L25=Reference!$A$26, Reference!$C$26, IF(L25=Reference!$A$25, Reference!$C$25, 0))))</f>
        <v>7</v>
      </c>
      <c r="AB25" s="12">
        <f>IF(N25=Reference!$A$36, Reference!$C$36, IF(N25=Reference!$A$35, Reference!$C$35, IF(N25=Reference!$A$34, Reference!$C$34, IF(N25=Reference!$A$33, Reference!$C$33, 0))))</f>
        <v>7</v>
      </c>
      <c r="AC25" s="12">
        <f>(Reference!$B$2*Y25 + Reference!$B$3*AA25 + Reference!$B$4*Z25 + Reference!$B$5 * AB25)/4</f>
        <v>11.8125</v>
      </c>
      <c r="AD25" s="12">
        <f>IF(Q25=Reference!$C$41, Reference!$D$41, IF(Q25=Reference!$C$42, Reference!$D$42, IF(Q25=Reference!$C$43, Reference!$D$43, IF(Q25=Reference!$C$44, Reference!$D$44, 0))))</f>
        <v>7</v>
      </c>
      <c r="AE25" s="108">
        <f t="shared" ref="AE25" si="17">1 + (AC25 * AD25)</f>
        <v>83.6875</v>
      </c>
    </row>
    <row r="26" spans="1:31" ht="114.75" customHeight="1">
      <c r="A26" s="149" t="s">
        <v>251</v>
      </c>
      <c r="B26" s="16" t="s">
        <v>31</v>
      </c>
      <c r="C26" s="16" t="s">
        <v>32</v>
      </c>
      <c r="D26" s="73" t="s">
        <v>252</v>
      </c>
      <c r="E26" s="73" t="s">
        <v>253</v>
      </c>
      <c r="F26" s="16" t="s">
        <v>35</v>
      </c>
      <c r="G26" s="73" t="s">
        <v>254</v>
      </c>
      <c r="H26" s="16" t="s">
        <v>39</v>
      </c>
      <c r="I26" s="73" t="s">
        <v>255</v>
      </c>
      <c r="J26" s="16" t="s">
        <v>39</v>
      </c>
      <c r="K26" s="73" t="s">
        <v>256</v>
      </c>
      <c r="L26" s="16" t="s">
        <v>39</v>
      </c>
      <c r="M26" s="72" t="s">
        <v>257</v>
      </c>
      <c r="N26" s="16" t="s">
        <v>37</v>
      </c>
      <c r="O26" s="72" t="s">
        <v>258</v>
      </c>
      <c r="P26" s="95" t="str">
        <f>IF(AC26&gt;=Reference!$H$2, Reference!$G$2, IF(AC26&gt;=Reference!$H$3, Reference!$G$3, IF(AC26&gt;=Reference!$H$4, Reference!$G$4, IF(AC26&gt;=Reference!$H$5, Reference!$G$5, ""))))</f>
        <v>Major</v>
      </c>
      <c r="Q26" s="95" t="str">
        <f t="shared" si="0"/>
        <v>High</v>
      </c>
      <c r="R26" s="95" t="str">
        <f>IF(AE26&gt;=Reference!$D$2, Reference!$G$2, IF(AE26&gt;=Reference!$D$3, Reference!$E$3, IF(AE26&gt;=Reference!$D$4, Reference!$E$4, IF(AE26&gt;=Reference!$D$5, Reference!$E$5, ""))))</f>
        <v>High</v>
      </c>
      <c r="S26" s="79" t="s">
        <v>259</v>
      </c>
      <c r="T26" s="72" t="s">
        <v>260</v>
      </c>
      <c r="U26" s="73" t="s">
        <v>261</v>
      </c>
      <c r="V26" s="72" t="s">
        <v>262</v>
      </c>
      <c r="W26" s="16"/>
      <c r="Y26" s="12">
        <f>IF(H26=Reference!$A$12, Reference!$C$12, IF(H26=Reference!$A$11, Reference!$C$11, IF(H26=Reference!$A$10, Reference!$C$10, IF(H26=Reference!$A$9, Reference!$C$9, 0))))</f>
        <v>4</v>
      </c>
      <c r="Z26" s="12">
        <f>IF(J26=Reference!$A$20, Reference!$C$20, IF(J26=Reference!$A$19, Reference!$C$19, IF(J26=Reference!$A$18, Reference!$C$18, IF(J26=Reference!$A$17, Reference!$C$17, 0))))</f>
        <v>4</v>
      </c>
      <c r="AA26" s="12">
        <f>IF(L26=Reference!$A$28, Reference!$C$28, IF(L26=Reference!$A$27, Reference!$C$27, IF(L26=Reference!$A$26, Reference!$C$26, IF(L26=Reference!$A$25, Reference!$C$25, 0))))</f>
        <v>4</v>
      </c>
      <c r="AB26" s="12">
        <f>IF(N26=Reference!$A$36, Reference!$C$36, IF(N26=Reference!$A$35, Reference!$C$35, IF(N26=Reference!$A$34, Reference!$C$34, IF(N26=Reference!$A$33, Reference!$C$33, 0))))</f>
        <v>1</v>
      </c>
      <c r="AC26" s="12">
        <f>(Reference!$B$2*Y26 + Reference!$B$3*AA26 + Reference!$B$4*Z26 + Reference!$B$5 * AB26)/4</f>
        <v>6.5625</v>
      </c>
      <c r="AD26" s="12">
        <f>IF(Q26=Reference!$C$41, Reference!$D$41, IF(Q26=Reference!$C$42, Reference!$D$42, IF(Q26=Reference!$C$43, Reference!$D$43, IF(Q26=Reference!$C$44, Reference!$D$44, 0))))</f>
        <v>10</v>
      </c>
      <c r="AE26" s="87">
        <f t="shared" si="1"/>
        <v>66.625</v>
      </c>
    </row>
    <row r="27" spans="1:31" ht="114.75" customHeight="1">
      <c r="A27" s="147"/>
      <c r="B27" s="16" t="s">
        <v>31</v>
      </c>
      <c r="C27" s="16" t="s">
        <v>32</v>
      </c>
      <c r="D27" s="72" t="s">
        <v>263</v>
      </c>
      <c r="E27" s="72" t="s">
        <v>264</v>
      </c>
      <c r="F27" s="16" t="s">
        <v>35</v>
      </c>
      <c r="G27" s="72" t="s">
        <v>265</v>
      </c>
      <c r="H27" s="16" t="s">
        <v>119</v>
      </c>
      <c r="I27" s="72" t="s">
        <v>266</v>
      </c>
      <c r="J27" s="16" t="s">
        <v>64</v>
      </c>
      <c r="K27" s="72" t="s">
        <v>267</v>
      </c>
      <c r="L27" s="16" t="s">
        <v>119</v>
      </c>
      <c r="M27" s="72" t="s">
        <v>268</v>
      </c>
      <c r="N27" s="16" t="s">
        <v>39</v>
      </c>
      <c r="O27" s="72" t="s">
        <v>269</v>
      </c>
      <c r="P27" s="90" t="str">
        <f>IF(AC27&gt;=Reference!$H$2, Reference!$G$2, IF(AC27&gt;=Reference!$H$3, Reference!$G$3, IF(AC27&gt;=Reference!$H$4, Reference!$G$4, IF(AC27&gt;=Reference!$H$5, Reference!$G$5, ""))))</f>
        <v>Severe</v>
      </c>
      <c r="Q27" s="90" t="str">
        <f>IF(F27="Physical", "Very Low", IF(F27="Local", "Low", IF(F27="Adjacent", "Medium", IF(F27="Network", "High", ""))))</f>
        <v>High</v>
      </c>
      <c r="R27" s="90" t="str">
        <f>IF(AE27&gt;=Reference!$D$2, Reference!$G$2, IF(AE27&gt;=Reference!$D$3, Reference!$E$3, IF(AE27&gt;=Reference!$D$4, Reference!$E$4, IF(AE27&gt;=Reference!$D$5, Reference!$E$5, ""))))</f>
        <v>Severe</v>
      </c>
      <c r="S27" s="79" t="s">
        <v>43</v>
      </c>
      <c r="T27" s="72" t="s">
        <v>270</v>
      </c>
      <c r="U27" s="73" t="s">
        <v>261</v>
      </c>
      <c r="V27" s="72" t="s">
        <v>271</v>
      </c>
      <c r="W27" s="16"/>
      <c r="Y27" s="12">
        <f>IF(H27=Reference!$A$12, Reference!$C$12, IF(H27=Reference!$A$11, Reference!$C$11, IF(H27=Reference!$A$10, Reference!$C$10, IF(H27=Reference!$A$9, Reference!$C$9, 0))))</f>
        <v>10</v>
      </c>
      <c r="Z27" s="12">
        <f>IF(J27=Reference!$A$20, Reference!$C$20, IF(J27=Reference!$A$19, Reference!$C$19, IF(J27=Reference!$A$18, Reference!$C$18, IF(J27=Reference!$A$17, Reference!$C$17, 0))))</f>
        <v>7</v>
      </c>
      <c r="AA27" s="12">
        <f>IF(L27=Reference!$A$28, Reference!$C$28, IF(L27=Reference!$A$27, Reference!$C$27, IF(L27=Reference!$A$26, Reference!$C$26, IF(L27=Reference!$A$25, Reference!$C$25, 0))))</f>
        <v>10</v>
      </c>
      <c r="AB27" s="12">
        <f>IF(N27=Reference!$A$36, Reference!$C$36, IF(N27=Reference!$A$35, Reference!$C$35, IF(N27=Reference!$A$34, Reference!$C$34, IF(N27=Reference!$A$33, Reference!$C$33, 0))))</f>
        <v>4</v>
      </c>
      <c r="AC27" s="12">
        <f>(Reference!$B$2*Y27 + Reference!$B$3*AA27 + Reference!$B$4*Z27 + Reference!$B$5 * AB27)/4</f>
        <v>16.125</v>
      </c>
      <c r="AD27" s="12">
        <f>IF(Q27=Reference!$C$41, Reference!$D$41, IF(Q27=Reference!$C$42, Reference!$D$42, IF(Q27=Reference!$C$43, Reference!$D$43, IF(Q27=Reference!$C$44, Reference!$D$44, 0))))</f>
        <v>10</v>
      </c>
      <c r="AE27" s="88">
        <f>1 + (AC27 * AD27)</f>
        <v>162.25</v>
      </c>
    </row>
    <row r="28" spans="1:31" ht="105.6">
      <c r="A28" s="139" t="s">
        <v>272</v>
      </c>
      <c r="B28" s="16" t="s">
        <v>31</v>
      </c>
      <c r="C28" s="16" t="s">
        <v>32</v>
      </c>
      <c r="D28" s="72" t="s">
        <v>273</v>
      </c>
      <c r="E28" s="72" t="s">
        <v>274</v>
      </c>
      <c r="F28" s="16" t="s">
        <v>35</v>
      </c>
      <c r="G28" s="72" t="s">
        <v>275</v>
      </c>
      <c r="H28" s="77" t="s">
        <v>39</v>
      </c>
      <c r="I28" s="72" t="s">
        <v>276</v>
      </c>
      <c r="J28" s="16" t="s">
        <v>39</v>
      </c>
      <c r="K28" s="72" t="s">
        <v>277</v>
      </c>
      <c r="L28" s="16" t="s">
        <v>64</v>
      </c>
      <c r="M28" s="72" t="s">
        <v>278</v>
      </c>
      <c r="N28" s="16" t="s">
        <v>37</v>
      </c>
      <c r="O28" s="73" t="s">
        <v>279</v>
      </c>
      <c r="P28" s="95" t="str">
        <f>IF(AC28&gt;=Reference!$H$2, Reference!$G$2, IF(AC28&gt;=Reference!$H$3, Reference!$G$3, IF(AC28&gt;=Reference!$H$4, Reference!$G$4, IF(AC28&gt;=Reference!$H$5, Reference!$G$5, ""))))</f>
        <v>Major</v>
      </c>
      <c r="Q28" s="95" t="str">
        <f t="shared" si="0"/>
        <v>High</v>
      </c>
      <c r="R28" s="95" t="str">
        <f>IF(AE28&gt;=Reference!$D$2, Reference!$G$2, IF(AE28&gt;=Reference!$D$3, Reference!$E$3, IF(AE28&gt;=Reference!$D$4, Reference!$E$4, IF(AE28&gt;=Reference!$D$5, Reference!$E$5, ""))))</f>
        <v>High</v>
      </c>
      <c r="S28" s="79" t="s">
        <v>43</v>
      </c>
      <c r="T28" s="72" t="s">
        <v>280</v>
      </c>
      <c r="U28" s="72" t="s">
        <v>281</v>
      </c>
      <c r="V28" s="72" t="s">
        <v>282</v>
      </c>
      <c r="W28" s="96" t="s">
        <v>283</v>
      </c>
      <c r="Y28" s="12">
        <f>IF(H28=Reference!$A$12, Reference!$C$12, IF(H28=Reference!$A$11, Reference!$C$11, IF(H28=Reference!$A$10, Reference!$C$10, IF(H28=Reference!$A$9, Reference!$C$9, 0))))</f>
        <v>4</v>
      </c>
      <c r="Z28" s="12">
        <f>IF(J28=Reference!$A$20, Reference!$C$20, IF(J28=Reference!$A$19, Reference!$C$19, IF(J28=Reference!$A$18, Reference!$C$18, IF(J28=Reference!$A$17, Reference!$C$17, 0))))</f>
        <v>4</v>
      </c>
      <c r="AA28" s="12">
        <f>IF(L28=Reference!$A$28, Reference!$C$28, IF(L28=Reference!$A$27, Reference!$C$27, IF(L28=Reference!$A$26, Reference!$C$26, IF(L28=Reference!$A$25, Reference!$C$25, 0))))</f>
        <v>7</v>
      </c>
      <c r="AB28" s="12">
        <f>IF(N28=Reference!$A$36, Reference!$C$36, IF(N28=Reference!$A$35, Reference!$C$35, IF(N28=Reference!$A$34, Reference!$C$34, IF(N28=Reference!$A$33, Reference!$C$33, 0))))</f>
        <v>1</v>
      </c>
      <c r="AC28" s="12">
        <f>(Reference!$B$2*Y28 + Reference!$B$3*AA28 + Reference!$B$4*Z28 + Reference!$B$5 * AB28)/4</f>
        <v>7.3125</v>
      </c>
      <c r="AD28" s="12">
        <f>IF(Q28=Reference!$C$41, Reference!$D$41, IF(Q28=Reference!$C$42, Reference!$D$42, IF(Q28=Reference!$C$43, Reference!$D$43, IF(Q28=Reference!$C$44, Reference!$D$44, 0))))</f>
        <v>10</v>
      </c>
      <c r="AE28" s="87">
        <f t="shared" si="1"/>
        <v>74.125</v>
      </c>
    </row>
    <row r="29" spans="1:31" ht="133.5" customHeight="1">
      <c r="A29" s="139"/>
      <c r="B29" s="16" t="s">
        <v>31</v>
      </c>
      <c r="C29" s="97" t="s">
        <v>284</v>
      </c>
      <c r="D29" s="72" t="s">
        <v>285</v>
      </c>
      <c r="E29" s="72" t="s">
        <v>286</v>
      </c>
      <c r="F29" s="16" t="s">
        <v>35</v>
      </c>
      <c r="G29" s="72" t="s">
        <v>287</v>
      </c>
      <c r="H29" s="77" t="s">
        <v>119</v>
      </c>
      <c r="I29" s="72" t="s">
        <v>288</v>
      </c>
      <c r="J29" s="16" t="s">
        <v>119</v>
      </c>
      <c r="K29" s="72" t="s">
        <v>289</v>
      </c>
      <c r="L29" s="16" t="s">
        <v>64</v>
      </c>
      <c r="M29" s="72" t="s">
        <v>290</v>
      </c>
      <c r="N29" s="16" t="s">
        <v>37</v>
      </c>
      <c r="O29" s="94" t="s">
        <v>291</v>
      </c>
      <c r="P29" s="90" t="str">
        <f>IF(AC29&gt;=Reference!$H$2, Reference!$G$2, IF(AC29&gt;=Reference!$H$3, Reference!$G$3, IF(AC29&gt;=Reference!$H$4, Reference!$G$4, IF(AC29&gt;=Reference!$H$5, Reference!$G$5, ""))))</f>
        <v>Severe</v>
      </c>
      <c r="Q29" s="90" t="str">
        <f>IF(F29="Physical", "Very Low", IF(F29="Local", "Low", IF(F29="Adjacent", "Medium", IF(F29="Network", "High", ""))))</f>
        <v>High</v>
      </c>
      <c r="R29" s="90" t="str">
        <f>IF(AE29&gt;=Reference!$D$2, Reference!$G$2, IF(AE29&gt;=Reference!$D$3, Reference!$E$3, IF(AE29&gt;=Reference!$D$4, Reference!$E$4, IF(AE29&gt;=Reference!$D$5, Reference!$E$5, ""))))</f>
        <v>Severe</v>
      </c>
      <c r="S29" s="79" t="s">
        <v>43</v>
      </c>
      <c r="T29" s="72" t="s">
        <v>292</v>
      </c>
      <c r="U29" s="72" t="s">
        <v>293</v>
      </c>
      <c r="V29" s="72" t="s">
        <v>294</v>
      </c>
      <c r="W29" s="96" t="s">
        <v>295</v>
      </c>
      <c r="Y29" s="12">
        <f>IF(H29=Reference!$A$12, Reference!$C$12, IF(H29=Reference!$A$11, Reference!$C$11, IF(H29=Reference!$A$10, Reference!$C$10, IF(H29=Reference!$A$9, Reference!$C$9, 0))))</f>
        <v>10</v>
      </c>
      <c r="Z29" s="12">
        <f>IF(J29=Reference!$A$20, Reference!$C$20, IF(J29=Reference!$A$19, Reference!$C$19, IF(J29=Reference!$A$18, Reference!$C$18, IF(J29=Reference!$A$17, Reference!$C$17, 0))))</f>
        <v>10</v>
      </c>
      <c r="AA29" s="12">
        <f>IF(L29=Reference!$A$28, Reference!$C$28, IF(L29=Reference!$A$27, Reference!$C$27, IF(L29=Reference!$A$26, Reference!$C$26, IF(L29=Reference!$A$25, Reference!$C$25, 0))))</f>
        <v>7</v>
      </c>
      <c r="AB29" s="12">
        <f>IF(N29=Reference!$A$36, Reference!$C$36, IF(N29=Reference!$A$35, Reference!$C$35, IF(N29=Reference!$A$34, Reference!$C$34, IF(N29=Reference!$A$33, Reference!$C$33, 0))))</f>
        <v>1</v>
      </c>
      <c r="AC29" s="12">
        <f>(Reference!$B$2*Y29 + Reference!$B$3*AA29 + Reference!$B$4*Z29 + Reference!$B$5 * AB29)/4</f>
        <v>15.5625</v>
      </c>
      <c r="AD29" s="12">
        <f>IF(Q29=Reference!$C$41, Reference!$D$41, IF(Q29=Reference!$C$42, Reference!$D$42, IF(Q29=Reference!$C$43, Reference!$D$43, IF(Q29=Reference!$C$44, Reference!$D$44, 0))))</f>
        <v>10</v>
      </c>
      <c r="AE29" s="88">
        <f>1 + (AC29 * AD29)</f>
        <v>156.625</v>
      </c>
    </row>
    <row r="30" spans="1:31" ht="141.75" customHeight="1">
      <c r="A30" s="147" t="s">
        <v>296</v>
      </c>
      <c r="B30" s="16" t="s">
        <v>31</v>
      </c>
      <c r="C30" s="16" t="s">
        <v>32</v>
      </c>
      <c r="D30" s="72" t="s">
        <v>297</v>
      </c>
      <c r="E30" s="72" t="s">
        <v>298</v>
      </c>
      <c r="F30" s="16" t="s">
        <v>35</v>
      </c>
      <c r="G30" s="72" t="s">
        <v>299</v>
      </c>
      <c r="H30" s="16" t="s">
        <v>39</v>
      </c>
      <c r="I30" s="72" t="s">
        <v>300</v>
      </c>
      <c r="J30" s="16" t="s">
        <v>39</v>
      </c>
      <c r="K30" s="72" t="s">
        <v>301</v>
      </c>
      <c r="L30" s="16" t="s">
        <v>39</v>
      </c>
      <c r="M30" s="72" t="s">
        <v>302</v>
      </c>
      <c r="N30" s="16" t="s">
        <v>37</v>
      </c>
      <c r="O30" s="72" t="s">
        <v>303</v>
      </c>
      <c r="P30" s="95" t="str">
        <f>IF(AC30&gt;=Reference!$H$2, Reference!$G$2, IF(AC30&gt;=Reference!$H$3, Reference!$G$3, IF(AC30&gt;=Reference!$H$4, Reference!$G$4, IF(AC30&gt;=Reference!$H$5, Reference!$G$5, ""))))</f>
        <v>Major</v>
      </c>
      <c r="Q30" s="95" t="str">
        <f t="shared" si="0"/>
        <v>High</v>
      </c>
      <c r="R30" s="95" t="str">
        <f>IF(AE30&gt;=Reference!$D$2, Reference!$G$2, IF(AE30&gt;=Reference!$D$3, Reference!$E$3, IF(AE30&gt;=Reference!$D$4, Reference!$E$4, IF(AE30&gt;=Reference!$D$5, Reference!$E$5, ""))))</f>
        <v>High</v>
      </c>
      <c r="S30" s="79" t="s">
        <v>43</v>
      </c>
      <c r="T30" s="72" t="s">
        <v>304</v>
      </c>
      <c r="U30" s="16" t="s">
        <v>305</v>
      </c>
      <c r="V30" s="72" t="s">
        <v>306</v>
      </c>
      <c r="W30" s="96" t="s">
        <v>307</v>
      </c>
      <c r="Y30" s="12">
        <f>IF(H30=Reference!$A$12, Reference!$C$12, IF(H30=Reference!$A$11, Reference!$C$11, IF(H30=Reference!$A$10, Reference!$C$10, IF(H30=Reference!$A$9, Reference!$C$9, 0))))</f>
        <v>4</v>
      </c>
      <c r="Z30" s="12">
        <f>IF(J30=Reference!$A$20, Reference!$C$20, IF(J30=Reference!$A$19, Reference!$C$19, IF(J30=Reference!$A$18, Reference!$C$18, IF(J30=Reference!$A$17, Reference!$C$17, 0))))</f>
        <v>4</v>
      </c>
      <c r="AA30" s="12">
        <f>IF(L30=Reference!$A$28, Reference!$C$28, IF(L30=Reference!$A$27, Reference!$C$27, IF(L30=Reference!$A$26, Reference!$C$26, IF(L30=Reference!$A$25, Reference!$C$25, 0))))</f>
        <v>4</v>
      </c>
      <c r="AB30" s="12">
        <f>IF(N30=Reference!$A$36, Reference!$C$36, IF(N30=Reference!$A$35, Reference!$C$35, IF(N30=Reference!$A$34, Reference!$C$34, IF(N30=Reference!$A$33, Reference!$C$33, 0))))</f>
        <v>1</v>
      </c>
      <c r="AC30" s="12">
        <f>(Reference!$B$2*Y30 + Reference!$B$3*AA30 + Reference!$B$4*Z30 + Reference!$B$5 * AB30)/4</f>
        <v>6.5625</v>
      </c>
      <c r="AD30" s="12">
        <f>IF(Q30=Reference!$C$41, Reference!$D$41, IF(Q30=Reference!$C$42, Reference!$D$42, IF(Q30=Reference!$C$43, Reference!$D$43, IF(Q30=Reference!$C$44, Reference!$D$44, 0))))</f>
        <v>10</v>
      </c>
      <c r="AE30" s="87">
        <f t="shared" si="1"/>
        <v>66.625</v>
      </c>
    </row>
    <row r="31" spans="1:31" ht="125.25" customHeight="1">
      <c r="A31" s="147"/>
      <c r="B31" s="16" t="s">
        <v>31</v>
      </c>
      <c r="C31" s="16" t="s">
        <v>32</v>
      </c>
      <c r="D31" s="72" t="s">
        <v>308</v>
      </c>
      <c r="E31" s="72" t="s">
        <v>309</v>
      </c>
      <c r="F31" s="16" t="s">
        <v>35</v>
      </c>
      <c r="G31" s="72" t="s">
        <v>310</v>
      </c>
      <c r="H31" s="16" t="s">
        <v>119</v>
      </c>
      <c r="I31" s="72" t="s">
        <v>311</v>
      </c>
      <c r="J31" s="16" t="s">
        <v>119</v>
      </c>
      <c r="K31" s="72" t="s">
        <v>312</v>
      </c>
      <c r="L31" s="16" t="s">
        <v>64</v>
      </c>
      <c r="M31" s="72" t="s">
        <v>313</v>
      </c>
      <c r="N31" s="16" t="s">
        <v>37</v>
      </c>
      <c r="O31" s="72" t="s">
        <v>314</v>
      </c>
      <c r="P31" s="90" t="str">
        <f>IF(AC31&gt;=Reference!$H$2, Reference!$G$2, IF(AC31&gt;=Reference!$H$3, Reference!$G$3, IF(AC31&gt;=Reference!$H$4, Reference!$G$4, IF(AC31&gt;=Reference!$H$5, Reference!$G$5, ""))))</f>
        <v>Severe</v>
      </c>
      <c r="Q31" s="90" t="str">
        <f>IF(F31="Physical", "Very Low", IF(F31="Local", "Low", IF(F31="Adjacent", "Medium", IF(F31="Network", "High", ""))))</f>
        <v>High</v>
      </c>
      <c r="R31" s="90" t="str">
        <f>IF(AE31&gt;=Reference!$D$2, Reference!$G$2, IF(AE31&gt;=Reference!$D$3, Reference!$E$3, IF(AE31&gt;=Reference!$D$4, Reference!$E$4, IF(AE31&gt;=Reference!$D$5, Reference!$E$5, ""))))</f>
        <v>Severe</v>
      </c>
      <c r="S31" s="79" t="s">
        <v>43</v>
      </c>
      <c r="T31" s="72" t="s">
        <v>315</v>
      </c>
      <c r="U31" s="16" t="s">
        <v>316</v>
      </c>
      <c r="V31" s="72" t="s">
        <v>317</v>
      </c>
      <c r="W31" s="96" t="s">
        <v>318</v>
      </c>
      <c r="Y31" s="12">
        <f>IF(H31=Reference!$A$12, Reference!$C$12, IF(H31=Reference!$A$11, Reference!$C$11, IF(H31=Reference!$A$10, Reference!$C$10, IF(H31=Reference!$A$9, Reference!$C$9, 0))))</f>
        <v>10</v>
      </c>
      <c r="Z31" s="12">
        <f>IF(J31=Reference!$A$20, Reference!$C$20, IF(J31=Reference!$A$19, Reference!$C$19, IF(J31=Reference!$A$18, Reference!$C$18, IF(J31=Reference!$A$17, Reference!$C$17, 0))))</f>
        <v>10</v>
      </c>
      <c r="AA31" s="12">
        <f>IF(L31=Reference!$A$28, Reference!$C$28, IF(L31=Reference!$A$27, Reference!$C$27, IF(L31=Reference!$A$26, Reference!$C$26, IF(L31=Reference!$A$25, Reference!$C$25, 0))))</f>
        <v>7</v>
      </c>
      <c r="AB31" s="12">
        <f>IF(N31=Reference!$A$36, Reference!$C$36, IF(N31=Reference!$A$35, Reference!$C$35, IF(N31=Reference!$A$34, Reference!$C$34, IF(N31=Reference!$A$33, Reference!$C$33, 0))))</f>
        <v>1</v>
      </c>
      <c r="AC31" s="12">
        <f>(Reference!$B$2*Y31 + Reference!$B$3*AA31 + Reference!$B$4*Z31 + Reference!$B$5 * AB31)/4</f>
        <v>15.5625</v>
      </c>
      <c r="AD31" s="12">
        <f>IF(Q31=Reference!$C$41, Reference!$D$41, IF(Q31=Reference!$C$42, Reference!$D$42, IF(Q31=Reference!$C$43, Reference!$D$43, IF(Q31=Reference!$C$44, Reference!$D$44, 0))))</f>
        <v>10</v>
      </c>
      <c r="AE31" s="88">
        <f>1 + (AC31 * AD31)</f>
        <v>156.625</v>
      </c>
    </row>
    <row r="32" spans="1:31" ht="151.9">
      <c r="A32" s="147" t="s">
        <v>319</v>
      </c>
      <c r="B32" s="16" t="s">
        <v>31</v>
      </c>
      <c r="C32" s="16" t="s">
        <v>32</v>
      </c>
      <c r="D32" s="72" t="s">
        <v>320</v>
      </c>
      <c r="E32" s="72" t="s">
        <v>321</v>
      </c>
      <c r="F32" s="16" t="s">
        <v>35</v>
      </c>
      <c r="G32" s="72" t="s">
        <v>322</v>
      </c>
      <c r="H32" s="16" t="s">
        <v>39</v>
      </c>
      <c r="I32" s="72" t="s">
        <v>323</v>
      </c>
      <c r="J32" s="16" t="s">
        <v>39</v>
      </c>
      <c r="K32" s="72" t="s">
        <v>324</v>
      </c>
      <c r="L32" s="77" t="s">
        <v>64</v>
      </c>
      <c r="M32" s="72" t="s">
        <v>325</v>
      </c>
      <c r="N32" s="16" t="s">
        <v>37</v>
      </c>
      <c r="O32" s="72" t="s">
        <v>326</v>
      </c>
      <c r="P32" s="95" t="str">
        <f>IF(AC32&gt;=Reference!$H$2, Reference!$G$2, IF(AC32&gt;=Reference!$H$3, Reference!$G$3, IF(AC32&gt;=Reference!$H$4, Reference!$G$4, IF(AC32&gt;=Reference!$H$5, Reference!$G$5, ""))))</f>
        <v>Major</v>
      </c>
      <c r="Q32" s="95" t="str">
        <f t="shared" si="0"/>
        <v>High</v>
      </c>
      <c r="R32" s="95" t="str">
        <f>IF(AE32&gt;=Reference!$D$2, Reference!$G$2, IF(AE32&gt;=Reference!$D$3, Reference!$E$3, IF(AE32&gt;=Reference!$D$4, Reference!$E$4, IF(AE32&gt;=Reference!$D$5, Reference!$E$5, ""))))</f>
        <v>High</v>
      </c>
      <c r="S32" s="79" t="s">
        <v>43</v>
      </c>
      <c r="T32" s="72" t="s">
        <v>327</v>
      </c>
      <c r="U32" s="77" t="s">
        <v>328</v>
      </c>
      <c r="V32" s="72" t="s">
        <v>329</v>
      </c>
      <c r="W32" s="98" t="s">
        <v>330</v>
      </c>
      <c r="Y32" s="12">
        <f>IF(H32=Reference!$A$12, Reference!$C$12, IF(H32=Reference!$A$11, Reference!$C$11, IF(H32=Reference!$A$10, Reference!$C$10, IF(H32=Reference!$A$9, Reference!$C$9, 0))))</f>
        <v>4</v>
      </c>
      <c r="Z32" s="12">
        <f>IF(J32=Reference!$A$20, Reference!$C$20, IF(J32=Reference!$A$19, Reference!$C$19, IF(J32=Reference!$A$18, Reference!$C$18, IF(J32=Reference!$A$17, Reference!$C$17, 0))))</f>
        <v>4</v>
      </c>
      <c r="AA32" s="12">
        <f>IF(L32=Reference!$A$28, Reference!$C$28, IF(L32=Reference!$A$27, Reference!$C$27, IF(L32=Reference!$A$26, Reference!$C$26, IF(L32=Reference!$A$25, Reference!$C$25, 0))))</f>
        <v>7</v>
      </c>
      <c r="AB32" s="12">
        <f>IF(N32=Reference!$A$36, Reference!$C$36, IF(N32=Reference!$A$35, Reference!$C$35, IF(N32=Reference!$A$34, Reference!$C$34, IF(N32=Reference!$A$33, Reference!$C$33, 0))))</f>
        <v>1</v>
      </c>
      <c r="AC32" s="12">
        <f>(Reference!$B$2*Y32 + Reference!$B$3*AA32 + Reference!$B$4*Z32 + Reference!$B$5 * AB32)/4</f>
        <v>7.3125</v>
      </c>
      <c r="AD32" s="12">
        <f>IF(Q32=Reference!$C$41, Reference!$D$41, IF(Q32=Reference!$C$42, Reference!$D$42, IF(Q32=Reference!$C$43, Reference!$D$43, IF(Q32=Reference!$C$44, Reference!$D$44, 0))))</f>
        <v>10</v>
      </c>
      <c r="AE32" s="87">
        <f t="shared" si="1"/>
        <v>74.125</v>
      </c>
    </row>
    <row r="33" spans="1:31" ht="141.75" customHeight="1">
      <c r="A33" s="147"/>
      <c r="B33" s="16" t="s">
        <v>31</v>
      </c>
      <c r="C33" s="16" t="s">
        <v>32</v>
      </c>
      <c r="D33" s="72" t="s">
        <v>331</v>
      </c>
      <c r="E33" s="72" t="s">
        <v>332</v>
      </c>
      <c r="F33" s="16" t="s">
        <v>35</v>
      </c>
      <c r="G33" s="72" t="s">
        <v>333</v>
      </c>
      <c r="H33" s="16" t="s">
        <v>64</v>
      </c>
      <c r="I33" s="72" t="s">
        <v>334</v>
      </c>
      <c r="J33" s="16" t="s">
        <v>64</v>
      </c>
      <c r="K33" s="72" t="s">
        <v>335</v>
      </c>
      <c r="L33" s="77" t="s">
        <v>119</v>
      </c>
      <c r="M33" s="72" t="s">
        <v>336</v>
      </c>
      <c r="N33" s="16" t="s">
        <v>37</v>
      </c>
      <c r="O33" s="72" t="s">
        <v>337</v>
      </c>
      <c r="P33" s="90" t="str">
        <f>IF(AC33&gt;=Reference!$H$2, Reference!$G$2, IF(AC33&gt;=Reference!$H$3, Reference!$G$3, IF(AC33&gt;=Reference!$H$4, Reference!$G$4, IF(AC33&gt;=Reference!$H$5, Reference!$G$5, ""))))</f>
        <v>Severe</v>
      </c>
      <c r="Q33" s="90" t="str">
        <f>IF(F33="Physical", "Very Low", IF(F33="Local", "Low", IF(F33="Adjacent", "Medium", IF(F33="Network", "High", ""))))</f>
        <v>High</v>
      </c>
      <c r="R33" s="90" t="str">
        <f>IF(AE33&gt;=Reference!$D$2, Reference!$G$2, IF(AE33&gt;=Reference!$D$3, Reference!$E$3, IF(AE33&gt;=Reference!$D$4, Reference!$E$4, IF(AE33&gt;=Reference!$D$5, Reference!$E$5, ""))))</f>
        <v>Severe</v>
      </c>
      <c r="S33" s="79" t="s">
        <v>43</v>
      </c>
      <c r="T33" s="72" t="s">
        <v>338</v>
      </c>
      <c r="U33" s="77" t="s">
        <v>339</v>
      </c>
      <c r="V33" s="73" t="s">
        <v>340</v>
      </c>
      <c r="W33" s="96" t="s">
        <v>341</v>
      </c>
      <c r="Y33" s="12">
        <f>IF(H33=Reference!$A$12, Reference!$C$12, IF(H33=Reference!$A$11, Reference!$C$11, IF(H33=Reference!$A$10, Reference!$C$10, IF(H33=Reference!$A$9, Reference!$C$9, 0))))</f>
        <v>7</v>
      </c>
      <c r="Z33" s="12">
        <f>IF(J33=Reference!$A$20, Reference!$C$20, IF(J33=Reference!$A$19, Reference!$C$19, IF(J33=Reference!$A$18, Reference!$C$18, IF(J33=Reference!$A$17, Reference!$C$17, 0))))</f>
        <v>7</v>
      </c>
      <c r="AA33" s="12">
        <f>IF(L33=Reference!$A$28, Reference!$C$28, IF(L33=Reference!$A$27, Reference!$C$27, IF(L33=Reference!$A$26, Reference!$C$26, IF(L33=Reference!$A$25, Reference!$C$25, 0))))</f>
        <v>10</v>
      </c>
      <c r="AB33" s="12">
        <f>IF(N33=Reference!$A$36, Reference!$C$36, IF(N33=Reference!$A$35, Reference!$C$35, IF(N33=Reference!$A$34, Reference!$C$34, IF(N33=Reference!$A$33, Reference!$C$33, 0))))</f>
        <v>1</v>
      </c>
      <c r="AC33" s="12">
        <f>(Reference!$B$2*Y33 + Reference!$B$3*AA33 + Reference!$B$4*Z33 + Reference!$B$5 * AB33)/4</f>
        <v>12.1875</v>
      </c>
      <c r="AD33" s="12">
        <f>IF(Q33=Reference!$C$41, Reference!$D$41, IF(Q33=Reference!$C$42, Reference!$D$42, IF(Q33=Reference!$C$43, Reference!$D$43, IF(Q33=Reference!$C$44, Reference!$D$44, 0))))</f>
        <v>10</v>
      </c>
      <c r="AE33" s="88">
        <f>1 + (AC33 * AD33)</f>
        <v>122.875</v>
      </c>
    </row>
    <row r="34" spans="1:31" ht="151.9">
      <c r="A34" s="147" t="s">
        <v>342</v>
      </c>
      <c r="B34" s="16" t="s">
        <v>31</v>
      </c>
      <c r="C34" s="16" t="s">
        <v>32</v>
      </c>
      <c r="D34" s="72" t="s">
        <v>343</v>
      </c>
      <c r="E34" s="72" t="s">
        <v>344</v>
      </c>
      <c r="F34" s="16" t="s">
        <v>35</v>
      </c>
      <c r="G34" s="72" t="s">
        <v>345</v>
      </c>
      <c r="H34" s="16" t="s">
        <v>39</v>
      </c>
      <c r="I34" s="72" t="s">
        <v>346</v>
      </c>
      <c r="J34" s="16" t="s">
        <v>39</v>
      </c>
      <c r="K34" s="72" t="s">
        <v>347</v>
      </c>
      <c r="L34" s="16" t="s">
        <v>64</v>
      </c>
      <c r="M34" s="72" t="s">
        <v>348</v>
      </c>
      <c r="N34" s="16" t="s">
        <v>64</v>
      </c>
      <c r="O34" s="72" t="s">
        <v>349</v>
      </c>
      <c r="P34" s="95" t="str">
        <f>IF(AC34&gt;=Reference!$H$2, Reference!$G$2, IF(AC34&gt;=Reference!$H$3, Reference!$G$3, IF(AC34&gt;=Reference!$H$4, Reference!$G$4, IF(AC34&gt;=Reference!$H$5, Reference!$G$5, ""))))</f>
        <v>Major</v>
      </c>
      <c r="Q34" s="95" t="str">
        <f t="shared" si="0"/>
        <v>High</v>
      </c>
      <c r="R34" s="95" t="str">
        <f>IF(AE34&gt;=Reference!$D$2, Reference!$G$2, IF(AE34&gt;=Reference!$D$3, Reference!$E$3, IF(AE34&gt;=Reference!$D$4, Reference!$E$4, IF(AE34&gt;=Reference!$D$5, Reference!$E$5, ""))))</f>
        <v>High</v>
      </c>
      <c r="S34" s="79" t="s">
        <v>43</v>
      </c>
      <c r="T34" s="82" t="s">
        <v>350</v>
      </c>
      <c r="U34" s="77" t="s">
        <v>351</v>
      </c>
      <c r="V34" s="72" t="s">
        <v>352</v>
      </c>
      <c r="W34" s="77" t="s">
        <v>353</v>
      </c>
      <c r="Y34" s="12">
        <f>IF(H34=Reference!$A$12, Reference!$C$12, IF(H34=Reference!$A$11, Reference!$C$11, IF(H34=Reference!$A$10, Reference!$C$10, IF(H34=Reference!$A$9, Reference!$C$9, 0))))</f>
        <v>4</v>
      </c>
      <c r="Z34" s="12">
        <f>IF(J34=Reference!$A$20, Reference!$C$20, IF(J34=Reference!$A$19, Reference!$C$19, IF(J34=Reference!$A$18, Reference!$C$18, IF(J34=Reference!$A$17, Reference!$C$17, 0))))</f>
        <v>4</v>
      </c>
      <c r="AA34" s="12">
        <f>IF(L34=Reference!$A$28, Reference!$C$28, IF(L34=Reference!$A$27, Reference!$C$27, IF(L34=Reference!$A$26, Reference!$C$26, IF(L34=Reference!$A$25, Reference!$C$25, 0))))</f>
        <v>7</v>
      </c>
      <c r="AB34" s="12">
        <f>IF(N34=Reference!$A$36, Reference!$C$36, IF(N34=Reference!$A$35, Reference!$C$35, IF(N34=Reference!$A$34, Reference!$C$34, IF(N34=Reference!$A$33, Reference!$C$33, 0))))</f>
        <v>7</v>
      </c>
      <c r="AC34" s="12">
        <f>(Reference!$B$2*Y34 + Reference!$B$3*AA34 + Reference!$B$4*Z34 + Reference!$B$5 * AB34)/4</f>
        <v>7.6875</v>
      </c>
      <c r="AD34" s="12">
        <f>IF(Q34=Reference!$C$41, Reference!$D$41, IF(Q34=Reference!$C$42, Reference!$D$42, IF(Q34=Reference!$C$43, Reference!$D$43, IF(Q34=Reference!$C$44, Reference!$D$44, 0))))</f>
        <v>10</v>
      </c>
      <c r="AE34" s="87">
        <f t="shared" si="1"/>
        <v>77.875</v>
      </c>
    </row>
    <row r="35" spans="1:31" ht="142.5" customHeight="1">
      <c r="A35" s="147"/>
      <c r="B35" s="16" t="s">
        <v>31</v>
      </c>
      <c r="C35" s="16" t="s">
        <v>32</v>
      </c>
      <c r="D35" s="72" t="s">
        <v>354</v>
      </c>
      <c r="E35" s="72" t="s">
        <v>355</v>
      </c>
      <c r="F35" s="16" t="s">
        <v>35</v>
      </c>
      <c r="G35" s="72" t="s">
        <v>356</v>
      </c>
      <c r="H35" s="16" t="s">
        <v>119</v>
      </c>
      <c r="I35" s="72" t="s">
        <v>357</v>
      </c>
      <c r="J35" s="16" t="s">
        <v>119</v>
      </c>
      <c r="K35" s="72" t="s">
        <v>358</v>
      </c>
      <c r="L35" s="16" t="s">
        <v>119</v>
      </c>
      <c r="M35" s="72" t="s">
        <v>359</v>
      </c>
      <c r="N35" s="16" t="s">
        <v>64</v>
      </c>
      <c r="O35" s="72" t="s">
        <v>349</v>
      </c>
      <c r="P35" s="90" t="str">
        <f>IF(AC35&gt;=Reference!$H$2, Reference!$G$2, IF(AC35&gt;=Reference!$H$3, Reference!$G$3, IF(AC35&gt;=Reference!$H$4, Reference!$G$4, IF(AC35&gt;=Reference!$H$5, Reference!$G$5, ""))))</f>
        <v>Severe</v>
      </c>
      <c r="Q35" s="90" t="str">
        <f>IF(F35="Physical", "Very Low", IF(F35="Local", "Low", IF(F35="Adjacent", "Medium", IF(F35="Network", "High", ""))))</f>
        <v>High</v>
      </c>
      <c r="R35" s="90" t="str">
        <f>IF(AE35&gt;=Reference!$D$2, Reference!$G$2, IF(AE35&gt;=Reference!$D$3, Reference!$E$3, IF(AE35&gt;=Reference!$D$4, Reference!$E$4, IF(AE35&gt;=Reference!$D$5, Reference!$E$5, ""))))</f>
        <v>Severe</v>
      </c>
      <c r="S35" s="79" t="s">
        <v>43</v>
      </c>
      <c r="T35" s="82" t="s">
        <v>350</v>
      </c>
      <c r="U35" s="77" t="s">
        <v>351</v>
      </c>
      <c r="V35" s="72" t="s">
        <v>352</v>
      </c>
      <c r="W35" s="77" t="s">
        <v>353</v>
      </c>
      <c r="Y35" s="12">
        <f>IF(H35=Reference!$A$12, Reference!$C$12, IF(H35=Reference!$A$11, Reference!$C$11, IF(H35=Reference!$A$10, Reference!$C$10, IF(H35=Reference!$A$9, Reference!$C$9, 0))))</f>
        <v>10</v>
      </c>
      <c r="Z35" s="12">
        <f>IF(J35=Reference!$A$20, Reference!$C$20, IF(J35=Reference!$A$19, Reference!$C$19, IF(J35=Reference!$A$18, Reference!$C$18, IF(J35=Reference!$A$17, Reference!$C$17, 0))))</f>
        <v>10</v>
      </c>
      <c r="AA35" s="12">
        <f>IF(L35=Reference!$A$28, Reference!$C$28, IF(L35=Reference!$A$27, Reference!$C$27, IF(L35=Reference!$A$26, Reference!$C$26, IF(L35=Reference!$A$25, Reference!$C$25, 0))))</f>
        <v>10</v>
      </c>
      <c r="AB35" s="12">
        <f>IF(N35=Reference!$A$36, Reference!$C$36, IF(N35=Reference!$A$35, Reference!$C$35, IF(N35=Reference!$A$34, Reference!$C$34, IF(N35=Reference!$A$33, Reference!$C$33, 0))))</f>
        <v>7</v>
      </c>
      <c r="AC35" s="12">
        <f>(Reference!$B$2*Y35 + Reference!$B$3*AA35 + Reference!$B$4*Z35 + Reference!$B$5 * AB35)/4</f>
        <v>16.6875</v>
      </c>
      <c r="AD35" s="12">
        <f>IF(Q35=Reference!$C$41, Reference!$D$41, IF(Q35=Reference!$C$42, Reference!$D$42, IF(Q35=Reference!$C$43, Reference!$D$43, IF(Q35=Reference!$C$44, Reference!$D$44, 0))))</f>
        <v>10</v>
      </c>
      <c r="AE35" s="88">
        <f>1 + (AC35 * AD35)</f>
        <v>167.875</v>
      </c>
    </row>
    <row r="36" spans="1:31" ht="139.15">
      <c r="A36" s="147" t="s">
        <v>360</v>
      </c>
      <c r="B36" s="16" t="s">
        <v>31</v>
      </c>
      <c r="C36" s="16" t="s">
        <v>32</v>
      </c>
      <c r="D36" s="72" t="s">
        <v>361</v>
      </c>
      <c r="E36" s="72" t="s">
        <v>362</v>
      </c>
      <c r="F36" s="16" t="s">
        <v>35</v>
      </c>
      <c r="G36" s="72" t="s">
        <v>363</v>
      </c>
      <c r="H36" s="16" t="s">
        <v>119</v>
      </c>
      <c r="I36" s="72" t="s">
        <v>364</v>
      </c>
      <c r="J36" s="16" t="s">
        <v>119</v>
      </c>
      <c r="K36" s="72" t="s">
        <v>365</v>
      </c>
      <c r="L36" s="16" t="s">
        <v>64</v>
      </c>
      <c r="M36" s="72" t="s">
        <v>366</v>
      </c>
      <c r="N36" s="16" t="s">
        <v>39</v>
      </c>
      <c r="O36" s="72" t="s">
        <v>367</v>
      </c>
      <c r="P36" s="90" t="str">
        <f>IF(AC36&gt;=Reference!$H$2, Reference!$G$2, IF(AC36&gt;=Reference!$H$3, Reference!$G$3, IF(AC36&gt;=Reference!$H$4, Reference!$G$4, IF(AC36&gt;=Reference!$H$5, Reference!$G$5, ""))))</f>
        <v>Severe</v>
      </c>
      <c r="Q36" s="90" t="str">
        <f t="shared" si="0"/>
        <v>High</v>
      </c>
      <c r="R36" s="90" t="str">
        <f>IF(AE36&gt;=Reference!$D$2, Reference!$G$2, IF(AE36&gt;=Reference!$D$3, Reference!$E$3, IF(AE36&gt;=Reference!$D$4, Reference!$E$4, IF(AE36&gt;=Reference!$D$5, Reference!$E$5, ""))))</f>
        <v>Severe</v>
      </c>
      <c r="S36" s="79" t="s">
        <v>43</v>
      </c>
      <c r="T36" s="82" t="s">
        <v>368</v>
      </c>
      <c r="U36" s="77" t="s">
        <v>369</v>
      </c>
      <c r="V36" s="72" t="s">
        <v>370</v>
      </c>
      <c r="W36" s="16" t="s">
        <v>371</v>
      </c>
      <c r="Y36" s="12">
        <f>IF(H36=Reference!$A$12, Reference!$C$12, IF(H36=Reference!$A$11, Reference!$C$11, IF(H36=Reference!$A$10, Reference!$C$10, IF(H36=Reference!$A$9, Reference!$C$9, 0))))</f>
        <v>10</v>
      </c>
      <c r="Z36" s="12">
        <f>IF(J36=Reference!$A$20, Reference!$C$20, IF(J36=Reference!$A$19, Reference!$C$19, IF(J36=Reference!$A$18, Reference!$C$18, IF(J36=Reference!$A$17, Reference!$C$17, 0))))</f>
        <v>10</v>
      </c>
      <c r="AA36" s="12">
        <f>IF(L36=Reference!$A$28, Reference!$C$28, IF(L36=Reference!$A$27, Reference!$C$27, IF(L36=Reference!$A$26, Reference!$C$26, IF(L36=Reference!$A$25, Reference!$C$25, 0))))</f>
        <v>7</v>
      </c>
      <c r="AB36" s="12">
        <f>IF(N36=Reference!$A$36, Reference!$C$36, IF(N36=Reference!$A$35, Reference!$C$35, IF(N36=Reference!$A$34, Reference!$C$34, IF(N36=Reference!$A$33, Reference!$C$33, 0))))</f>
        <v>4</v>
      </c>
      <c r="AC36" s="12">
        <f>(Reference!$B$2*Y36 + Reference!$B$3*AA36 + Reference!$B$4*Z36 + Reference!$B$5 * AB36)/4</f>
        <v>15.75</v>
      </c>
      <c r="AD36" s="12">
        <f>IF(Q36=Reference!$C$41, Reference!$D$41, IF(Q36=Reference!$C$42, Reference!$D$42, IF(Q36=Reference!$C$43, Reference!$D$43, IF(Q36=Reference!$C$44, Reference!$D$44, 0))))</f>
        <v>10</v>
      </c>
      <c r="AE36" s="88">
        <f t="shared" si="1"/>
        <v>158.5</v>
      </c>
    </row>
    <row r="37" spans="1:31" ht="117.75" customHeight="1">
      <c r="A37" s="147"/>
      <c r="B37" s="16" t="s">
        <v>31</v>
      </c>
      <c r="C37" s="16" t="s">
        <v>32</v>
      </c>
      <c r="D37" s="72" t="s">
        <v>372</v>
      </c>
      <c r="E37" s="72" t="s">
        <v>373</v>
      </c>
      <c r="F37" s="16" t="s">
        <v>35</v>
      </c>
      <c r="G37" s="72" t="s">
        <v>374</v>
      </c>
      <c r="H37" s="16" t="s">
        <v>39</v>
      </c>
      <c r="I37" s="72" t="s">
        <v>375</v>
      </c>
      <c r="J37" s="16" t="s">
        <v>39</v>
      </c>
      <c r="K37" s="73" t="s">
        <v>376</v>
      </c>
      <c r="L37" s="16" t="s">
        <v>64</v>
      </c>
      <c r="M37" s="72" t="s">
        <v>377</v>
      </c>
      <c r="N37" s="16" t="s">
        <v>39</v>
      </c>
      <c r="O37" s="72" t="s">
        <v>367</v>
      </c>
      <c r="P37" s="95" t="str">
        <f>IF(AC37&gt;=Reference!$H$2, Reference!$G$2, IF(AC37&gt;=Reference!$H$3, Reference!$G$3, IF(AC37&gt;=Reference!$H$4, Reference!$G$4, IF(AC37&gt;=Reference!$H$5, Reference!$G$5, ""))))</f>
        <v>Major</v>
      </c>
      <c r="Q37" s="95" t="str">
        <f>IF(F37="Physical", "Very Low", IF(F37="Local", "Low", IF(F37="Adjacent", "Medium", IF(F37="Network", "High", ""))))</f>
        <v>High</v>
      </c>
      <c r="R37" s="95" t="str">
        <f>IF(AE37&gt;=Reference!$D$2, Reference!$G$2, IF(AE37&gt;=Reference!$D$3, Reference!$E$3, IF(AE37&gt;=Reference!$D$4, Reference!$E$4, IF(AE37&gt;=Reference!$D$5, Reference!$E$5, ""))))</f>
        <v>High</v>
      </c>
      <c r="S37" s="79" t="s">
        <v>43</v>
      </c>
      <c r="T37" s="82" t="s">
        <v>378</v>
      </c>
      <c r="U37" s="77" t="s">
        <v>379</v>
      </c>
      <c r="V37" s="72" t="s">
        <v>380</v>
      </c>
      <c r="W37" s="77" t="s">
        <v>381</v>
      </c>
      <c r="Y37" s="12">
        <f>IF(H37=Reference!$A$12, Reference!$C$12, IF(H37=Reference!$A$11, Reference!$C$11, IF(H37=Reference!$A$10, Reference!$C$10, IF(H37=Reference!$A$9, Reference!$C$9, 0))))</f>
        <v>4</v>
      </c>
      <c r="Z37" s="12">
        <f>IF(J37=Reference!$A$20, Reference!$C$20, IF(J37=Reference!$A$19, Reference!$C$19, IF(J37=Reference!$A$18, Reference!$C$18, IF(J37=Reference!$A$17, Reference!$C$17, 0))))</f>
        <v>4</v>
      </c>
      <c r="AA37" s="12">
        <f>IF(L37=Reference!$A$28, Reference!$C$28, IF(L37=Reference!$A$27, Reference!$C$27, IF(L37=Reference!$A$26, Reference!$C$26, IF(L37=Reference!$A$25, Reference!$C$25, 0))))</f>
        <v>7</v>
      </c>
      <c r="AB37" s="12">
        <f>IF(N37=Reference!$A$36, Reference!$C$36, IF(N37=Reference!$A$35, Reference!$C$35, IF(N37=Reference!$A$34, Reference!$C$34, IF(N37=Reference!$A$33, Reference!$C$33, 0))))</f>
        <v>4</v>
      </c>
      <c r="AC37" s="12">
        <f>(Reference!$B$2*Y37 + Reference!$B$3*AA37 + Reference!$B$4*Z37 + Reference!$B$5 * AB37)/4</f>
        <v>7.5</v>
      </c>
      <c r="AD37" s="12">
        <f>IF(Q37=Reference!$C$41, Reference!$D$41, IF(Q37=Reference!$C$42, Reference!$D$42, IF(Q37=Reference!$C$43, Reference!$D$43, IF(Q37=Reference!$C$44, Reference!$D$44, 0))))</f>
        <v>10</v>
      </c>
      <c r="AE37" s="87">
        <f>1 + (AC37 * AD37)</f>
        <v>76</v>
      </c>
    </row>
    <row r="38" spans="1:31" ht="105.6">
      <c r="A38" s="147" t="s">
        <v>382</v>
      </c>
      <c r="B38" s="16" t="s">
        <v>31</v>
      </c>
      <c r="C38" s="16" t="s">
        <v>32</v>
      </c>
      <c r="D38" s="72" t="s">
        <v>383</v>
      </c>
      <c r="E38" s="72" t="s">
        <v>384</v>
      </c>
      <c r="F38" s="16" t="s">
        <v>35</v>
      </c>
      <c r="G38" s="72" t="s">
        <v>385</v>
      </c>
      <c r="H38" s="16" t="s">
        <v>64</v>
      </c>
      <c r="I38" s="72" t="s">
        <v>386</v>
      </c>
      <c r="J38" s="16" t="s">
        <v>39</v>
      </c>
      <c r="K38" s="72" t="s">
        <v>387</v>
      </c>
      <c r="L38" s="16" t="s">
        <v>64</v>
      </c>
      <c r="M38" s="72" t="s">
        <v>388</v>
      </c>
      <c r="N38" s="16" t="s">
        <v>39</v>
      </c>
      <c r="O38" s="72" t="s">
        <v>389</v>
      </c>
      <c r="P38" s="90" t="str">
        <f>IF(AC38&gt;=Reference!$H$2, Reference!$G$2, IF(AC38&gt;=Reference!$H$3, Reference!$G$3, IF(AC38&gt;=Reference!$H$4, Reference!$G$4, IF(AC38&gt;=Reference!$H$5, Reference!$G$5, ""))))</f>
        <v>Severe</v>
      </c>
      <c r="Q38" s="90" t="str">
        <f t="shared" si="0"/>
        <v>High</v>
      </c>
      <c r="R38" s="90" t="str">
        <f>IF(AE38&gt;=Reference!$D$2, Reference!$G$2, IF(AE38&gt;=Reference!$D$3, Reference!$E$3, IF(AE38&gt;=Reference!$D$4, Reference!$E$4, IF(AE38&gt;=Reference!$D$5, Reference!$E$5, ""))))</f>
        <v>Severe</v>
      </c>
      <c r="S38" s="79" t="s">
        <v>43</v>
      </c>
      <c r="T38" s="72" t="s">
        <v>390</v>
      </c>
      <c r="U38" s="77" t="s">
        <v>391</v>
      </c>
      <c r="V38" s="72" t="s">
        <v>392</v>
      </c>
      <c r="W38" s="77" t="s">
        <v>393</v>
      </c>
      <c r="Y38" s="12">
        <f>IF(H38=Reference!$A$12, Reference!$C$12, IF(H38=Reference!$A$11, Reference!$C$11, IF(H38=Reference!$A$10, Reference!$C$10, IF(H38=Reference!$A$9, Reference!$C$9, 0))))</f>
        <v>7</v>
      </c>
      <c r="Z38" s="12">
        <f>IF(J38=Reference!$A$20, Reference!$C$20, IF(J38=Reference!$A$19, Reference!$C$19, IF(J38=Reference!$A$18, Reference!$C$18, IF(J38=Reference!$A$17, Reference!$C$17, 0))))</f>
        <v>4</v>
      </c>
      <c r="AA38" s="12">
        <f>IF(L38=Reference!$A$28, Reference!$C$28, IF(L38=Reference!$A$27, Reference!$C$27, IF(L38=Reference!$A$26, Reference!$C$26, IF(L38=Reference!$A$25, Reference!$C$25, 0))))</f>
        <v>7</v>
      </c>
      <c r="AB38" s="12">
        <f>IF(N38=Reference!$A$36, Reference!$C$36, IF(N38=Reference!$A$35, Reference!$C$35, IF(N38=Reference!$A$34, Reference!$C$34, IF(N38=Reference!$A$33, Reference!$C$33, 0))))</f>
        <v>4</v>
      </c>
      <c r="AC38" s="12">
        <f>(Reference!$B$2*Y38 + Reference!$B$3*AA38 + Reference!$B$4*Z38 + Reference!$B$5 * AB38)/4</f>
        <v>11.25</v>
      </c>
      <c r="AD38" s="12">
        <f>IF(Q38=Reference!$C$41, Reference!$D$41, IF(Q38=Reference!$C$42, Reference!$D$42, IF(Q38=Reference!$C$43, Reference!$D$43, IF(Q38=Reference!$C$44, Reference!$D$44, 0))))</f>
        <v>10</v>
      </c>
      <c r="AE38" s="88">
        <f t="shared" si="1"/>
        <v>113.5</v>
      </c>
    </row>
    <row r="39" spans="1:31" ht="122.25" customHeight="1">
      <c r="A39" s="147"/>
      <c r="B39" s="16" t="s">
        <v>31</v>
      </c>
      <c r="C39" s="16" t="s">
        <v>32</v>
      </c>
      <c r="D39" s="72" t="s">
        <v>394</v>
      </c>
      <c r="E39" s="72" t="s">
        <v>395</v>
      </c>
      <c r="F39" s="16" t="s">
        <v>35</v>
      </c>
      <c r="G39" s="72" t="s">
        <v>396</v>
      </c>
      <c r="H39" s="16" t="s">
        <v>119</v>
      </c>
      <c r="I39" s="72" t="s">
        <v>397</v>
      </c>
      <c r="J39" s="16" t="s">
        <v>119</v>
      </c>
      <c r="K39" s="72" t="s">
        <v>398</v>
      </c>
      <c r="L39" s="16" t="s">
        <v>119</v>
      </c>
      <c r="M39" s="72" t="s">
        <v>399</v>
      </c>
      <c r="N39" s="16" t="s">
        <v>119</v>
      </c>
      <c r="O39" s="72" t="s">
        <v>400</v>
      </c>
      <c r="P39" s="90" t="str">
        <f>IF(AC39&gt;=Reference!$H$2, Reference!$G$2, IF(AC39&gt;=Reference!$H$3, Reference!$G$3, IF(AC39&gt;=Reference!$H$4, Reference!$G$4, IF(AC39&gt;=Reference!$H$5, Reference!$G$5, ""))))</f>
        <v>Severe</v>
      </c>
      <c r="Q39" s="90" t="str">
        <f>IF(F39="Physical", "Very Low", IF(F39="Local", "Low", IF(F39="Adjacent", "Medium", IF(F39="Network", "High", ""))))</f>
        <v>High</v>
      </c>
      <c r="R39" s="90" t="str">
        <f>IF(AE39&gt;=Reference!$D$2, Reference!$G$2, IF(AE39&gt;=Reference!$D$3, Reference!$E$3, IF(AE39&gt;=Reference!$D$4, Reference!$E$4, IF(AE39&gt;=Reference!$D$5, Reference!$E$5, ""))))</f>
        <v>Severe</v>
      </c>
      <c r="S39" s="79" t="s">
        <v>43</v>
      </c>
      <c r="T39" s="72" t="s">
        <v>401</v>
      </c>
      <c r="U39" s="77" t="s">
        <v>402</v>
      </c>
      <c r="V39" s="72" t="s">
        <v>403</v>
      </c>
      <c r="W39" s="77" t="s">
        <v>404</v>
      </c>
      <c r="Y39" s="12">
        <f>IF(H39=Reference!$A$12, Reference!$C$12, IF(H39=Reference!$A$11, Reference!$C$11, IF(H39=Reference!$A$10, Reference!$C$10, IF(H39=Reference!$A$9, Reference!$C$9, 0))))</f>
        <v>10</v>
      </c>
      <c r="Z39" s="12">
        <f>IF(J39=Reference!$A$20, Reference!$C$20, IF(J39=Reference!$A$19, Reference!$C$19, IF(J39=Reference!$A$18, Reference!$C$18, IF(J39=Reference!$A$17, Reference!$C$17, 0))))</f>
        <v>10</v>
      </c>
      <c r="AA39" s="12">
        <f>IF(L39=Reference!$A$28, Reference!$C$28, IF(L39=Reference!$A$27, Reference!$C$27, IF(L39=Reference!$A$26, Reference!$C$26, IF(L39=Reference!$A$25, Reference!$C$25, 0))))</f>
        <v>10</v>
      </c>
      <c r="AB39" s="12">
        <f>IF(N39=Reference!$A$36, Reference!$C$36, IF(N39=Reference!$A$35, Reference!$C$35, IF(N39=Reference!$A$34, Reference!$C$34, IF(N39=Reference!$A$33, Reference!$C$33, 0))))</f>
        <v>10</v>
      </c>
      <c r="AC39" s="12">
        <f>(Reference!$B$2*Y39 + Reference!$B$3*AA39 + Reference!$B$4*Z39 + Reference!$B$5 * AB39)/4</f>
        <v>16.875</v>
      </c>
      <c r="AD39" s="12">
        <f>IF(Q39=Reference!$C$41, Reference!$D$41, IF(Q39=Reference!$C$42, Reference!$D$42, IF(Q39=Reference!$C$43, Reference!$D$43, IF(Q39=Reference!$C$44, Reference!$D$44, 0))))</f>
        <v>10</v>
      </c>
      <c r="AE39" s="88">
        <f>1 + (AC39 * AD39)</f>
        <v>169.75</v>
      </c>
    </row>
    <row r="40" spans="1:31" ht="118.9">
      <c r="A40" s="147" t="s">
        <v>405</v>
      </c>
      <c r="B40" s="16" t="s">
        <v>31</v>
      </c>
      <c r="C40" s="16" t="s">
        <v>32</v>
      </c>
      <c r="D40" s="72" t="s">
        <v>406</v>
      </c>
      <c r="E40" s="72" t="s">
        <v>407</v>
      </c>
      <c r="F40" s="16" t="s">
        <v>35</v>
      </c>
      <c r="G40" s="72" t="s">
        <v>408</v>
      </c>
      <c r="H40" s="16" t="s">
        <v>64</v>
      </c>
      <c r="I40" s="72" t="s">
        <v>409</v>
      </c>
      <c r="J40" s="16" t="s">
        <v>39</v>
      </c>
      <c r="K40" s="72" t="s">
        <v>410</v>
      </c>
      <c r="L40" s="16" t="s">
        <v>39</v>
      </c>
      <c r="M40" s="72" t="s">
        <v>411</v>
      </c>
      <c r="N40" s="16" t="s">
        <v>39</v>
      </c>
      <c r="O40" s="72" t="s">
        <v>412</v>
      </c>
      <c r="P40" s="90" t="str">
        <f>IF(AC40&gt;=Reference!$H$2, Reference!$G$2, IF(AC40&gt;=Reference!$H$3, Reference!$G$3, IF(AC40&gt;=Reference!$H$4, Reference!$G$4, IF(AC40&gt;=Reference!$H$5, Reference!$G$5, ""))))</f>
        <v>Severe</v>
      </c>
      <c r="Q40" s="90" t="str">
        <f t="shared" si="0"/>
        <v>High</v>
      </c>
      <c r="R40" s="90" t="str">
        <f>IF(AE40&gt;=Reference!$D$2, Reference!$G$2, IF(AE40&gt;=Reference!$D$3, Reference!$E$3, IF(AE40&gt;=Reference!$D$4, Reference!$E$4, IF(AE40&gt;=Reference!$D$5, Reference!$E$5, ""))))</f>
        <v>Severe</v>
      </c>
      <c r="S40" s="79" t="s">
        <v>43</v>
      </c>
      <c r="T40" s="72" t="s">
        <v>413</v>
      </c>
      <c r="U40" s="72" t="s">
        <v>414</v>
      </c>
      <c r="V40" s="72" t="s">
        <v>415</v>
      </c>
      <c r="W40" s="77" t="s">
        <v>416</v>
      </c>
      <c r="Y40" s="12">
        <f>IF(H40=Reference!$A$12, Reference!$C$12, IF(H40=Reference!$A$11, Reference!$C$11, IF(H40=Reference!$A$10, Reference!$C$10, IF(H40=Reference!$A$9, Reference!$C$9, 0))))</f>
        <v>7</v>
      </c>
      <c r="Z40" s="12">
        <f>IF(J40=Reference!$A$20, Reference!$C$20, IF(J40=Reference!$A$19, Reference!$C$19, IF(J40=Reference!$A$18, Reference!$C$18, IF(J40=Reference!$A$17, Reference!$C$17, 0))))</f>
        <v>4</v>
      </c>
      <c r="AA40" s="12">
        <f>IF(L40=Reference!$A$28, Reference!$C$28, IF(L40=Reference!$A$27, Reference!$C$27, IF(L40=Reference!$A$26, Reference!$C$26, IF(L40=Reference!$A$25, Reference!$C$25, 0))))</f>
        <v>4</v>
      </c>
      <c r="AB40" s="12">
        <f>IF(N40=Reference!$A$36, Reference!$C$36, IF(N40=Reference!$A$35, Reference!$C$35, IF(N40=Reference!$A$34, Reference!$C$34, IF(N40=Reference!$A$33, Reference!$C$33, 0))))</f>
        <v>4</v>
      </c>
      <c r="AC40" s="12">
        <f>(Reference!$B$2*Y40 + Reference!$B$3*AA40 + Reference!$B$4*Z40 + Reference!$B$5 * AB40)/4</f>
        <v>10.5</v>
      </c>
      <c r="AD40" s="12">
        <f>IF(Q40=Reference!$C$41, Reference!$D$41, IF(Q40=Reference!$C$42, Reference!$D$42, IF(Q40=Reference!$C$43, Reference!$D$43, IF(Q40=Reference!$C$44, Reference!$D$44, 0))))</f>
        <v>10</v>
      </c>
      <c r="AE40" s="88">
        <f t="shared" si="1"/>
        <v>106</v>
      </c>
    </row>
    <row r="41" spans="1:31" ht="107.25" customHeight="1">
      <c r="A41" s="147"/>
      <c r="B41" s="16" t="s">
        <v>31</v>
      </c>
      <c r="C41" s="16" t="s">
        <v>32</v>
      </c>
      <c r="D41" s="72" t="s">
        <v>417</v>
      </c>
      <c r="E41" s="72" t="s">
        <v>418</v>
      </c>
      <c r="F41" s="16" t="s">
        <v>35</v>
      </c>
      <c r="G41" s="72" t="s">
        <v>419</v>
      </c>
      <c r="H41" s="16" t="s">
        <v>119</v>
      </c>
      <c r="I41" s="72" t="s">
        <v>420</v>
      </c>
      <c r="J41" s="16" t="s">
        <v>64</v>
      </c>
      <c r="K41" s="72" t="s">
        <v>421</v>
      </c>
      <c r="L41" s="16" t="s">
        <v>64</v>
      </c>
      <c r="M41" s="72" t="s">
        <v>422</v>
      </c>
      <c r="N41" s="16" t="s">
        <v>64</v>
      </c>
      <c r="O41" s="72" t="s">
        <v>423</v>
      </c>
      <c r="P41" s="90" t="str">
        <f>IF(AC41&gt;=Reference!$H$2, Reference!$G$2, IF(AC41&gt;=Reference!$H$3, Reference!$G$3, IF(AC41&gt;=Reference!$H$4, Reference!$G$4, IF(AC41&gt;=Reference!$H$5, Reference!$G$5, ""))))</f>
        <v>Severe</v>
      </c>
      <c r="Q41" s="90" t="str">
        <f>IF(F41="Physical", "Very Low", IF(F41="Local", "Low", IF(F41="Adjacent", "Medium", IF(F41="Network", "High", ""))))</f>
        <v>High</v>
      </c>
      <c r="R41" s="90" t="str">
        <f>IF(AE41&gt;=Reference!$D$2, Reference!$G$2, IF(AE41&gt;=Reference!$D$3, Reference!$E$3, IF(AE41&gt;=Reference!$D$4, Reference!$E$4, IF(AE41&gt;=Reference!$D$5, Reference!$E$5, ""))))</f>
        <v>Severe</v>
      </c>
      <c r="S41" s="79" t="s">
        <v>43</v>
      </c>
      <c r="T41" s="72" t="s">
        <v>413</v>
      </c>
      <c r="U41" s="72" t="s">
        <v>414</v>
      </c>
      <c r="V41" s="72" t="s">
        <v>415</v>
      </c>
      <c r="W41" s="77" t="s">
        <v>416</v>
      </c>
      <c r="Y41" s="12">
        <f>IF(H41=Reference!$A$12, Reference!$C$12, IF(H41=Reference!$A$11, Reference!$C$11, IF(H41=Reference!$A$10, Reference!$C$10, IF(H41=Reference!$A$9, Reference!$C$9, 0))))</f>
        <v>10</v>
      </c>
      <c r="Z41" s="12">
        <f>IF(J41=Reference!$A$20, Reference!$C$20, IF(J41=Reference!$A$19, Reference!$C$19, IF(J41=Reference!$A$18, Reference!$C$18, IF(J41=Reference!$A$17, Reference!$C$17, 0))))</f>
        <v>7</v>
      </c>
      <c r="AA41" s="12">
        <f>IF(L41=Reference!$A$28, Reference!$C$28, IF(L41=Reference!$A$27, Reference!$C$27, IF(L41=Reference!$A$26, Reference!$C$26, IF(L41=Reference!$A$25, Reference!$C$25, 0))))</f>
        <v>7</v>
      </c>
      <c r="AB41" s="12">
        <f>IF(N41=Reference!$A$36, Reference!$C$36, IF(N41=Reference!$A$35, Reference!$C$35, IF(N41=Reference!$A$34, Reference!$C$34, IF(N41=Reference!$A$33, Reference!$C$33, 0))))</f>
        <v>7</v>
      </c>
      <c r="AC41" s="12">
        <f>(Reference!$B$2*Y41 + Reference!$B$3*AA41 + Reference!$B$4*Z41 + Reference!$B$5 * AB41)/4</f>
        <v>15.5625</v>
      </c>
      <c r="AD41" s="12">
        <f>IF(Q41=Reference!$C$41, Reference!$D$41, IF(Q41=Reference!$C$42, Reference!$D$42, IF(Q41=Reference!$C$43, Reference!$D$43, IF(Q41=Reference!$C$44, Reference!$D$44, 0))))</f>
        <v>10</v>
      </c>
      <c r="AE41" s="88">
        <f>1 + (AC41 * AD41)</f>
        <v>156.625</v>
      </c>
    </row>
    <row r="42" spans="1:31" ht="118.9">
      <c r="A42" s="148"/>
      <c r="B42" s="16" t="s">
        <v>31</v>
      </c>
      <c r="C42" s="16" t="s">
        <v>32</v>
      </c>
      <c r="D42" s="24" t="s">
        <v>424</v>
      </c>
      <c r="E42" s="24" t="s">
        <v>425</v>
      </c>
      <c r="F42" s="16" t="s">
        <v>35</v>
      </c>
      <c r="G42" s="16" t="s">
        <v>426</v>
      </c>
      <c r="H42" s="16" t="s">
        <v>64</v>
      </c>
      <c r="I42" s="16" t="s">
        <v>427</v>
      </c>
      <c r="J42" s="16" t="s">
        <v>39</v>
      </c>
      <c r="K42" s="16" t="s">
        <v>428</v>
      </c>
      <c r="L42" s="16" t="s">
        <v>39</v>
      </c>
      <c r="M42" s="16" t="s">
        <v>429</v>
      </c>
      <c r="N42" s="16" t="s">
        <v>39</v>
      </c>
      <c r="O42" s="16" t="s">
        <v>430</v>
      </c>
      <c r="P42" s="90" t="str">
        <f>IF(AC42&gt;=Reference!$H$2, Reference!$G$2, IF(AC42&gt;=Reference!$H$3, Reference!$G$3, IF(AC42&gt;=Reference!$H$4, Reference!$G$4, IF(AC42&gt;=Reference!$H$5, Reference!$G$5, ""))))</f>
        <v>Severe</v>
      </c>
      <c r="Q42" s="90" t="str">
        <f t="shared" si="0"/>
        <v>High</v>
      </c>
      <c r="R42" s="90" t="str">
        <f>IF(AE42&gt;=Reference!$D$2, Reference!$G$2, IF(AE42&gt;=Reference!$D$3, Reference!$E$3, IF(AE42&gt;=Reference!$D$4, Reference!$E$4, IF(AE42&gt;=Reference!$D$5, Reference!$E$5, ""))))</f>
        <v>Severe</v>
      </c>
      <c r="S42" s="79" t="s">
        <v>43</v>
      </c>
      <c r="T42" s="72" t="s">
        <v>413</v>
      </c>
      <c r="U42" s="72" t="s">
        <v>414</v>
      </c>
      <c r="V42" s="72" t="s">
        <v>415</v>
      </c>
      <c r="W42" s="77" t="s">
        <v>416</v>
      </c>
      <c r="Y42" s="12">
        <f>IF(H42=Reference!$A$12, Reference!$C$12, IF(H42=Reference!$A$11, Reference!$C$11, IF(H42=Reference!$A$10, Reference!$C$10, IF(H42=Reference!$A$9, Reference!$C$9, 0))))</f>
        <v>7</v>
      </c>
      <c r="Z42" s="12">
        <f>IF(J42=Reference!$A$20, Reference!$C$20, IF(J42=Reference!$A$19, Reference!$C$19, IF(J42=Reference!$A$18, Reference!$C$18, IF(J42=Reference!$A$17, Reference!$C$17, 0))))</f>
        <v>4</v>
      </c>
      <c r="AA42" s="12">
        <f>IF(L42=Reference!$A$28, Reference!$C$28, IF(L42=Reference!$A$27, Reference!$C$27, IF(L42=Reference!$A$26, Reference!$C$26, IF(L42=Reference!$A$25, Reference!$C$25, 0))))</f>
        <v>4</v>
      </c>
      <c r="AB42" s="12">
        <f>IF(N42=Reference!$A$36, Reference!$C$36, IF(N42=Reference!$A$35, Reference!$C$35, IF(N42=Reference!$A$34, Reference!$C$34, IF(N42=Reference!$A$33, Reference!$C$33, 0))))</f>
        <v>4</v>
      </c>
      <c r="AC42" s="12">
        <f>(Reference!$B$2*Y42 + Reference!$B$3*AA42 + Reference!$B$4*Z42 + Reference!$B$5 * AB42)/4</f>
        <v>10.5</v>
      </c>
      <c r="AD42" s="12">
        <f>IF(Q42=Reference!$C$41, Reference!$D$41, IF(Q42=Reference!$C$42, Reference!$D$42, IF(Q42=Reference!$C$43, Reference!$D$43, IF(Q42=Reference!$C$44, Reference!$D$44, 0))))</f>
        <v>10</v>
      </c>
      <c r="AE42" s="88">
        <f t="shared" si="1"/>
        <v>106</v>
      </c>
    </row>
    <row r="43" spans="1:31" ht="88.9">
      <c r="A43" s="128" t="s">
        <v>431</v>
      </c>
      <c r="B43" s="16" t="s">
        <v>31</v>
      </c>
      <c r="C43" s="16" t="s">
        <v>32</v>
      </c>
      <c r="D43" s="24" t="s">
        <v>432</v>
      </c>
      <c r="E43" s="24" t="s">
        <v>433</v>
      </c>
      <c r="F43" s="16" t="s">
        <v>35</v>
      </c>
      <c r="G43" s="16" t="s">
        <v>434</v>
      </c>
      <c r="H43" s="16" t="s">
        <v>39</v>
      </c>
      <c r="I43" s="16" t="s">
        <v>435</v>
      </c>
      <c r="J43" s="16" t="s">
        <v>39</v>
      </c>
      <c r="K43" s="16" t="s">
        <v>436</v>
      </c>
      <c r="L43" s="16" t="s">
        <v>39</v>
      </c>
      <c r="M43" s="16" t="s">
        <v>437</v>
      </c>
      <c r="N43" s="16" t="s">
        <v>39</v>
      </c>
      <c r="O43" s="16" t="s">
        <v>438</v>
      </c>
      <c r="P43" s="95" t="str">
        <f>IF(AC43&gt;=Reference!$H$2, Reference!$G$2, IF(AC43&gt;=Reference!$H$3, Reference!$G$3, IF(AC43&gt;=Reference!$H$4, Reference!$G$4, IF(AC43&gt;=Reference!$H$5, Reference!$G$5, ""))))</f>
        <v>Major</v>
      </c>
      <c r="Q43" s="95" t="str">
        <f t="shared" si="0"/>
        <v>High</v>
      </c>
      <c r="R43" s="95" t="str">
        <f>IF(AE43&gt;=Reference!$D$2, Reference!$G$2, IF(AE43&gt;=Reference!$D$3, Reference!$E$3, IF(AE43&gt;=Reference!$D$4, Reference!$E$4, IF(AE43&gt;=Reference!$D$5, Reference!$E$5, ""))))</f>
        <v>High</v>
      </c>
      <c r="S43" s="79" t="s">
        <v>43</v>
      </c>
      <c r="T43" s="23" t="s">
        <v>439</v>
      </c>
      <c r="U43" s="16" t="s">
        <v>440</v>
      </c>
      <c r="V43" s="16" t="s">
        <v>441</v>
      </c>
      <c r="W43" s="16" t="s">
        <v>442</v>
      </c>
      <c r="Y43" s="12">
        <f>IF(H43=Reference!$A$12, Reference!$C$12, IF(H43=Reference!$A$11, Reference!$C$11, IF(H43=Reference!$A$10, Reference!$C$10, IF(H43=Reference!$A$9, Reference!$C$9, 0))))</f>
        <v>4</v>
      </c>
      <c r="Z43" s="12">
        <f>IF(J43=Reference!$A$20, Reference!$C$20, IF(J43=Reference!$A$19, Reference!$C$19, IF(J43=Reference!$A$18, Reference!$C$18, IF(J43=Reference!$A$17, Reference!$C$17, 0))))</f>
        <v>4</v>
      </c>
      <c r="AA43" s="12">
        <f>IF(L43=Reference!$A$28, Reference!$C$28, IF(L43=Reference!$A$27, Reference!$C$27, IF(L43=Reference!$A$26, Reference!$C$26, IF(L43=Reference!$A$25, Reference!$C$25, 0))))</f>
        <v>4</v>
      </c>
      <c r="AB43" s="12">
        <f>IF(N43=Reference!$A$36, Reference!$C$36, IF(N43=Reference!$A$35, Reference!$C$35, IF(N43=Reference!$A$34, Reference!$C$34, IF(N43=Reference!$A$33, Reference!$C$33, 0))))</f>
        <v>4</v>
      </c>
      <c r="AC43" s="12">
        <f>(Reference!$B$2*Y43 + Reference!$B$3*AA43 + Reference!$B$4*Z43 + Reference!$B$5 * AB43)/4</f>
        <v>6.75</v>
      </c>
      <c r="AD43" s="12">
        <f>IF(Q43=Reference!$C$41, Reference!$D$41, IF(Q43=Reference!$C$42, Reference!$D$42, IF(Q43=Reference!$C$43, Reference!$D$43, IF(Q43=Reference!$C$44, Reference!$D$44, 0))))</f>
        <v>10</v>
      </c>
      <c r="AE43" s="108">
        <f t="shared" si="1"/>
        <v>68.5</v>
      </c>
    </row>
    <row r="44" spans="1:31" ht="101.45">
      <c r="A44" s="135"/>
      <c r="B44" s="16" t="s">
        <v>31</v>
      </c>
      <c r="C44" s="16" t="s">
        <v>32</v>
      </c>
      <c r="D44" s="24" t="s">
        <v>443</v>
      </c>
      <c r="E44" s="24" t="s">
        <v>444</v>
      </c>
      <c r="F44" s="16" t="s">
        <v>35</v>
      </c>
      <c r="G44" s="16" t="s">
        <v>445</v>
      </c>
      <c r="H44" s="16" t="s">
        <v>64</v>
      </c>
      <c r="I44" s="16" t="s">
        <v>446</v>
      </c>
      <c r="J44" s="16" t="s">
        <v>64</v>
      </c>
      <c r="K44" s="16" t="s">
        <v>447</v>
      </c>
      <c r="L44" s="16" t="s">
        <v>64</v>
      </c>
      <c r="M44" s="16" t="s">
        <v>448</v>
      </c>
      <c r="N44" s="16" t="s">
        <v>39</v>
      </c>
      <c r="O44" s="16" t="s">
        <v>449</v>
      </c>
      <c r="P44" s="90" t="str">
        <f>IF(AC44&gt;=Reference!$H$2, Reference!$G$2, IF(AC44&gt;=Reference!$H$3, Reference!$G$3, IF(AC44&gt;=Reference!$H$4, Reference!$G$4, IF(AC44&gt;=Reference!$H$5, Reference!$G$5, ""))))</f>
        <v>Severe</v>
      </c>
      <c r="Q44" s="90" t="str">
        <f t="shared" si="0"/>
        <v>High</v>
      </c>
      <c r="R44" s="90" t="str">
        <f>IF(AE44&gt;=Reference!$D$2, Reference!$G$2, IF(AE44&gt;=Reference!$D$3, Reference!$E$3, IF(AE44&gt;=Reference!$D$4, Reference!$E$4, IF(AE44&gt;=Reference!$D$5, Reference!$E$5, ""))))</f>
        <v>Severe</v>
      </c>
      <c r="S44" s="79" t="s">
        <v>43</v>
      </c>
      <c r="T44" s="83" t="s">
        <v>450</v>
      </c>
      <c r="U44" s="16" t="s">
        <v>451</v>
      </c>
      <c r="V44" s="16" t="s">
        <v>452</v>
      </c>
      <c r="W44" s="16" t="s">
        <v>442</v>
      </c>
      <c r="Y44" s="12">
        <f>IF(H44=Reference!$A$12, Reference!$C$12, IF(H44=Reference!$A$11, Reference!$C$11, IF(H44=Reference!$A$10, Reference!$C$10, IF(H44=Reference!$A$9, Reference!$C$9, 0))))</f>
        <v>7</v>
      </c>
      <c r="Z44" s="12">
        <f>IF(J44=Reference!$A$20, Reference!$C$20, IF(J44=Reference!$A$19, Reference!$C$19, IF(J44=Reference!$A$18, Reference!$C$18, IF(J44=Reference!$A$17, Reference!$C$17, 0))))</f>
        <v>7</v>
      </c>
      <c r="AA44" s="12">
        <f>IF(L44=Reference!$A$28, Reference!$C$28, IF(L44=Reference!$A$27, Reference!$C$27, IF(L44=Reference!$A$26, Reference!$C$26, IF(L44=Reference!$A$25, Reference!$C$25, 0))))</f>
        <v>7</v>
      </c>
      <c r="AB44" s="12">
        <f>IF(N44=Reference!$A$36, Reference!$C$36, IF(N44=Reference!$A$35, Reference!$C$35, IF(N44=Reference!$A$34, Reference!$C$34, IF(N44=Reference!$A$33, Reference!$C$33, 0))))</f>
        <v>4</v>
      </c>
      <c r="AC44" s="12">
        <f>(Reference!$B$2*Y44 + Reference!$B$3*AA44 + Reference!$B$4*Z44 + Reference!$B$5 * AB44)/4</f>
        <v>11.625</v>
      </c>
      <c r="AD44" s="12">
        <f>IF(Q44=Reference!$C$41, Reference!$D$41, IF(Q44=Reference!$C$42, Reference!$D$42, IF(Q44=Reference!$C$43, Reference!$D$43, IF(Q44=Reference!$C$44, Reference!$D$44, 0))))</f>
        <v>10</v>
      </c>
      <c r="AE44" s="88">
        <f t="shared" si="1"/>
        <v>117.25</v>
      </c>
    </row>
    <row r="45" spans="1:31" ht="101.45">
      <c r="A45" s="136"/>
      <c r="B45" s="16" t="s">
        <v>31</v>
      </c>
      <c r="C45" s="16" t="s">
        <v>32</v>
      </c>
      <c r="D45" s="24" t="s">
        <v>453</v>
      </c>
      <c r="E45" s="24" t="s">
        <v>454</v>
      </c>
      <c r="F45" s="16" t="s">
        <v>35</v>
      </c>
      <c r="G45" s="16" t="s">
        <v>455</v>
      </c>
      <c r="H45" s="16" t="s">
        <v>119</v>
      </c>
      <c r="I45" s="16" t="s">
        <v>456</v>
      </c>
      <c r="J45" s="16" t="s">
        <v>64</v>
      </c>
      <c r="K45" s="16" t="s">
        <v>457</v>
      </c>
      <c r="L45" s="16" t="s">
        <v>64</v>
      </c>
      <c r="M45" s="16" t="s">
        <v>458</v>
      </c>
      <c r="N45" s="16" t="s">
        <v>64</v>
      </c>
      <c r="O45" s="16" t="s">
        <v>459</v>
      </c>
      <c r="P45" s="90" t="str">
        <f>IF(AC45&gt;=Reference!$H$2, Reference!$G$2, IF(AC45&gt;=Reference!$H$3, Reference!$G$3, IF(AC45&gt;=Reference!$H$4, Reference!$G$4, IF(AC45&gt;=Reference!$H$5, Reference!$G$5, ""))))</f>
        <v>Severe</v>
      </c>
      <c r="Q45" s="90" t="str">
        <f t="shared" si="0"/>
        <v>High</v>
      </c>
      <c r="R45" s="90" t="str">
        <f>IF(AE45&gt;=Reference!$D$2, Reference!$G$2, IF(AE45&gt;=Reference!$D$3, Reference!$E$3, IF(AE45&gt;=Reference!$D$4, Reference!$E$4, IF(AE45&gt;=Reference!$D$5, Reference!$E$5, ""))))</f>
        <v>Severe</v>
      </c>
      <c r="S45" s="79" t="s">
        <v>43</v>
      </c>
      <c r="T45" s="23" t="s">
        <v>460</v>
      </c>
      <c r="U45" s="16" t="s">
        <v>461</v>
      </c>
      <c r="V45" s="15" t="s">
        <v>462</v>
      </c>
      <c r="W45" s="16" t="s">
        <v>463</v>
      </c>
      <c r="Y45" s="12">
        <f>IF(H45=Reference!$A$12, Reference!$C$12, IF(H45=Reference!$A$11, Reference!$C$11, IF(H45=Reference!$A$10, Reference!$C$10, IF(H45=Reference!$A$9, Reference!$C$9, 0))))</f>
        <v>10</v>
      </c>
      <c r="Z45" s="12">
        <f>IF(J45=Reference!$A$20, Reference!$C$20, IF(J45=Reference!$A$19, Reference!$C$19, IF(J45=Reference!$A$18, Reference!$C$18, IF(J45=Reference!$A$17, Reference!$C$17, 0))))</f>
        <v>7</v>
      </c>
      <c r="AA45" s="12">
        <f>IF(L45=Reference!$A$28, Reference!$C$28, IF(L45=Reference!$A$27, Reference!$C$27, IF(L45=Reference!$A$26, Reference!$C$26, IF(L45=Reference!$A$25, Reference!$C$25, 0))))</f>
        <v>7</v>
      </c>
      <c r="AB45" s="12">
        <f>IF(N45=Reference!$A$36, Reference!$C$36, IF(N45=Reference!$A$35, Reference!$C$35, IF(N45=Reference!$A$34, Reference!$C$34, IF(N45=Reference!$A$33, Reference!$C$33, 0))))</f>
        <v>7</v>
      </c>
      <c r="AC45" s="12">
        <f>(Reference!$B$2*Y45 + Reference!$B$3*AA45 + Reference!$B$4*Z45 + Reference!$B$5 * AB45)/4</f>
        <v>15.5625</v>
      </c>
      <c r="AD45" s="12">
        <f>IF(Q45=Reference!$C$41, Reference!$D$41, IF(Q45=Reference!$C$42, Reference!$D$42, IF(Q45=Reference!$C$43, Reference!$D$43, IF(Q45=Reference!$C$44, Reference!$D$44, 0))))</f>
        <v>10</v>
      </c>
      <c r="AE45" s="88">
        <f t="shared" si="1"/>
        <v>156.625</v>
      </c>
    </row>
    <row r="46" spans="1:31" ht="139.15">
      <c r="A46" s="128" t="s">
        <v>464</v>
      </c>
      <c r="B46" s="16" t="s">
        <v>31</v>
      </c>
      <c r="C46" s="16" t="s">
        <v>32</v>
      </c>
      <c r="D46" s="78" t="s">
        <v>465</v>
      </c>
      <c r="E46" s="75" t="s">
        <v>466</v>
      </c>
      <c r="F46" s="16" t="s">
        <v>35</v>
      </c>
      <c r="G46" s="77" t="s">
        <v>467</v>
      </c>
      <c r="H46" s="16" t="s">
        <v>64</v>
      </c>
      <c r="I46" s="77" t="s">
        <v>468</v>
      </c>
      <c r="J46" s="16" t="s">
        <v>64</v>
      </c>
      <c r="K46" s="77" t="s">
        <v>469</v>
      </c>
      <c r="L46" s="16" t="s">
        <v>64</v>
      </c>
      <c r="M46" s="77" t="s">
        <v>470</v>
      </c>
      <c r="N46" s="16" t="s">
        <v>39</v>
      </c>
      <c r="O46" s="77" t="s">
        <v>471</v>
      </c>
      <c r="P46" s="90" t="str">
        <f>IF(AC46&gt;=Reference!$H$2, Reference!$G$2, IF(AC46&gt;=Reference!$H$3, Reference!$G$3, IF(AC46&gt;=Reference!$H$4, Reference!$G$4, IF(AC46&gt;=Reference!$H$5, Reference!$G$5, ""))))</f>
        <v>Severe</v>
      </c>
      <c r="Q46" s="90" t="str">
        <f t="shared" si="0"/>
        <v>High</v>
      </c>
      <c r="R46" s="90" t="str">
        <f>IF(AE46&gt;=Reference!$D$2, Reference!$G$2, IF(AE46&gt;=Reference!$D$3, Reference!$E$3, IF(AE46&gt;=Reference!$D$4, Reference!$E$4, IF(AE46&gt;=Reference!$D$5, Reference!$E$5, ""))))</f>
        <v>Severe</v>
      </c>
      <c r="S46" s="79" t="s">
        <v>43</v>
      </c>
      <c r="T46" s="82" t="s">
        <v>472</v>
      </c>
      <c r="U46" s="77" t="s">
        <v>473</v>
      </c>
      <c r="V46" s="77" t="s">
        <v>474</v>
      </c>
      <c r="W46" s="77" t="s">
        <v>475</v>
      </c>
      <c r="Y46" s="12">
        <f>IF(H46=Reference!$A$12, Reference!$C$12, IF(H46=Reference!$A$11, Reference!$C$11, IF(H46=Reference!$A$10, Reference!$C$10, IF(H46=Reference!$A$9, Reference!$C$9, 0))))</f>
        <v>7</v>
      </c>
      <c r="Z46" s="12">
        <f>IF(J46=Reference!$A$20, Reference!$C$20, IF(J46=Reference!$A$19, Reference!$C$19, IF(J46=Reference!$A$18, Reference!$C$18, IF(J46=Reference!$A$17, Reference!$C$17, 0))))</f>
        <v>7</v>
      </c>
      <c r="AA46" s="12">
        <f>IF(L46=Reference!$A$28, Reference!$C$28, IF(L46=Reference!$A$27, Reference!$C$27, IF(L46=Reference!$A$26, Reference!$C$26, IF(L46=Reference!$A$25, Reference!$C$25, 0))))</f>
        <v>7</v>
      </c>
      <c r="AB46" s="12">
        <f>IF(N46=Reference!$A$36, Reference!$C$36, IF(N46=Reference!$A$35, Reference!$C$35, IF(N46=Reference!$A$34, Reference!$C$34, IF(N46=Reference!$A$33, Reference!$C$33, 0))))</f>
        <v>4</v>
      </c>
      <c r="AC46" s="12">
        <f>(Reference!$B$2*Y46 + Reference!$B$3*AA46 + Reference!$B$4*Z46 + Reference!$B$5 * AB46)/4</f>
        <v>11.625</v>
      </c>
      <c r="AD46" s="12">
        <f>IF(Q46=Reference!$C$41, Reference!$D$41, IF(Q46=Reference!$C$42, Reference!$D$42, IF(Q46=Reference!$C$43, Reference!$D$43, IF(Q46=Reference!$C$44, Reference!$D$44, 0))))</f>
        <v>10</v>
      </c>
      <c r="AE46" s="88">
        <f t="shared" si="1"/>
        <v>117.25</v>
      </c>
    </row>
    <row r="47" spans="1:31" ht="127.5" customHeight="1">
      <c r="A47" s="135"/>
      <c r="B47" s="16" t="s">
        <v>47</v>
      </c>
      <c r="C47" s="16" t="s">
        <v>32</v>
      </c>
      <c r="D47" s="78" t="s">
        <v>476</v>
      </c>
      <c r="E47" s="72" t="s">
        <v>477</v>
      </c>
      <c r="F47" s="16" t="s">
        <v>35</v>
      </c>
      <c r="G47" s="77" t="s">
        <v>478</v>
      </c>
      <c r="H47" s="16" t="s">
        <v>64</v>
      </c>
      <c r="I47" s="77" t="s">
        <v>479</v>
      </c>
      <c r="J47" s="16" t="s">
        <v>64</v>
      </c>
      <c r="K47" s="77" t="s">
        <v>480</v>
      </c>
      <c r="L47" s="16" t="s">
        <v>64</v>
      </c>
      <c r="M47" s="77" t="s">
        <v>481</v>
      </c>
      <c r="N47" s="16" t="s">
        <v>39</v>
      </c>
      <c r="O47" s="77" t="s">
        <v>482</v>
      </c>
      <c r="P47" s="90" t="str">
        <f>IF(AC47&gt;=Reference!$H$2, Reference!$G$2, IF(AC47&gt;=Reference!$H$3, Reference!$G$3, IF(AC47&gt;=Reference!$H$4, Reference!$G$4, IF(AC47&gt;=Reference!$H$5, Reference!$G$5, ""))))</f>
        <v>Severe</v>
      </c>
      <c r="Q47" s="90" t="str">
        <f t="shared" si="0"/>
        <v>High</v>
      </c>
      <c r="R47" s="90" t="str">
        <f>IF(AE47&gt;=Reference!$D$2, Reference!$G$2, IF(AE47&gt;=Reference!$D$3, Reference!$E$3, IF(AE47&gt;=Reference!$D$4, Reference!$E$4, IF(AE47&gt;=Reference!$D$5, Reference!$E$5, ""))))</f>
        <v>Severe</v>
      </c>
      <c r="S47" s="79" t="s">
        <v>43</v>
      </c>
      <c r="T47" s="82" t="s">
        <v>483</v>
      </c>
      <c r="U47" s="77" t="s">
        <v>484</v>
      </c>
      <c r="V47" s="82" t="s">
        <v>485</v>
      </c>
      <c r="W47" s="77" t="s">
        <v>475</v>
      </c>
      <c r="Y47" s="12">
        <f>IF(H47=Reference!$A$12, Reference!$C$12, IF(H47=Reference!$A$11, Reference!$C$11, IF(H47=Reference!$A$10, Reference!$C$10, IF(H47=Reference!$A$9, Reference!$C$9, 0))))</f>
        <v>7</v>
      </c>
      <c r="Z47" s="12">
        <f>IF(J47=Reference!$A$20, Reference!$C$20, IF(J47=Reference!$A$19, Reference!$C$19, IF(J47=Reference!$A$18, Reference!$C$18, IF(J47=Reference!$A$17, Reference!$C$17, 0))))</f>
        <v>7</v>
      </c>
      <c r="AA47" s="12">
        <f>IF(L47=Reference!$A$28, Reference!$C$28, IF(L47=Reference!$A$27, Reference!$C$27, IF(L47=Reference!$A$26, Reference!$C$26, IF(L47=Reference!$A$25, Reference!$C$25, 0))))</f>
        <v>7</v>
      </c>
      <c r="AB47" s="12">
        <f>IF(N47=Reference!$A$36, Reference!$C$36, IF(N47=Reference!$A$35, Reference!$C$35, IF(N47=Reference!$A$34, Reference!$C$34, IF(N47=Reference!$A$33, Reference!$C$33, 0))))</f>
        <v>4</v>
      </c>
      <c r="AC47" s="12">
        <f>(Reference!$B$2*Y47 + Reference!$B$3*AA47 + Reference!$B$4*Z47 + Reference!$B$5 * AB47)/4</f>
        <v>11.625</v>
      </c>
      <c r="AD47" s="12">
        <f>IF(Q47=Reference!$C$41, Reference!$D$41, IF(Q47=Reference!$C$42, Reference!$D$42, IF(Q47=Reference!$C$43, Reference!$D$43, IF(Q47=Reference!$C$44, Reference!$D$44, 0))))</f>
        <v>10</v>
      </c>
      <c r="AE47" s="88">
        <f t="shared" si="1"/>
        <v>117.25</v>
      </c>
    </row>
    <row r="48" spans="1:31" ht="151.9">
      <c r="A48" s="136"/>
      <c r="B48" s="16" t="s">
        <v>31</v>
      </c>
      <c r="C48" s="16" t="s">
        <v>32</v>
      </c>
      <c r="D48" s="78" t="s">
        <v>476</v>
      </c>
      <c r="E48" s="72" t="s">
        <v>477</v>
      </c>
      <c r="F48" s="16" t="s">
        <v>35</v>
      </c>
      <c r="G48" s="77" t="s">
        <v>478</v>
      </c>
      <c r="H48" s="16" t="s">
        <v>64</v>
      </c>
      <c r="I48" s="77" t="s">
        <v>479</v>
      </c>
      <c r="J48" s="16" t="s">
        <v>64</v>
      </c>
      <c r="K48" s="77" t="s">
        <v>480</v>
      </c>
      <c r="L48" s="16" t="s">
        <v>64</v>
      </c>
      <c r="M48" s="77" t="s">
        <v>481</v>
      </c>
      <c r="N48" s="16" t="s">
        <v>39</v>
      </c>
      <c r="O48" s="77" t="s">
        <v>482</v>
      </c>
      <c r="P48" s="90" t="str">
        <f>IF(AC48&gt;=Reference!$H$2, Reference!$G$2, IF(AC48&gt;=Reference!$H$3, Reference!$G$3, IF(AC48&gt;=Reference!$H$4, Reference!$G$4, IF(AC48&gt;=Reference!$H$5, Reference!$G$5, ""))))</f>
        <v>Severe</v>
      </c>
      <c r="Q48" s="90" t="str">
        <f t="shared" ref="Q48" si="18">IF(F48="Physical", "Very Low", IF(F48="Local", "Low", IF(F48="Adjacent", "Medium", IF(F48="Network", "High", ""))))</f>
        <v>High</v>
      </c>
      <c r="R48" s="90" t="str">
        <f>IF(AE48&gt;=Reference!$D$2, Reference!$G$2, IF(AE48&gt;=Reference!$D$3, Reference!$E$3, IF(AE48&gt;=Reference!$D$4, Reference!$E$4, IF(AE48&gt;=Reference!$D$5, Reference!$E$5, ""))))</f>
        <v>Severe</v>
      </c>
      <c r="S48" s="79" t="s">
        <v>43</v>
      </c>
      <c r="T48" s="82" t="s">
        <v>483</v>
      </c>
      <c r="U48" s="77" t="s">
        <v>484</v>
      </c>
      <c r="V48" s="82" t="s">
        <v>485</v>
      </c>
      <c r="W48" s="77" t="s">
        <v>475</v>
      </c>
      <c r="Y48" s="12">
        <f>IF(H48=Reference!$A$12, Reference!$C$12, IF(H48=Reference!$A$11, Reference!$C$11, IF(H48=Reference!$A$10, Reference!$C$10, IF(H48=Reference!$A$9, Reference!$C$9, 0))))</f>
        <v>7</v>
      </c>
      <c r="Z48" s="12">
        <f>IF(J48=Reference!$A$20, Reference!$C$20, IF(J48=Reference!$A$19, Reference!$C$19, IF(J48=Reference!$A$18, Reference!$C$18, IF(J48=Reference!$A$17, Reference!$C$17, 0))))</f>
        <v>7</v>
      </c>
      <c r="AA48" s="12">
        <f>IF(L48=Reference!$A$28, Reference!$C$28, IF(L48=Reference!$A$27, Reference!$C$27, IF(L48=Reference!$A$26, Reference!$C$26, IF(L48=Reference!$A$25, Reference!$C$25, 0))))</f>
        <v>7</v>
      </c>
      <c r="AB48" s="12">
        <f>IF(N48=Reference!$A$36, Reference!$C$36, IF(N48=Reference!$A$35, Reference!$C$35, IF(N48=Reference!$A$34, Reference!$C$34, IF(N48=Reference!$A$33, Reference!$C$33, 0))))</f>
        <v>4</v>
      </c>
      <c r="AC48" s="12">
        <f>(Reference!$B$2*Y48 + Reference!$B$3*AA48 + Reference!$B$4*Z48 + Reference!$B$5 * AB48)/4</f>
        <v>11.625</v>
      </c>
      <c r="AD48" s="12">
        <f>IF(Q48=Reference!$C$41, Reference!$D$41, IF(Q48=Reference!$C$42, Reference!$D$42, IF(Q48=Reference!$C$43, Reference!$D$43, IF(Q48=Reference!$C$44, Reference!$D$44, 0))))</f>
        <v>10</v>
      </c>
      <c r="AE48" s="88">
        <f t="shared" si="1"/>
        <v>117.25</v>
      </c>
    </row>
    <row r="49" spans="1:31" ht="139.15">
      <c r="A49" s="128" t="s">
        <v>486</v>
      </c>
      <c r="B49" s="16" t="s">
        <v>31</v>
      </c>
      <c r="C49" s="16" t="s">
        <v>32</v>
      </c>
      <c r="D49" s="78" t="s">
        <v>487</v>
      </c>
      <c r="E49" s="78" t="s">
        <v>488</v>
      </c>
      <c r="F49" s="16" t="s">
        <v>35</v>
      </c>
      <c r="G49" s="77" t="s">
        <v>489</v>
      </c>
      <c r="H49" s="16" t="s">
        <v>64</v>
      </c>
      <c r="I49" s="92" t="s">
        <v>490</v>
      </c>
      <c r="J49" s="16" t="s">
        <v>64</v>
      </c>
      <c r="K49" s="77" t="s">
        <v>491</v>
      </c>
      <c r="L49" s="16" t="s">
        <v>64</v>
      </c>
      <c r="M49" s="77" t="s">
        <v>492</v>
      </c>
      <c r="N49" s="16" t="s">
        <v>39</v>
      </c>
      <c r="O49" s="77" t="s">
        <v>493</v>
      </c>
      <c r="P49" s="90" t="str">
        <f>IF(AC49&gt;=Reference!$H$2, Reference!$G$2, IF(AC49&gt;=Reference!$H$3, Reference!$G$3, IF(AC49&gt;=Reference!$H$4, Reference!$G$4, IF(AC49&gt;=Reference!$H$5, Reference!$G$5, ""))))</f>
        <v>Severe</v>
      </c>
      <c r="Q49" s="90" t="str">
        <f t="shared" si="0"/>
        <v>High</v>
      </c>
      <c r="R49" s="90" t="str">
        <f>IF(AE49&gt;=Reference!$D$2, Reference!$G$2, IF(AE49&gt;=Reference!$D$3, Reference!$E$3, IF(AE49&gt;=Reference!$D$4, Reference!$E$4, IF(AE49&gt;=Reference!$D$5, Reference!$E$5, ""))))</f>
        <v>Severe</v>
      </c>
      <c r="S49" s="79" t="s">
        <v>43</v>
      </c>
      <c r="T49" s="82" t="s">
        <v>494</v>
      </c>
      <c r="U49" s="77" t="s">
        <v>495</v>
      </c>
      <c r="V49" s="82" t="s">
        <v>496</v>
      </c>
      <c r="W49" s="77" t="s">
        <v>497</v>
      </c>
      <c r="Y49" s="12">
        <f>IF(H49=Reference!$A$12, Reference!$C$12, IF(H49=Reference!$A$11, Reference!$C$11, IF(H49=Reference!$A$10, Reference!$C$10, IF(H49=Reference!$A$9, Reference!$C$9, 0))))</f>
        <v>7</v>
      </c>
      <c r="Z49" s="12">
        <f>IF(J49=Reference!$A$20, Reference!$C$20, IF(J49=Reference!$A$19, Reference!$C$19, IF(J49=Reference!$A$18, Reference!$C$18, IF(J49=Reference!$A$17, Reference!$C$17, 0))))</f>
        <v>7</v>
      </c>
      <c r="AA49" s="12">
        <f>IF(L49=Reference!$A$28, Reference!$C$28, IF(L49=Reference!$A$27, Reference!$C$27, IF(L49=Reference!$A$26, Reference!$C$26, IF(L49=Reference!$A$25, Reference!$C$25, 0))))</f>
        <v>7</v>
      </c>
      <c r="AB49" s="12">
        <f>IF(N49=Reference!$A$36, Reference!$C$36, IF(N49=Reference!$A$35, Reference!$C$35, IF(N49=Reference!$A$34, Reference!$C$34, IF(N49=Reference!$A$33, Reference!$C$33, 0))))</f>
        <v>4</v>
      </c>
      <c r="AC49" s="12">
        <f>(Reference!$B$2*Y49 + Reference!$B$3*AA49 + Reference!$B$4*Z49 + Reference!$B$5 * AB49)/4</f>
        <v>11.625</v>
      </c>
      <c r="AD49" s="12">
        <f>IF(Q49=Reference!$C$41, Reference!$D$41, IF(Q49=Reference!$C$42, Reference!$D$42, IF(Q49=Reference!$C$43, Reference!$D$43, IF(Q49=Reference!$C$44, Reference!$D$44, 0))))</f>
        <v>10</v>
      </c>
      <c r="AE49" s="88">
        <f t="shared" si="1"/>
        <v>117.25</v>
      </c>
    </row>
    <row r="50" spans="1:31" ht="151.9">
      <c r="A50" s="136"/>
      <c r="B50" s="16" t="s">
        <v>47</v>
      </c>
      <c r="C50" s="16" t="s">
        <v>32</v>
      </c>
      <c r="D50" s="78" t="s">
        <v>498</v>
      </c>
      <c r="E50" s="78" t="s">
        <v>499</v>
      </c>
      <c r="F50" s="16" t="s">
        <v>35</v>
      </c>
      <c r="G50" s="77" t="s">
        <v>500</v>
      </c>
      <c r="H50" s="79" t="s">
        <v>64</v>
      </c>
      <c r="I50" s="104" t="s">
        <v>501</v>
      </c>
      <c r="J50" s="16" t="s">
        <v>64</v>
      </c>
      <c r="K50" s="77" t="s">
        <v>502</v>
      </c>
      <c r="L50" s="16" t="s">
        <v>64</v>
      </c>
      <c r="M50" s="77" t="s">
        <v>503</v>
      </c>
      <c r="N50" s="16" t="s">
        <v>39</v>
      </c>
      <c r="O50" s="77" t="s">
        <v>504</v>
      </c>
      <c r="P50" s="90" t="str">
        <f>IF(AC50&gt;=Reference!$H$2, Reference!$G$2, IF(AC50&gt;=Reference!$H$3, Reference!$G$3, IF(AC50&gt;=Reference!$H$4, Reference!$G$4, IF(AC50&gt;=Reference!$H$5, Reference!$G$5, ""))))</f>
        <v>Severe</v>
      </c>
      <c r="Q50" s="90" t="str">
        <f t="shared" si="0"/>
        <v>High</v>
      </c>
      <c r="R50" s="90" t="str">
        <f>IF(AE50&gt;=Reference!$D$2, Reference!$G$2, IF(AE50&gt;=Reference!$D$3, Reference!$E$3, IF(AE50&gt;=Reference!$D$4, Reference!$E$4, IF(AE50&gt;=Reference!$D$5, Reference!$E$5, ""))))</f>
        <v>Severe</v>
      </c>
      <c r="S50" s="79" t="s">
        <v>43</v>
      </c>
      <c r="T50" s="103" t="s">
        <v>505</v>
      </c>
      <c r="U50" s="77" t="s">
        <v>506</v>
      </c>
      <c r="V50" s="72" t="s">
        <v>507</v>
      </c>
      <c r="W50" s="77" t="s">
        <v>497</v>
      </c>
      <c r="Y50" s="12">
        <f>IF(H50=Reference!$A$12, Reference!$C$12, IF(H50=Reference!$A$11, Reference!$C$11, IF(H50=Reference!$A$10, Reference!$C$10, IF(H50=Reference!$A$9, Reference!$C$9, 0))))</f>
        <v>7</v>
      </c>
      <c r="Z50" s="12">
        <f>IF(J50=Reference!$A$20, Reference!$C$20, IF(J50=Reference!$A$19, Reference!$C$19, IF(J50=Reference!$A$18, Reference!$C$18, IF(J50=Reference!$A$17, Reference!$C$17, 0))))</f>
        <v>7</v>
      </c>
      <c r="AA50" s="12">
        <f>IF(L50=Reference!$A$28, Reference!$C$28, IF(L50=Reference!$A$27, Reference!$C$27, IF(L50=Reference!$A$26, Reference!$C$26, IF(L50=Reference!$A$25, Reference!$C$25, 0))))</f>
        <v>7</v>
      </c>
      <c r="AB50" s="12">
        <f>IF(N50=Reference!$A$36, Reference!$C$36, IF(N50=Reference!$A$35, Reference!$C$35, IF(N50=Reference!$A$34, Reference!$C$34, IF(N50=Reference!$A$33, Reference!$C$33, 0))))</f>
        <v>4</v>
      </c>
      <c r="AC50" s="12">
        <f>(Reference!$B$2*Y50 + Reference!$B$3*AA50 + Reference!$B$4*Z50 + Reference!$B$5 * AB50)/4</f>
        <v>11.625</v>
      </c>
      <c r="AD50" s="12">
        <f>IF(Q50=Reference!$C$41, Reference!$D$41, IF(Q50=Reference!$C$42, Reference!$D$42, IF(Q50=Reference!$C$43, Reference!$D$43, IF(Q50=Reference!$C$44, Reference!$D$44, 0))))</f>
        <v>10</v>
      </c>
      <c r="AE50" s="88">
        <f t="shared" si="1"/>
        <v>117.25</v>
      </c>
    </row>
    <row r="51" spans="1:31" ht="114">
      <c r="A51" s="128" t="s">
        <v>508</v>
      </c>
      <c r="B51" s="16" t="s">
        <v>31</v>
      </c>
      <c r="C51" s="16" t="s">
        <v>32</v>
      </c>
      <c r="D51" s="78" t="s">
        <v>509</v>
      </c>
      <c r="E51" s="105" t="s">
        <v>510</v>
      </c>
      <c r="F51" s="16" t="s">
        <v>35</v>
      </c>
      <c r="G51" s="77" t="s">
        <v>511</v>
      </c>
      <c r="H51" s="16" t="s">
        <v>64</v>
      </c>
      <c r="I51" s="77" t="s">
        <v>512</v>
      </c>
      <c r="J51" s="16" t="s">
        <v>64</v>
      </c>
      <c r="K51" s="106" t="s">
        <v>513</v>
      </c>
      <c r="L51" s="16" t="s">
        <v>64</v>
      </c>
      <c r="M51" s="72" t="s">
        <v>514</v>
      </c>
      <c r="N51" s="16" t="s">
        <v>39</v>
      </c>
      <c r="O51" s="77" t="s">
        <v>515</v>
      </c>
      <c r="P51" s="90" t="str">
        <f>IF(AC51&gt;=Reference!$H$2, Reference!$G$2, IF(AC51&gt;=Reference!$H$3, Reference!$G$3, IF(AC51&gt;=Reference!$H$4, Reference!$G$4, IF(AC51&gt;=Reference!$H$5, Reference!$G$5, ""))))</f>
        <v>Severe</v>
      </c>
      <c r="Q51" s="90" t="str">
        <f t="shared" si="0"/>
        <v>High</v>
      </c>
      <c r="R51" s="90" t="str">
        <f>IF(AE51&gt;=Reference!$D$2, Reference!$G$2, IF(AE51&gt;=Reference!$D$3, Reference!$E$3, IF(AE51&gt;=Reference!$D$4, Reference!$E$4, IF(AE51&gt;=Reference!$D$5, Reference!$E$5, ""))))</f>
        <v>Severe</v>
      </c>
      <c r="S51" s="79" t="s">
        <v>43</v>
      </c>
      <c r="T51" s="82" t="s">
        <v>516</v>
      </c>
      <c r="U51" s="77" t="s">
        <v>517</v>
      </c>
      <c r="V51" s="77" t="s">
        <v>518</v>
      </c>
      <c r="W51" s="77" t="s">
        <v>497</v>
      </c>
      <c r="Y51" s="12">
        <f>IF(H51=Reference!$A$12, Reference!$C$12, IF(H51=Reference!$A$11, Reference!$C$11, IF(H51=Reference!$A$10, Reference!$C$10, IF(H51=Reference!$A$9, Reference!$C$9, 0))))</f>
        <v>7</v>
      </c>
      <c r="Z51" s="12">
        <f>IF(J51=Reference!$A$20, Reference!$C$20, IF(J51=Reference!$A$19, Reference!$C$19, IF(J51=Reference!$A$18, Reference!$C$18, IF(J51=Reference!$A$17, Reference!$C$17, 0))))</f>
        <v>7</v>
      </c>
      <c r="AA51" s="12">
        <f>IF(L51=Reference!$A$28, Reference!$C$28, IF(L51=Reference!$A$27, Reference!$C$27, IF(L51=Reference!$A$26, Reference!$C$26, IF(L51=Reference!$A$25, Reference!$C$25, 0))))</f>
        <v>7</v>
      </c>
      <c r="AB51" s="12">
        <f>IF(N51=Reference!$A$36, Reference!$C$36, IF(N51=Reference!$A$35, Reference!$C$35, IF(N51=Reference!$A$34, Reference!$C$34, IF(N51=Reference!$A$33, Reference!$C$33, 0))))</f>
        <v>4</v>
      </c>
      <c r="AC51" s="12">
        <f>(Reference!$B$2*Y51 + Reference!$B$3*AA51 + Reference!$B$4*Z51 + Reference!$B$5 * AB51)/4</f>
        <v>11.625</v>
      </c>
      <c r="AD51" s="12">
        <f>IF(Q51=Reference!$C$41, Reference!$D$41, IF(Q51=Reference!$C$42, Reference!$D$42, IF(Q51=Reference!$C$43, Reference!$D$43, IF(Q51=Reference!$C$44, Reference!$D$44, 0))))</f>
        <v>10</v>
      </c>
      <c r="AE51" s="88">
        <f t="shared" si="1"/>
        <v>117.25</v>
      </c>
    </row>
    <row r="52" spans="1:31" ht="126.6">
      <c r="A52" s="136"/>
      <c r="B52" s="16" t="s">
        <v>47</v>
      </c>
      <c r="C52" s="16" t="s">
        <v>32</v>
      </c>
      <c r="D52" s="78" t="s">
        <v>519</v>
      </c>
      <c r="E52" s="78" t="s">
        <v>520</v>
      </c>
      <c r="F52" s="16" t="s">
        <v>35</v>
      </c>
      <c r="G52" s="77" t="s">
        <v>521</v>
      </c>
      <c r="H52" s="16" t="s">
        <v>39</v>
      </c>
      <c r="I52" s="77" t="s">
        <v>522</v>
      </c>
      <c r="J52" s="16" t="s">
        <v>39</v>
      </c>
      <c r="K52" s="77" t="s">
        <v>523</v>
      </c>
      <c r="L52" s="16" t="s">
        <v>64</v>
      </c>
      <c r="M52" s="77" t="s">
        <v>524</v>
      </c>
      <c r="N52" s="16" t="s">
        <v>39</v>
      </c>
      <c r="O52" s="77" t="s">
        <v>525</v>
      </c>
      <c r="P52" s="95" t="str">
        <f>IF(AC52&gt;=Reference!$H$2, Reference!$G$2, IF(AC52&gt;=Reference!$H$3, Reference!$G$3, IF(AC52&gt;=Reference!$H$4, Reference!$G$4, IF(AC52&gt;=Reference!$H$5, Reference!$G$5, ""))))</f>
        <v>Major</v>
      </c>
      <c r="Q52" s="95" t="str">
        <f t="shared" si="0"/>
        <v>High</v>
      </c>
      <c r="R52" s="95" t="str">
        <f>IF(AE52&gt;=Reference!$D$2, Reference!$G$2, IF(AE52&gt;=Reference!$D$3, Reference!$E$3, IF(AE52&gt;=Reference!$D$4, Reference!$E$4, IF(AE52&gt;=Reference!$D$5, Reference!$E$5, ""))))</f>
        <v>High</v>
      </c>
      <c r="S52" s="79" t="s">
        <v>43</v>
      </c>
      <c r="T52" s="103" t="s">
        <v>526</v>
      </c>
      <c r="U52" s="77" t="s">
        <v>527</v>
      </c>
      <c r="V52" s="77" t="s">
        <v>528</v>
      </c>
      <c r="W52" s="77" t="s">
        <v>497</v>
      </c>
      <c r="Y52" s="12">
        <f>IF(H52=Reference!$A$12, Reference!$C$12, IF(H52=Reference!$A$11, Reference!$C$11, IF(H52=Reference!$A$10, Reference!$C$10, IF(H52=Reference!$A$9, Reference!$C$9, 0))))</f>
        <v>4</v>
      </c>
      <c r="Z52" s="12">
        <f>IF(J52=Reference!$A$20, Reference!$C$20, IF(J52=Reference!$A$19, Reference!$C$19, IF(J52=Reference!$A$18, Reference!$C$18, IF(J52=Reference!$A$17, Reference!$C$17, 0))))</f>
        <v>4</v>
      </c>
      <c r="AA52" s="12">
        <f>IF(L52=Reference!$A$28, Reference!$C$28, IF(L52=Reference!$A$27, Reference!$C$27, IF(L52=Reference!$A$26, Reference!$C$26, IF(L52=Reference!$A$25, Reference!$C$25, 0))))</f>
        <v>7</v>
      </c>
      <c r="AB52" s="12">
        <f>IF(N52=Reference!$A$36, Reference!$C$36, IF(N52=Reference!$A$35, Reference!$C$35, IF(N52=Reference!$A$34, Reference!$C$34, IF(N52=Reference!$A$33, Reference!$C$33, 0))))</f>
        <v>4</v>
      </c>
      <c r="AC52" s="12">
        <f>(Reference!$B$2*Y52 + Reference!$B$3*AA52 + Reference!$B$4*Z52 + Reference!$B$5 * AB52)/4</f>
        <v>7.5</v>
      </c>
      <c r="AD52" s="12">
        <f>IF(Q52=Reference!$C$41, Reference!$D$41, IF(Q52=Reference!$C$42, Reference!$D$42, IF(Q52=Reference!$C$43, Reference!$D$43, IF(Q52=Reference!$C$44, Reference!$D$44, 0))))</f>
        <v>10</v>
      </c>
      <c r="AE52" s="108">
        <f t="shared" si="1"/>
        <v>76</v>
      </c>
    </row>
    <row r="53" spans="1:31" ht="88.9">
      <c r="A53" s="138" t="s">
        <v>529</v>
      </c>
      <c r="B53" s="16" t="s">
        <v>31</v>
      </c>
      <c r="C53" s="16" t="s">
        <v>32</v>
      </c>
      <c r="D53" s="110" t="s">
        <v>530</v>
      </c>
      <c r="E53" s="78" t="s">
        <v>531</v>
      </c>
      <c r="F53" s="16" t="s">
        <v>35</v>
      </c>
      <c r="G53" s="77" t="s">
        <v>532</v>
      </c>
      <c r="H53" s="16" t="s">
        <v>64</v>
      </c>
      <c r="I53" s="112" t="s">
        <v>533</v>
      </c>
      <c r="J53" s="16" t="s">
        <v>64</v>
      </c>
      <c r="K53" s="77" t="s">
        <v>534</v>
      </c>
      <c r="L53" s="16" t="s">
        <v>64</v>
      </c>
      <c r="M53" s="77" t="s">
        <v>535</v>
      </c>
      <c r="N53" s="16" t="s">
        <v>37</v>
      </c>
      <c r="O53" s="77" t="s">
        <v>536</v>
      </c>
      <c r="P53" s="90" t="str">
        <f>IF(AC53&gt;=Reference!$H$2, Reference!$G$2, IF(AC53&gt;=Reference!$H$3, Reference!$G$3, IF(AC53&gt;=Reference!$H$4, Reference!$G$4, IF(AC53&gt;=Reference!$H$5, Reference!$G$5, ""))))</f>
        <v>Severe</v>
      </c>
      <c r="Q53" s="90" t="str">
        <f t="shared" si="0"/>
        <v>High</v>
      </c>
      <c r="R53" s="90" t="str">
        <f>IF(AE53&gt;=Reference!$D$2, Reference!$G$2, IF(AE53&gt;=Reference!$D$3, Reference!$E$3, IF(AE53&gt;=Reference!$D$4, Reference!$E$4, IF(AE53&gt;=Reference!$D$5, Reference!$E$5, ""))))</f>
        <v>Severe</v>
      </c>
      <c r="S53" s="79" t="s">
        <v>43</v>
      </c>
      <c r="T53" s="77" t="s">
        <v>537</v>
      </c>
      <c r="U53" s="77" t="s">
        <v>538</v>
      </c>
      <c r="V53" s="112" t="s">
        <v>539</v>
      </c>
      <c r="W53" s="77" t="s">
        <v>540</v>
      </c>
      <c r="Y53" s="12">
        <f>IF(H53=Reference!$A$12, Reference!$C$12, IF(H53=Reference!$A$11, Reference!$C$11, IF(H53=Reference!$A$10, Reference!$C$10, IF(H53=Reference!$A$9, Reference!$C$9, 0))))</f>
        <v>7</v>
      </c>
      <c r="Z53" s="12">
        <f>IF(J53=Reference!$A$20, Reference!$C$20, IF(J53=Reference!$A$19, Reference!$C$19, IF(J53=Reference!$A$18, Reference!$C$18, IF(J53=Reference!$A$17, Reference!$C$17, 0))))</f>
        <v>7</v>
      </c>
      <c r="AA53" s="12">
        <f>IF(L53=Reference!$A$28, Reference!$C$28, IF(L53=Reference!$A$27, Reference!$C$27, IF(L53=Reference!$A$26, Reference!$C$26, IF(L53=Reference!$A$25, Reference!$C$25, 0))))</f>
        <v>7</v>
      </c>
      <c r="AB53" s="12">
        <f>IF(N53=Reference!$A$36, Reference!$C$36, IF(N53=Reference!$A$35, Reference!$C$35, IF(N53=Reference!$A$34, Reference!$C$34, IF(N53=Reference!$A$33, Reference!$C$33, 0))))</f>
        <v>1</v>
      </c>
      <c r="AC53" s="12">
        <f>(Reference!$B$2*Y53 + Reference!$B$3*AA53 + Reference!$B$4*Z53 + Reference!$B$5 * AB53)/4</f>
        <v>11.4375</v>
      </c>
      <c r="AD53" s="12">
        <f>IF(Q53=Reference!$C$41, Reference!$D$41, IF(Q53=Reference!$C$42, Reference!$D$42, IF(Q53=Reference!$C$43, Reference!$D$43, IF(Q53=Reference!$C$44, Reference!$D$44, 0))))</f>
        <v>10</v>
      </c>
      <c r="AE53" s="88">
        <f t="shared" si="1"/>
        <v>115.375</v>
      </c>
    </row>
    <row r="54" spans="1:31" ht="76.150000000000006">
      <c r="A54" s="139"/>
      <c r="B54" s="16" t="s">
        <v>31</v>
      </c>
      <c r="C54" s="16" t="s">
        <v>32</v>
      </c>
      <c r="D54" s="78" t="s">
        <v>541</v>
      </c>
      <c r="E54" s="78" t="s">
        <v>542</v>
      </c>
      <c r="F54" s="16" t="s">
        <v>35</v>
      </c>
      <c r="G54" s="77" t="s">
        <v>543</v>
      </c>
      <c r="H54" s="16" t="s">
        <v>39</v>
      </c>
      <c r="I54" s="77" t="s">
        <v>544</v>
      </c>
      <c r="J54" s="16" t="s">
        <v>39</v>
      </c>
      <c r="K54" s="77" t="s">
        <v>545</v>
      </c>
      <c r="L54" s="16" t="s">
        <v>64</v>
      </c>
      <c r="M54" s="77" t="s">
        <v>546</v>
      </c>
      <c r="N54" s="16" t="s">
        <v>37</v>
      </c>
      <c r="O54" s="77" t="s">
        <v>547</v>
      </c>
      <c r="P54" s="95" t="str">
        <f>IF(AC54&gt;=Reference!$H$2, Reference!$G$2, IF(AC54&gt;=Reference!$H$3, Reference!$G$3, IF(AC54&gt;=Reference!$H$4, Reference!$G$4, IF(AC54&gt;=Reference!$H$5, Reference!$G$5, ""))))</f>
        <v>Major</v>
      </c>
      <c r="Q54" s="95" t="str">
        <f t="shared" si="0"/>
        <v>High</v>
      </c>
      <c r="R54" s="95" t="str">
        <f>IF(AE54&gt;=Reference!$D$2, Reference!$G$2, IF(AE54&gt;=Reference!$D$3, Reference!$E$3, IF(AE54&gt;=Reference!$D$4, Reference!$E$4, IF(AE54&gt;=Reference!$D$5, Reference!$E$5, ""))))</f>
        <v>High</v>
      </c>
      <c r="S54" s="79" t="s">
        <v>43</v>
      </c>
      <c r="T54" s="82" t="s">
        <v>548</v>
      </c>
      <c r="U54" s="77" t="s">
        <v>549</v>
      </c>
      <c r="V54" s="77" t="s">
        <v>550</v>
      </c>
      <c r="W54" s="77" t="s">
        <v>551</v>
      </c>
      <c r="Y54" s="12">
        <f>IF(H54=Reference!$A$12, Reference!$C$12, IF(H54=Reference!$A$11, Reference!$C$11, IF(H54=Reference!$A$10, Reference!$C$10, IF(H54=Reference!$A$9, Reference!$C$9, 0))))</f>
        <v>4</v>
      </c>
      <c r="Z54" s="12">
        <f>IF(J54=Reference!$A$20, Reference!$C$20, IF(J54=Reference!$A$19, Reference!$C$19, IF(J54=Reference!$A$18, Reference!$C$18, IF(J54=Reference!$A$17, Reference!$C$17, 0))))</f>
        <v>4</v>
      </c>
      <c r="AA54" s="12">
        <f>IF(L54=Reference!$A$28, Reference!$C$28, IF(L54=Reference!$A$27, Reference!$C$27, IF(L54=Reference!$A$26, Reference!$C$26, IF(L54=Reference!$A$25, Reference!$C$25, 0))))</f>
        <v>7</v>
      </c>
      <c r="AB54" s="12">
        <f>IF(N54=Reference!$A$36, Reference!$C$36, IF(N54=Reference!$A$35, Reference!$C$35, IF(N54=Reference!$A$34, Reference!$C$34, IF(N54=Reference!$A$33, Reference!$C$33, 0))))</f>
        <v>1</v>
      </c>
      <c r="AC54" s="12">
        <f>(Reference!$B$2*Y54 + Reference!$B$3*AA54 + Reference!$B$4*Z54 + Reference!$B$5 * AB54)/4</f>
        <v>7.3125</v>
      </c>
      <c r="AD54" s="12">
        <f>IF(Q54=Reference!$C$41, Reference!$D$41, IF(Q54=Reference!$C$42, Reference!$D$42, IF(Q54=Reference!$C$43, Reference!$D$43, IF(Q54=Reference!$C$44, Reference!$D$44, 0))))</f>
        <v>10</v>
      </c>
      <c r="AE54" s="87">
        <f t="shared" si="1"/>
        <v>74.125</v>
      </c>
    </row>
    <row r="55" spans="1:31" ht="114">
      <c r="A55" s="130" t="s">
        <v>552</v>
      </c>
      <c r="B55" s="16" t="s">
        <v>31</v>
      </c>
      <c r="C55" s="16" t="s">
        <v>32</v>
      </c>
      <c r="D55" s="78" t="s">
        <v>553</v>
      </c>
      <c r="E55" s="78" t="s">
        <v>554</v>
      </c>
      <c r="F55" s="16" t="s">
        <v>35</v>
      </c>
      <c r="G55" s="77" t="s">
        <v>555</v>
      </c>
      <c r="H55" s="16" t="s">
        <v>64</v>
      </c>
      <c r="I55" s="77" t="s">
        <v>556</v>
      </c>
      <c r="J55" s="16" t="s">
        <v>64</v>
      </c>
      <c r="K55" s="77" t="s">
        <v>557</v>
      </c>
      <c r="L55" s="16" t="s">
        <v>64</v>
      </c>
      <c r="M55" s="77" t="s">
        <v>558</v>
      </c>
      <c r="N55" s="16" t="s">
        <v>37</v>
      </c>
      <c r="O55" s="77" t="s">
        <v>559</v>
      </c>
      <c r="P55" s="90" t="str">
        <f>IF(AC55&gt;=Reference!$H$2, Reference!$G$2, IF(AC55&gt;=Reference!$H$3, Reference!$G$3, IF(AC55&gt;=Reference!$H$4, Reference!$G$4, IF(AC55&gt;=Reference!$H$5, Reference!$G$5, ""))))</f>
        <v>Severe</v>
      </c>
      <c r="Q55" s="90" t="str">
        <f t="shared" si="0"/>
        <v>High</v>
      </c>
      <c r="R55" s="90" t="str">
        <f>IF(AE55&gt;=Reference!$D$2, Reference!$G$2, IF(AE55&gt;=Reference!$D$3, Reference!$E$3, IF(AE55&gt;=Reference!$D$4, Reference!$E$4, IF(AE55&gt;=Reference!$D$5, Reference!$E$5, ""))))</f>
        <v>Severe</v>
      </c>
      <c r="S55" s="79" t="s">
        <v>43</v>
      </c>
      <c r="T55" s="82" t="s">
        <v>560</v>
      </c>
      <c r="U55" s="77" t="s">
        <v>561</v>
      </c>
      <c r="V55" s="77" t="s">
        <v>562</v>
      </c>
      <c r="W55" s="77" t="s">
        <v>563</v>
      </c>
      <c r="X55" s="1"/>
      <c r="Y55" s="12">
        <f>IF(H55=Reference!$A$12, Reference!$C$12, IF(H55=Reference!$A$11, Reference!$C$11, IF(H55=Reference!$A$10, Reference!$C$10, IF(H55=Reference!$A$9, Reference!$C$9, 0))))</f>
        <v>7</v>
      </c>
      <c r="Z55" s="12">
        <f>IF(J55=Reference!$A$20, Reference!$C$20, IF(J55=Reference!$A$19, Reference!$C$19, IF(J55=Reference!$A$18, Reference!$C$18, IF(J55=Reference!$A$17, Reference!$C$17, 0))))</f>
        <v>7</v>
      </c>
      <c r="AA55" s="12">
        <f>IF(L55=Reference!$A$28, Reference!$C$28, IF(L55=Reference!$A$27, Reference!$C$27, IF(L55=Reference!$A$26, Reference!$C$26, IF(L55=Reference!$A$25, Reference!$C$25, 0))))</f>
        <v>7</v>
      </c>
      <c r="AB55" s="12">
        <f>IF(N55=Reference!$A$36, Reference!$C$36, IF(N55=Reference!$A$35, Reference!$C$35, IF(N55=Reference!$A$34, Reference!$C$34, IF(N55=Reference!$A$33, Reference!$C$33, 0))))</f>
        <v>1</v>
      </c>
      <c r="AC55" s="12">
        <f>(Reference!$B$2*Y55 + Reference!$B$3*AA55 + Reference!$B$4*Z55 + Reference!$B$5 * AB55)/4</f>
        <v>11.4375</v>
      </c>
      <c r="AD55" s="12">
        <f>IF(Q55=Reference!$C$41, Reference!$D$41, IF(Q55=Reference!$C$42, Reference!$D$42, IF(Q55=Reference!$C$43, Reference!$D$43, IF(Q55=Reference!$C$44, Reference!$D$44, 0))))</f>
        <v>10</v>
      </c>
      <c r="AE55" s="88">
        <f t="shared" si="1"/>
        <v>115.375</v>
      </c>
    </row>
    <row r="56" spans="1:31" ht="139.15">
      <c r="A56" s="130"/>
      <c r="B56" s="16" t="s">
        <v>31</v>
      </c>
      <c r="C56" s="16" t="s">
        <v>32</v>
      </c>
      <c r="D56" s="24" t="s">
        <v>564</v>
      </c>
      <c r="E56" s="78" t="s">
        <v>565</v>
      </c>
      <c r="F56" s="16" t="s">
        <v>35</v>
      </c>
      <c r="G56" s="77" t="s">
        <v>566</v>
      </c>
      <c r="H56" s="16" t="s">
        <v>119</v>
      </c>
      <c r="I56" s="77" t="s">
        <v>567</v>
      </c>
      <c r="J56" s="16" t="s">
        <v>119</v>
      </c>
      <c r="K56" s="77" t="s">
        <v>568</v>
      </c>
      <c r="L56" s="16" t="s">
        <v>119</v>
      </c>
      <c r="M56" s="77" t="s">
        <v>569</v>
      </c>
      <c r="N56" s="16" t="s">
        <v>37</v>
      </c>
      <c r="O56" s="77" t="s">
        <v>570</v>
      </c>
      <c r="P56" s="90" t="str">
        <f>IF(AC56&gt;=Reference!$H$2, Reference!$G$2, IF(AC56&gt;=Reference!$H$3, Reference!$G$3, IF(AC56&gt;=Reference!$H$4, Reference!$G$4, IF(AC56&gt;=Reference!$H$5, Reference!$G$5, ""))))</f>
        <v>Severe</v>
      </c>
      <c r="Q56" s="90" t="str">
        <f t="shared" si="0"/>
        <v>High</v>
      </c>
      <c r="R56" s="90" t="str">
        <f>IF(AE56&gt;=Reference!$D$2, Reference!$G$2, IF(AE56&gt;=Reference!$D$3, Reference!$E$3, IF(AE56&gt;=Reference!$D$4, Reference!$E$4, IF(AE56&gt;=Reference!$D$5, Reference!$E$5, ""))))</f>
        <v>Severe</v>
      </c>
      <c r="S56" s="79" t="s">
        <v>43</v>
      </c>
      <c r="T56" s="82" t="s">
        <v>571</v>
      </c>
      <c r="U56" s="77" t="s">
        <v>572</v>
      </c>
      <c r="V56" s="77" t="s">
        <v>573</v>
      </c>
      <c r="W56" s="77" t="s">
        <v>574</v>
      </c>
      <c r="Y56" s="12">
        <f>IF(H56=Reference!$A$12, Reference!$C$12, IF(H56=Reference!$A$11, Reference!$C$11, IF(H56=Reference!$A$10, Reference!$C$10, IF(H56=Reference!$A$9, Reference!$C$9, 0))))</f>
        <v>10</v>
      </c>
      <c r="Z56" s="12">
        <f>IF(J56=Reference!$A$20, Reference!$C$20, IF(J56=Reference!$A$19, Reference!$C$19, IF(J56=Reference!$A$18, Reference!$C$18, IF(J56=Reference!$A$17, Reference!$C$17, 0))))</f>
        <v>10</v>
      </c>
      <c r="AA56" s="12">
        <f>IF(L56=Reference!$A$28, Reference!$C$28, IF(L56=Reference!$A$27, Reference!$C$27, IF(L56=Reference!$A$26, Reference!$C$26, IF(L56=Reference!$A$25, Reference!$C$25, 0))))</f>
        <v>10</v>
      </c>
      <c r="AB56" s="12">
        <f>IF(N56=Reference!$A$36, Reference!$C$36, IF(N56=Reference!$A$35, Reference!$C$35, IF(N56=Reference!$A$34, Reference!$C$34, IF(N56=Reference!$A$33, Reference!$C$33, 0))))</f>
        <v>1</v>
      </c>
      <c r="AC56" s="12">
        <f>(Reference!$B$2*Y56 + Reference!$B$3*AA56 + Reference!$B$4*Z56 + Reference!$B$5 * AB56)/4</f>
        <v>16.3125</v>
      </c>
      <c r="AD56" s="12">
        <f>IF(Q56=Reference!$C$41, Reference!$D$41, IF(Q56=Reference!$C$42, Reference!$D$42, IF(Q56=Reference!$C$43, Reference!$D$43, IF(Q56=Reference!$C$44, Reference!$D$44, 0))))</f>
        <v>10</v>
      </c>
      <c r="AE56" s="88">
        <f t="shared" si="1"/>
        <v>164.125</v>
      </c>
    </row>
    <row r="57" spans="1:31" ht="101.45">
      <c r="A57" s="131"/>
      <c r="B57" s="16" t="s">
        <v>31</v>
      </c>
      <c r="C57" s="16" t="s">
        <v>32</v>
      </c>
      <c r="D57" s="78" t="s">
        <v>575</v>
      </c>
      <c r="E57" s="78" t="s">
        <v>576</v>
      </c>
      <c r="F57" s="16" t="s">
        <v>35</v>
      </c>
      <c r="G57" s="77" t="s">
        <v>577</v>
      </c>
      <c r="H57" s="16" t="s">
        <v>39</v>
      </c>
      <c r="I57" s="77" t="s">
        <v>578</v>
      </c>
      <c r="J57" s="16" t="s">
        <v>39</v>
      </c>
      <c r="K57" s="112" t="s">
        <v>579</v>
      </c>
      <c r="L57" s="16" t="s">
        <v>39</v>
      </c>
      <c r="M57" s="77" t="s">
        <v>580</v>
      </c>
      <c r="N57" s="16" t="s">
        <v>37</v>
      </c>
      <c r="O57" s="77" t="s">
        <v>581</v>
      </c>
      <c r="P57" s="113" t="str">
        <f>IF(AC57&gt;=Reference!$H$2, Reference!$G$2, IF(AC57&gt;=Reference!$H$3, Reference!$G$3, IF(AC57&gt;=Reference!$H$4, Reference!$G$4, IF(AC57&gt;=Reference!$H$5, Reference!$G$5, ""))))</f>
        <v>Major</v>
      </c>
      <c r="Q57" s="113" t="str">
        <f t="shared" si="0"/>
        <v>High</v>
      </c>
      <c r="R57" s="113" t="str">
        <f>IF(AE57&gt;=Reference!$D$2, Reference!$G$2, IF(AE57&gt;=Reference!$D$3, Reference!$E$3, IF(AE57&gt;=Reference!$D$4, Reference!$E$4, IF(AE57&gt;=Reference!$D$5, Reference!$E$5, ""))))</f>
        <v>High</v>
      </c>
      <c r="S57" s="79" t="s">
        <v>582</v>
      </c>
      <c r="T57" s="23" t="s">
        <v>583</v>
      </c>
      <c r="U57" s="16" t="s">
        <v>584</v>
      </c>
      <c r="V57" s="16" t="s">
        <v>585</v>
      </c>
      <c r="W57" s="16" t="s">
        <v>586</v>
      </c>
      <c r="Y57" s="12">
        <f>IF(H57=Reference!$A$12, Reference!$C$12, IF(H57=Reference!$A$11, Reference!$C$11, IF(H57=Reference!$A$10, Reference!$C$10, IF(H57=Reference!$A$9, Reference!$C$9, 0))))</f>
        <v>4</v>
      </c>
      <c r="Z57" s="12">
        <f>IF(J57=Reference!$A$20, Reference!$C$20, IF(J57=Reference!$A$19, Reference!$C$19, IF(J57=Reference!$A$18, Reference!$C$18, IF(J57=Reference!$A$17, Reference!$C$17, 0))))</f>
        <v>4</v>
      </c>
      <c r="AA57" s="12">
        <f>IF(L57=Reference!$A$28, Reference!$C$28, IF(L57=Reference!$A$27, Reference!$C$27, IF(L57=Reference!$A$26, Reference!$C$26, IF(L57=Reference!$A$25, Reference!$C$25, 0))))</f>
        <v>4</v>
      </c>
      <c r="AB57" s="12">
        <f>IF(N57=Reference!$A$36, Reference!$C$36, IF(N57=Reference!$A$35, Reference!$C$35, IF(N57=Reference!$A$34, Reference!$C$34, IF(N57=Reference!$A$33, Reference!$C$33, 0))))</f>
        <v>1</v>
      </c>
      <c r="AC57" s="12">
        <f>(Reference!$B$2*Y57 + Reference!$B$3*AA57 + Reference!$B$4*Z57 + Reference!$B$5 * AB57)/4</f>
        <v>6.5625</v>
      </c>
      <c r="AD57" s="12">
        <f>IF(Q57=Reference!$C$41, Reference!$D$41, IF(Q57=Reference!$C$42, Reference!$D$42, IF(Q57=Reference!$C$43, Reference!$D$43, IF(Q57=Reference!$C$44, Reference!$D$44, 0))))</f>
        <v>10</v>
      </c>
      <c r="AE57" s="108">
        <f t="shared" si="1"/>
        <v>66.625</v>
      </c>
    </row>
    <row r="58" spans="1:31" ht="114">
      <c r="A58" s="140" t="s">
        <v>587</v>
      </c>
      <c r="B58" s="16" t="s">
        <v>31</v>
      </c>
      <c r="C58" s="16" t="s">
        <v>32</v>
      </c>
      <c r="D58" s="78" t="s">
        <v>588</v>
      </c>
      <c r="E58" s="105" t="s">
        <v>589</v>
      </c>
      <c r="F58" s="16" t="s">
        <v>35</v>
      </c>
      <c r="G58" s="77" t="s">
        <v>590</v>
      </c>
      <c r="H58" s="16" t="s">
        <v>64</v>
      </c>
      <c r="I58" s="77" t="s">
        <v>591</v>
      </c>
      <c r="J58" s="16" t="s">
        <v>64</v>
      </c>
      <c r="K58" s="112" t="s">
        <v>592</v>
      </c>
      <c r="L58" s="16" t="s">
        <v>64</v>
      </c>
      <c r="M58" s="77" t="s">
        <v>593</v>
      </c>
      <c r="N58" s="16" t="s">
        <v>39</v>
      </c>
      <c r="O58" s="77" t="s">
        <v>594</v>
      </c>
      <c r="P58" s="90" t="str">
        <f>IF(AC58&gt;=Reference!$H$2, Reference!$G$2, IF(AC58&gt;=Reference!$H$3, Reference!$G$3, IF(AC58&gt;=Reference!$H$4, Reference!$G$4, IF(AC58&gt;=Reference!$H$5, Reference!$G$5, ""))))</f>
        <v>Severe</v>
      </c>
      <c r="Q58" s="90" t="str">
        <f t="shared" si="0"/>
        <v>High</v>
      </c>
      <c r="R58" s="90" t="str">
        <f>IF(AE58&gt;=Reference!$D$2, Reference!$G$2, IF(AE58&gt;=Reference!$D$3, Reference!$E$3, IF(AE58&gt;=Reference!$D$4, Reference!$E$4, IF(AE58&gt;=Reference!$D$5, Reference!$E$5, ""))))</f>
        <v>Severe</v>
      </c>
      <c r="S58" s="79" t="s">
        <v>43</v>
      </c>
      <c r="T58" s="82" t="s">
        <v>595</v>
      </c>
      <c r="U58" s="77" t="s">
        <v>596</v>
      </c>
      <c r="V58" s="77" t="s">
        <v>597</v>
      </c>
      <c r="W58" s="77" t="s">
        <v>598</v>
      </c>
      <c r="Y58" s="12">
        <f>IF(H58=Reference!$A$12, Reference!$C$12, IF(H58=Reference!$A$11, Reference!$C$11, IF(H58=Reference!$A$10, Reference!$C$10, IF(H58=Reference!$A$9, Reference!$C$9, 0))))</f>
        <v>7</v>
      </c>
      <c r="Z58" s="12">
        <f>IF(J58=Reference!$A$20, Reference!$C$20, IF(J58=Reference!$A$19, Reference!$C$19, IF(J58=Reference!$A$18, Reference!$C$18, IF(J58=Reference!$A$17, Reference!$C$17, 0))))</f>
        <v>7</v>
      </c>
      <c r="AA58" s="12">
        <f>IF(L58=Reference!$A$28, Reference!$C$28, IF(L58=Reference!$A$27, Reference!$C$27, IF(L58=Reference!$A$26, Reference!$C$26, IF(L58=Reference!$A$25, Reference!$C$25, 0))))</f>
        <v>7</v>
      </c>
      <c r="AB58" s="12">
        <f>IF(N58=Reference!$A$36, Reference!$C$36, IF(N58=Reference!$A$35, Reference!$C$35, IF(N58=Reference!$A$34, Reference!$C$34, IF(N58=Reference!$A$33, Reference!$C$33, 0))))</f>
        <v>4</v>
      </c>
      <c r="AC58" s="12">
        <f>(Reference!$B$2*Y58 + Reference!$B$3*AA58 + Reference!$B$4*Z58 + Reference!$B$5 * AB58)/4</f>
        <v>11.625</v>
      </c>
      <c r="AD58" s="12">
        <f>IF(Q58=Reference!$C$41, Reference!$D$41, IF(Q58=Reference!$C$42, Reference!$D$42, IF(Q58=Reference!$C$43, Reference!$D$43, IF(Q58=Reference!$C$44, Reference!$D$44, 0))))</f>
        <v>10</v>
      </c>
      <c r="AE58" s="88">
        <f t="shared" si="1"/>
        <v>117.25</v>
      </c>
    </row>
    <row r="59" spans="1:31" ht="126.6">
      <c r="A59" s="136"/>
      <c r="B59" s="16" t="s">
        <v>31</v>
      </c>
      <c r="C59" s="16" t="s">
        <v>32</v>
      </c>
      <c r="D59" s="78" t="s">
        <v>599</v>
      </c>
      <c r="E59" s="78" t="s">
        <v>600</v>
      </c>
      <c r="F59" s="16" t="s">
        <v>35</v>
      </c>
      <c r="G59" s="77" t="s">
        <v>601</v>
      </c>
      <c r="H59" s="16" t="s">
        <v>39</v>
      </c>
      <c r="I59" s="77" t="s">
        <v>602</v>
      </c>
      <c r="J59" s="16" t="s">
        <v>39</v>
      </c>
      <c r="K59" s="77" t="s">
        <v>603</v>
      </c>
      <c r="L59" s="16" t="s">
        <v>39</v>
      </c>
      <c r="M59" s="77" t="s">
        <v>604</v>
      </c>
      <c r="N59" s="16" t="s">
        <v>37</v>
      </c>
      <c r="O59" s="77" t="s">
        <v>605</v>
      </c>
      <c r="P59" s="95" t="str">
        <f>IF(AC59&gt;=Reference!$H$2, Reference!$G$2, IF(AC59&gt;=Reference!$H$3, Reference!$G$3, IF(AC59&gt;=Reference!$H$4, Reference!$G$4, IF(AC59&gt;=Reference!$H$5, Reference!$G$5, ""))))</f>
        <v>Major</v>
      </c>
      <c r="Q59" s="95" t="str">
        <f t="shared" si="0"/>
        <v>High</v>
      </c>
      <c r="R59" s="95" t="str">
        <f>IF(AE59&gt;=Reference!$D$2, Reference!$G$2, IF(AE59&gt;=Reference!$D$3, Reference!$E$3, IF(AE59&gt;=Reference!$D$4, Reference!$E$4, IF(AE59&gt;=Reference!$D$5, Reference!$E$5, ""))))</f>
        <v>High</v>
      </c>
      <c r="S59" s="79" t="s">
        <v>43</v>
      </c>
      <c r="T59" s="82" t="s">
        <v>606</v>
      </c>
      <c r="U59" s="77" t="s">
        <v>607</v>
      </c>
      <c r="V59" s="77" t="s">
        <v>608</v>
      </c>
      <c r="W59" s="77" t="s">
        <v>609</v>
      </c>
      <c r="Y59" s="12">
        <f>IF(H59=Reference!$A$12, Reference!$C$12, IF(H59=Reference!$A$11, Reference!$C$11, IF(H59=Reference!$A$10, Reference!$C$10, IF(H59=Reference!$A$9, Reference!$C$9, 0))))</f>
        <v>4</v>
      </c>
      <c r="Z59" s="12">
        <f>IF(J59=Reference!$A$20, Reference!$C$20, IF(J59=Reference!$A$19, Reference!$C$19, IF(J59=Reference!$A$18, Reference!$C$18, IF(J59=Reference!$A$17, Reference!$C$17, 0))))</f>
        <v>4</v>
      </c>
      <c r="AA59" s="12">
        <f>IF(L59=Reference!$A$28, Reference!$C$28, IF(L59=Reference!$A$27, Reference!$C$27, IF(L59=Reference!$A$26, Reference!$C$26, IF(L59=Reference!$A$25, Reference!$C$25, 0))))</f>
        <v>4</v>
      </c>
      <c r="AB59" s="12">
        <f>IF(N59=Reference!$A$36, Reference!$C$36, IF(N59=Reference!$A$35, Reference!$C$35, IF(N59=Reference!$A$34, Reference!$C$34, IF(N59=Reference!$A$33, Reference!$C$33, 0))))</f>
        <v>1</v>
      </c>
      <c r="AC59" s="12">
        <f>(Reference!$B$2*Y59 + Reference!$B$3*AA59 + Reference!$B$4*Z59 + Reference!$B$5 * AB59)/4</f>
        <v>6.5625</v>
      </c>
      <c r="AD59" s="12">
        <f>IF(Q59=Reference!$C$41, Reference!$D$41, IF(Q59=Reference!$C$42, Reference!$D$42, IF(Q59=Reference!$C$43, Reference!$D$43, IF(Q59=Reference!$C$44, Reference!$D$44, 0))))</f>
        <v>10</v>
      </c>
      <c r="AE59" s="87">
        <f t="shared" si="1"/>
        <v>66.625</v>
      </c>
    </row>
    <row r="60" spans="1:31" ht="151.9">
      <c r="A60" s="141" t="s">
        <v>610</v>
      </c>
      <c r="B60" s="16" t="s">
        <v>31</v>
      </c>
      <c r="C60" s="16" t="s">
        <v>32</v>
      </c>
      <c r="D60" s="78" t="s">
        <v>611</v>
      </c>
      <c r="E60" s="75" t="s">
        <v>612</v>
      </c>
      <c r="F60" s="16" t="s">
        <v>35</v>
      </c>
      <c r="G60" s="77" t="s">
        <v>613</v>
      </c>
      <c r="H60" s="16" t="s">
        <v>64</v>
      </c>
      <c r="I60" s="77" t="s">
        <v>614</v>
      </c>
      <c r="J60" s="16" t="s">
        <v>64</v>
      </c>
      <c r="K60" s="77" t="s">
        <v>615</v>
      </c>
      <c r="L60" s="16" t="s">
        <v>119</v>
      </c>
      <c r="M60" s="77" t="s">
        <v>616</v>
      </c>
      <c r="N60" s="16" t="s">
        <v>39</v>
      </c>
      <c r="O60" s="77" t="s">
        <v>617</v>
      </c>
      <c r="P60" s="90" t="str">
        <f>IF(AC60&gt;=Reference!$H$2, Reference!$G$2, IF(AC60&gt;=Reference!$H$3, Reference!$G$3, IF(AC60&gt;=Reference!$H$4, Reference!$G$4, IF(AC60&gt;=Reference!$H$5, Reference!$G$5, ""))))</f>
        <v>Severe</v>
      </c>
      <c r="Q60" s="90" t="str">
        <f t="shared" si="0"/>
        <v>High</v>
      </c>
      <c r="R60" s="90" t="str">
        <f>IF(AE60&gt;=Reference!$D$2, Reference!$G$2, IF(AE60&gt;=Reference!$D$3, Reference!$E$3, IF(AE60&gt;=Reference!$D$4, Reference!$E$4, IF(AE60&gt;=Reference!$D$5, Reference!$E$5, ""))))</f>
        <v>Severe</v>
      </c>
      <c r="S60" s="79" t="s">
        <v>43</v>
      </c>
      <c r="T60" s="82" t="s">
        <v>618</v>
      </c>
      <c r="U60" s="77" t="s">
        <v>619</v>
      </c>
      <c r="V60" s="82" t="s">
        <v>620</v>
      </c>
      <c r="W60" s="77" t="s">
        <v>621</v>
      </c>
      <c r="Y60" s="12">
        <f>IF(H60=Reference!$A$12, Reference!$C$12, IF(H60=Reference!$A$11, Reference!$C$11, IF(H60=Reference!$A$10, Reference!$C$10, IF(H60=Reference!$A$9, Reference!$C$9, 0))))</f>
        <v>7</v>
      </c>
      <c r="Z60" s="12">
        <f>IF(J60=Reference!$A$20, Reference!$C$20, IF(J60=Reference!$A$19, Reference!$C$19, IF(J60=Reference!$A$18, Reference!$C$18, IF(J60=Reference!$A$17, Reference!$C$17, 0))))</f>
        <v>7</v>
      </c>
      <c r="AA60" s="12">
        <f>IF(L60=Reference!$A$28, Reference!$C$28, IF(L60=Reference!$A$27, Reference!$C$27, IF(L60=Reference!$A$26, Reference!$C$26, IF(L60=Reference!$A$25, Reference!$C$25, 0))))</f>
        <v>10</v>
      </c>
      <c r="AB60" s="12">
        <f>IF(N60=Reference!$A$36, Reference!$C$36, IF(N60=Reference!$A$35, Reference!$C$35, IF(N60=Reference!$A$34, Reference!$C$34, IF(N60=Reference!$A$33, Reference!$C$33, 0))))</f>
        <v>4</v>
      </c>
      <c r="AC60" s="12">
        <f>(Reference!$B$2*Y60 + Reference!$B$3*AA60 + Reference!$B$4*Z60 + Reference!$B$5 * AB60)/4</f>
        <v>12.375</v>
      </c>
      <c r="AD60" s="12">
        <f>IF(Q60=Reference!$C$41, Reference!$D$41, IF(Q60=Reference!$C$42, Reference!$D$42, IF(Q60=Reference!$C$43, Reference!$D$43, IF(Q60=Reference!$C$44, Reference!$D$44, 0))))</f>
        <v>10</v>
      </c>
      <c r="AE60" s="88">
        <f t="shared" si="1"/>
        <v>124.75</v>
      </c>
    </row>
    <row r="61" spans="1:31" ht="151.9">
      <c r="A61" s="142"/>
      <c r="B61" s="16" t="s">
        <v>31</v>
      </c>
      <c r="C61" s="16" t="s">
        <v>32</v>
      </c>
      <c r="D61" s="110" t="s">
        <v>622</v>
      </c>
      <c r="E61" s="78" t="s">
        <v>623</v>
      </c>
      <c r="F61" s="16" t="s">
        <v>35</v>
      </c>
      <c r="G61" s="77" t="s">
        <v>624</v>
      </c>
      <c r="H61" s="16" t="s">
        <v>39</v>
      </c>
      <c r="I61" s="77" t="s">
        <v>625</v>
      </c>
      <c r="J61" s="16" t="s">
        <v>39</v>
      </c>
      <c r="K61" s="77" t="s">
        <v>626</v>
      </c>
      <c r="L61" s="16" t="s">
        <v>39</v>
      </c>
      <c r="M61" s="77" t="s">
        <v>627</v>
      </c>
      <c r="N61" s="16" t="s">
        <v>37</v>
      </c>
      <c r="O61" s="77" t="s">
        <v>628</v>
      </c>
      <c r="P61" s="113" t="str">
        <f>IF(AC61&gt;=Reference!$H$2, Reference!$G$2, IF(AC61&gt;=Reference!$H$3, Reference!$G$3, IF(AC61&gt;=Reference!$H$4, Reference!$G$4, IF(AC61&gt;=Reference!$H$5, Reference!$G$5, ""))))</f>
        <v>Major</v>
      </c>
      <c r="Q61" s="113" t="str">
        <f t="shared" si="0"/>
        <v>High</v>
      </c>
      <c r="R61" s="113" t="str">
        <f>IF(AE61&gt;=Reference!$D$2, Reference!$G$2, IF(AE61&gt;=Reference!$D$3, Reference!$E$3, IF(AE61&gt;=Reference!$D$4, Reference!$E$4, IF(AE61&gt;=Reference!$D$5, Reference!$E$5, ""))))</f>
        <v>High</v>
      </c>
      <c r="S61" s="79" t="s">
        <v>582</v>
      </c>
      <c r="T61" s="82" t="s">
        <v>618</v>
      </c>
      <c r="U61" s="77" t="s">
        <v>619</v>
      </c>
      <c r="V61" s="82" t="s">
        <v>620</v>
      </c>
      <c r="W61" s="77" t="s">
        <v>621</v>
      </c>
      <c r="Y61" s="12">
        <f>IF(H61=Reference!$A$12, Reference!$C$12, IF(H61=Reference!$A$11, Reference!$C$11, IF(H61=Reference!$A$10, Reference!$C$10, IF(H61=Reference!$A$9, Reference!$C$9, 0))))</f>
        <v>4</v>
      </c>
      <c r="Z61" s="12">
        <f>IF(J61=Reference!$A$20, Reference!$C$20, IF(J61=Reference!$A$19, Reference!$C$19, IF(J61=Reference!$A$18, Reference!$C$18, IF(J61=Reference!$A$17, Reference!$C$17, 0))))</f>
        <v>4</v>
      </c>
      <c r="AA61" s="12">
        <f>IF(L61=Reference!$A$28, Reference!$C$28, IF(L61=Reference!$A$27, Reference!$C$27, IF(L61=Reference!$A$26, Reference!$C$26, IF(L61=Reference!$A$25, Reference!$C$25, 0))))</f>
        <v>4</v>
      </c>
      <c r="AB61" s="12">
        <f>IF(N61=Reference!$A$36, Reference!$C$36, IF(N61=Reference!$A$35, Reference!$C$35, IF(N61=Reference!$A$34, Reference!$C$34, IF(N61=Reference!$A$33, Reference!$C$33, 0))))</f>
        <v>1</v>
      </c>
      <c r="AC61" s="12">
        <f>(Reference!$B$2*Y61 + Reference!$B$3*AA61 + Reference!$B$4*Z61 + Reference!$B$5 * AB61)/4</f>
        <v>6.5625</v>
      </c>
      <c r="AD61" s="12">
        <f>IF(Q61=Reference!$C$41, Reference!$D$41, IF(Q61=Reference!$C$42, Reference!$D$42, IF(Q61=Reference!$C$43, Reference!$D$43, IF(Q61=Reference!$C$44, Reference!$D$44, 0))))</f>
        <v>10</v>
      </c>
      <c r="AE61" s="108">
        <f t="shared" si="1"/>
        <v>66.625</v>
      </c>
    </row>
    <row r="62" spans="1:31" ht="92.45">
      <c r="A62" s="128" t="s">
        <v>629</v>
      </c>
      <c r="B62" s="16" t="s">
        <v>31</v>
      </c>
      <c r="C62" s="16" t="s">
        <v>32</v>
      </c>
      <c r="D62" s="78" t="s">
        <v>630</v>
      </c>
      <c r="E62" s="78" t="s">
        <v>631</v>
      </c>
      <c r="F62" s="16" t="s">
        <v>35</v>
      </c>
      <c r="G62" s="77" t="s">
        <v>632</v>
      </c>
      <c r="H62" s="16" t="s">
        <v>37</v>
      </c>
      <c r="I62" s="92" t="s">
        <v>633</v>
      </c>
      <c r="J62" s="16" t="s">
        <v>64</v>
      </c>
      <c r="K62" s="77" t="s">
        <v>634</v>
      </c>
      <c r="L62" s="16" t="s">
        <v>64</v>
      </c>
      <c r="M62" s="77" t="s">
        <v>635</v>
      </c>
      <c r="N62" s="16" t="s">
        <v>37</v>
      </c>
      <c r="O62" s="77" t="s">
        <v>636</v>
      </c>
      <c r="P62" s="114" t="str">
        <f>IF(AC62&gt;=Reference!$H$2, Reference!$G$2, IF(AC62&gt;=Reference!$H$3, Reference!$G$3, IF(AC62&gt;=Reference!$H$4, Reference!$G$4, IF(AC62&gt;=Reference!$H$5, Reference!$G$5, ""))))</f>
        <v>Moderate</v>
      </c>
      <c r="Q62" s="114" t="str">
        <f t="shared" si="0"/>
        <v>High</v>
      </c>
      <c r="R62" s="114" t="str">
        <f>IF(AE62&gt;=Reference!$D$2, Reference!$G$2, IF(AE62&gt;=Reference!$D$3, Reference!$E$3, IF(AE62&gt;=Reference!$D$4, Reference!$E$4, IF(AE62&gt;=Reference!$D$5, Reference!$E$5, ""))))</f>
        <v>Medium</v>
      </c>
      <c r="S62" s="79" t="s">
        <v>43</v>
      </c>
      <c r="T62" s="103" t="s">
        <v>637</v>
      </c>
      <c r="U62" s="72" t="s">
        <v>638</v>
      </c>
      <c r="V62" s="77" t="s">
        <v>639</v>
      </c>
      <c r="W62" s="77" t="s">
        <v>640</v>
      </c>
      <c r="Y62" s="12">
        <f>IF(H62=Reference!$A$12, Reference!$C$12, IF(H62=Reference!$A$11, Reference!$C$11, IF(H62=Reference!$A$10, Reference!$C$10, IF(H62=Reference!$A$9, Reference!$C$9, 0))))</f>
        <v>1</v>
      </c>
      <c r="Z62" s="12">
        <f>IF(J62=Reference!$A$20, Reference!$C$20, IF(J62=Reference!$A$19, Reference!$C$19, IF(J62=Reference!$A$18, Reference!$C$18, IF(J62=Reference!$A$17, Reference!$C$17, 0))))</f>
        <v>7</v>
      </c>
      <c r="AA62" s="12">
        <f>IF(L62=Reference!$A$28, Reference!$C$28, IF(L62=Reference!$A$27, Reference!$C$27, IF(L62=Reference!$A$26, Reference!$C$26, IF(L62=Reference!$A$25, Reference!$C$25, 0))))</f>
        <v>7</v>
      </c>
      <c r="AB62" s="12">
        <f>IF(N62=Reference!$A$36, Reference!$C$36, IF(N62=Reference!$A$35, Reference!$C$35, IF(N62=Reference!$A$34, Reference!$C$34, IF(N62=Reference!$A$33, Reference!$C$33, 0))))</f>
        <v>1</v>
      </c>
      <c r="AC62" s="12">
        <f>(Reference!$B$2*Y62 + Reference!$B$3*AA62 + Reference!$B$4*Z62 + Reference!$B$5 * AB62)/4</f>
        <v>3.9375</v>
      </c>
      <c r="AD62" s="12">
        <f>IF(Q62=Reference!$C$41, Reference!$D$41, IF(Q62=Reference!$C$42, Reference!$D$42, IF(Q62=Reference!$C$43, Reference!$D$43, IF(Q62=Reference!$C$44, Reference!$D$44, 0))))</f>
        <v>10</v>
      </c>
      <c r="AE62" s="99">
        <f t="shared" si="1"/>
        <v>40.375</v>
      </c>
    </row>
    <row r="63" spans="1:31" ht="114">
      <c r="A63" s="137"/>
      <c r="B63" s="16" t="s">
        <v>74</v>
      </c>
      <c r="C63" s="16" t="s">
        <v>75</v>
      </c>
      <c r="D63" s="78" t="s">
        <v>641</v>
      </c>
      <c r="E63" s="78" t="s">
        <v>642</v>
      </c>
      <c r="F63" s="16" t="s">
        <v>35</v>
      </c>
      <c r="G63" s="77" t="s">
        <v>643</v>
      </c>
      <c r="H63" s="16" t="s">
        <v>39</v>
      </c>
      <c r="I63" s="77" t="s">
        <v>644</v>
      </c>
      <c r="J63" s="16" t="s">
        <v>39</v>
      </c>
      <c r="K63" s="112" t="s">
        <v>645</v>
      </c>
      <c r="L63" s="16" t="s">
        <v>64</v>
      </c>
      <c r="M63" s="77" t="s">
        <v>646</v>
      </c>
      <c r="N63" s="16" t="s">
        <v>37</v>
      </c>
      <c r="O63" s="77" t="s">
        <v>647</v>
      </c>
      <c r="P63" s="95" t="str">
        <f>IF(AC63&gt;=Reference!$H$2, Reference!$G$2, IF(AC63&gt;=Reference!$H$3, Reference!$G$3, IF(AC63&gt;=Reference!$H$4, Reference!$G$4, IF(AC63&gt;=Reference!$H$5, Reference!$G$5, ""))))</f>
        <v>Major</v>
      </c>
      <c r="Q63" s="95" t="str">
        <f t="shared" si="0"/>
        <v>High</v>
      </c>
      <c r="R63" s="95" t="str">
        <f>IF(AE63&gt;=Reference!$D$2, Reference!$G$2, IF(AE63&gt;=Reference!$D$3, Reference!$E$3, IF(AE63&gt;=Reference!$D$4, Reference!$E$4, IF(AE63&gt;=Reference!$D$5, Reference!$E$5, ""))))</f>
        <v>High</v>
      </c>
      <c r="S63" s="79" t="s">
        <v>43</v>
      </c>
      <c r="T63" s="82" t="s">
        <v>648</v>
      </c>
      <c r="U63" s="77" t="s">
        <v>649</v>
      </c>
      <c r="V63" s="77" t="s">
        <v>650</v>
      </c>
      <c r="W63" s="77" t="s">
        <v>651</v>
      </c>
      <c r="Y63" s="12">
        <f>IF(H63=Reference!$A$12, Reference!$C$12, IF(H63=Reference!$A$11, Reference!$C$11, IF(H63=Reference!$A$10, Reference!$C$10, IF(H63=Reference!$A$9, Reference!$C$9, 0))))</f>
        <v>4</v>
      </c>
      <c r="Z63" s="12">
        <f>IF(J63=Reference!$A$20, Reference!$C$20, IF(J63=Reference!$A$19, Reference!$C$19, IF(J63=Reference!$A$18, Reference!$C$18, IF(J63=Reference!$A$17, Reference!$C$17, 0))))</f>
        <v>4</v>
      </c>
      <c r="AA63" s="12">
        <f>IF(L63=Reference!$A$28, Reference!$C$28, IF(L63=Reference!$A$27, Reference!$C$27, IF(L63=Reference!$A$26, Reference!$C$26, IF(L63=Reference!$A$25, Reference!$C$25, 0))))</f>
        <v>7</v>
      </c>
      <c r="AB63" s="12">
        <f>IF(N63=Reference!$A$36, Reference!$C$36, IF(N63=Reference!$A$35, Reference!$C$35, IF(N63=Reference!$A$34, Reference!$C$34, IF(N63=Reference!$A$33, Reference!$C$33, 0))))</f>
        <v>1</v>
      </c>
      <c r="AC63" s="12">
        <f>(Reference!$B$2*Y63 + Reference!$B$3*AA63 + Reference!$B$4*Z63 + Reference!$B$5 * AB63)/4</f>
        <v>7.3125</v>
      </c>
      <c r="AD63" s="12">
        <f>IF(Q63=Reference!$C$41, Reference!$D$41, IF(Q63=Reference!$C$42, Reference!$D$42, IF(Q63=Reference!$C$43, Reference!$D$43, IF(Q63=Reference!$C$44, Reference!$D$44, 0))))</f>
        <v>10</v>
      </c>
      <c r="AE63" s="87">
        <f t="shared" si="1"/>
        <v>74.125</v>
      </c>
    </row>
    <row r="64" spans="1:31" ht="101.45">
      <c r="A64" s="137"/>
      <c r="B64" s="16" t="s">
        <v>47</v>
      </c>
      <c r="C64" s="16" t="s">
        <v>32</v>
      </c>
      <c r="D64" s="78" t="s">
        <v>652</v>
      </c>
      <c r="E64" s="78" t="s">
        <v>653</v>
      </c>
      <c r="F64" s="16" t="s">
        <v>35</v>
      </c>
      <c r="G64" s="77" t="s">
        <v>654</v>
      </c>
      <c r="H64" s="16" t="s">
        <v>39</v>
      </c>
      <c r="I64" s="77" t="s">
        <v>655</v>
      </c>
      <c r="J64" s="16" t="s">
        <v>39</v>
      </c>
      <c r="K64" s="77" t="s">
        <v>656</v>
      </c>
      <c r="L64" s="16" t="s">
        <v>64</v>
      </c>
      <c r="M64" s="77" t="s">
        <v>657</v>
      </c>
      <c r="N64" s="16" t="s">
        <v>37</v>
      </c>
      <c r="O64" s="77" t="s">
        <v>658</v>
      </c>
      <c r="P64" s="95" t="str">
        <f>IF(AC64&gt;=Reference!$H$2, Reference!$G$2, IF(AC64&gt;=Reference!$H$3, Reference!$G$3, IF(AC64&gt;=Reference!$H$4, Reference!$G$4, IF(AC64&gt;=Reference!$H$5, Reference!$G$5, ""))))</f>
        <v>Major</v>
      </c>
      <c r="Q64" s="95" t="str">
        <f t="shared" si="0"/>
        <v>High</v>
      </c>
      <c r="R64" s="95" t="str">
        <f>IF(AE64&gt;=Reference!$D$2, Reference!$G$2, IF(AE64&gt;=Reference!$D$3, Reference!$E$3, IF(AE64&gt;=Reference!$D$4, Reference!$E$4, IF(AE64&gt;=Reference!$D$5, Reference!$E$5, ""))))</f>
        <v>High</v>
      </c>
      <c r="S64" s="79" t="s">
        <v>43</v>
      </c>
      <c r="T64" s="103" t="s">
        <v>659</v>
      </c>
      <c r="U64" s="77" t="s">
        <v>660</v>
      </c>
      <c r="V64" s="77" t="s">
        <v>661</v>
      </c>
      <c r="W64" s="77" t="s">
        <v>662</v>
      </c>
      <c r="Y64" s="12">
        <f>IF(H64=Reference!$A$12, Reference!$C$12, IF(H64=Reference!$A$11, Reference!$C$11, IF(H64=Reference!$A$10, Reference!$C$10, IF(H64=Reference!$A$9, Reference!$C$9, 0))))</f>
        <v>4</v>
      </c>
      <c r="Z64" s="12">
        <f>IF(J64=Reference!$A$20, Reference!$C$20, IF(J64=Reference!$A$19, Reference!$C$19, IF(J64=Reference!$A$18, Reference!$C$18, IF(J64=Reference!$A$17, Reference!$C$17, 0))))</f>
        <v>4</v>
      </c>
      <c r="AA64" s="12">
        <f>IF(L64=Reference!$A$28, Reference!$C$28, IF(L64=Reference!$A$27, Reference!$C$27, IF(L64=Reference!$A$26, Reference!$C$26, IF(L64=Reference!$A$25, Reference!$C$25, 0))))</f>
        <v>7</v>
      </c>
      <c r="AB64" s="12">
        <f>IF(N64=Reference!$A$36, Reference!$C$36, IF(N64=Reference!$A$35, Reference!$C$35, IF(N64=Reference!$A$34, Reference!$C$34, IF(N64=Reference!$A$33, Reference!$C$33, 0))))</f>
        <v>1</v>
      </c>
      <c r="AC64" s="12">
        <f>(Reference!$B$2*Y64 + Reference!$B$3*AA64 + Reference!$B$4*Z64 + Reference!$B$5 * AB64)/4</f>
        <v>7.3125</v>
      </c>
      <c r="AD64" s="12">
        <f>IF(Q64=Reference!$C$41, Reference!$D$41, IF(Q64=Reference!$C$42, Reference!$D$42, IF(Q64=Reference!$C$43, Reference!$D$43, IF(Q64=Reference!$C$44, Reference!$D$44, 0))))</f>
        <v>10</v>
      </c>
      <c r="AE64" s="87">
        <f t="shared" si="1"/>
        <v>74.125</v>
      </c>
    </row>
    <row r="65" spans="1:31" ht="101.45">
      <c r="A65" s="129"/>
      <c r="B65" s="16" t="s">
        <v>47</v>
      </c>
      <c r="C65" s="16" t="s">
        <v>75</v>
      </c>
      <c r="D65" s="78" t="s">
        <v>652</v>
      </c>
      <c r="E65" s="78" t="s">
        <v>653</v>
      </c>
      <c r="F65" s="16" t="s">
        <v>35</v>
      </c>
      <c r="G65" s="77" t="s">
        <v>654</v>
      </c>
      <c r="H65" s="16" t="s">
        <v>39</v>
      </c>
      <c r="I65" s="77" t="s">
        <v>655</v>
      </c>
      <c r="J65" s="16" t="s">
        <v>39</v>
      </c>
      <c r="K65" s="77" t="s">
        <v>656</v>
      </c>
      <c r="L65" s="16" t="s">
        <v>64</v>
      </c>
      <c r="M65" s="77" t="s">
        <v>657</v>
      </c>
      <c r="N65" s="16" t="s">
        <v>37</v>
      </c>
      <c r="O65" s="77" t="s">
        <v>658</v>
      </c>
      <c r="P65" s="95" t="str">
        <f>IF(AC65&gt;=Reference!$H$2, Reference!$G$2, IF(AC65&gt;=Reference!$H$3, Reference!$G$3, IF(AC65&gt;=Reference!$H$4, Reference!$G$4, IF(AC65&gt;=Reference!$H$5, Reference!$G$5, ""))))</f>
        <v>Major</v>
      </c>
      <c r="Q65" s="95" t="str">
        <f t="shared" ref="Q65" si="19">IF(F65="Physical", "Very Low", IF(F65="Local", "Low", IF(F65="Adjacent", "Medium", IF(F65="Network", "High", ""))))</f>
        <v>High</v>
      </c>
      <c r="R65" s="95" t="str">
        <f>IF(AE65&gt;=Reference!$D$2, Reference!$G$2, IF(AE65&gt;=Reference!$D$3, Reference!$E$3, IF(AE65&gt;=Reference!$D$4, Reference!$E$4, IF(AE65&gt;=Reference!$D$5, Reference!$E$5, ""))))</f>
        <v>High</v>
      </c>
      <c r="S65" s="79" t="s">
        <v>43</v>
      </c>
      <c r="T65" s="103" t="s">
        <v>659</v>
      </c>
      <c r="U65" s="77" t="s">
        <v>660</v>
      </c>
      <c r="V65" s="77" t="s">
        <v>661</v>
      </c>
      <c r="W65" s="77" t="s">
        <v>662</v>
      </c>
      <c r="Y65" s="12">
        <f>IF(H65=Reference!$A$12, Reference!$C$12, IF(H65=Reference!$A$11, Reference!$C$11, IF(H65=Reference!$A$10, Reference!$C$10, IF(H65=Reference!$A$9, Reference!$C$9, 0))))</f>
        <v>4</v>
      </c>
      <c r="Z65" s="12">
        <f>IF(J65=Reference!$A$20, Reference!$C$20, IF(J65=Reference!$A$19, Reference!$C$19, IF(J65=Reference!$A$18, Reference!$C$18, IF(J65=Reference!$A$17, Reference!$C$17, 0))))</f>
        <v>4</v>
      </c>
      <c r="AA65" s="12">
        <f>IF(L65=Reference!$A$28, Reference!$C$28, IF(L65=Reference!$A$27, Reference!$C$27, IF(L65=Reference!$A$26, Reference!$C$26, IF(L65=Reference!$A$25, Reference!$C$25, 0))))</f>
        <v>7</v>
      </c>
      <c r="AB65" s="12">
        <f>IF(N65=Reference!$A$36, Reference!$C$36, IF(N65=Reference!$A$35, Reference!$C$35, IF(N65=Reference!$A$34, Reference!$C$34, IF(N65=Reference!$A$33, Reference!$C$33, 0))))</f>
        <v>1</v>
      </c>
      <c r="AC65" s="12">
        <f>(Reference!$B$2*Y65 + Reference!$B$3*AA65 + Reference!$B$4*Z65 + Reference!$B$5 * AB65)/4</f>
        <v>7.3125</v>
      </c>
      <c r="AD65" s="12">
        <f>IF(Q65=Reference!$C$41, Reference!$D$41, IF(Q65=Reference!$C$42, Reference!$D$42, IF(Q65=Reference!$C$43, Reference!$D$43, IF(Q65=Reference!$C$44, Reference!$D$44, 0))))</f>
        <v>10</v>
      </c>
      <c r="AE65" s="87">
        <f t="shared" ref="AE65" si="20">1 + (AC65 * AD65)</f>
        <v>74.125</v>
      </c>
    </row>
    <row r="66" spans="1:31" ht="126.6">
      <c r="A66" s="128" t="s">
        <v>663</v>
      </c>
      <c r="B66" s="16" t="s">
        <v>31</v>
      </c>
      <c r="C66" s="16" t="s">
        <v>32</v>
      </c>
      <c r="D66" s="78" t="s">
        <v>664</v>
      </c>
      <c r="E66" s="78" t="s">
        <v>665</v>
      </c>
      <c r="F66" s="16" t="s">
        <v>35</v>
      </c>
      <c r="G66" s="77" t="s">
        <v>666</v>
      </c>
      <c r="H66" s="16" t="s">
        <v>64</v>
      </c>
      <c r="I66" s="77" t="s">
        <v>667</v>
      </c>
      <c r="J66" s="16" t="s">
        <v>64</v>
      </c>
      <c r="K66" s="77" t="s">
        <v>668</v>
      </c>
      <c r="L66" s="16" t="s">
        <v>119</v>
      </c>
      <c r="M66" s="77" t="s">
        <v>669</v>
      </c>
      <c r="N66" s="16" t="s">
        <v>39</v>
      </c>
      <c r="O66" s="77" t="s">
        <v>670</v>
      </c>
      <c r="P66" s="90" t="str">
        <f>IF(AC66&gt;=Reference!$H$2, Reference!$G$2, IF(AC66&gt;=Reference!$H$3, Reference!$G$3, IF(AC66&gt;=Reference!$H$4, Reference!$G$4, IF(AC66&gt;=Reference!$H$5, Reference!$G$5, ""))))</f>
        <v>Severe</v>
      </c>
      <c r="Q66" s="90" t="str">
        <f t="shared" si="0"/>
        <v>High</v>
      </c>
      <c r="R66" s="90" t="str">
        <f>IF(AE66&gt;=Reference!$D$2, Reference!$G$2, IF(AE66&gt;=Reference!$D$3, Reference!$E$3, IF(AE66&gt;=Reference!$D$4, Reference!$E$4, IF(AE66&gt;=Reference!$D$5, Reference!$E$5, ""))))</f>
        <v>Severe</v>
      </c>
      <c r="S66" s="16" t="s">
        <v>43</v>
      </c>
      <c r="T66" s="77" t="s">
        <v>671</v>
      </c>
      <c r="U66" s="77" t="s">
        <v>672</v>
      </c>
      <c r="V66" s="112" t="s">
        <v>673</v>
      </c>
      <c r="W66" s="77" t="s">
        <v>674</v>
      </c>
      <c r="Y66" s="12">
        <f>IF(H66=Reference!$A$12, Reference!$C$12, IF(H66=Reference!$A$11, Reference!$C$11, IF(H66=Reference!$A$10, Reference!$C$10, IF(H66=Reference!$A$9, Reference!$C$9, 0))))</f>
        <v>7</v>
      </c>
      <c r="Z66" s="12">
        <f>IF(J66=Reference!$A$20, Reference!$C$20, IF(J66=Reference!$A$19, Reference!$C$19, IF(J66=Reference!$A$18, Reference!$C$18, IF(J66=Reference!$A$17, Reference!$C$17, 0))))</f>
        <v>7</v>
      </c>
      <c r="AA66" s="12">
        <f>IF(L66=Reference!$A$28, Reference!$C$28, IF(L66=Reference!$A$27, Reference!$C$27, IF(L66=Reference!$A$26, Reference!$C$26, IF(L66=Reference!$A$25, Reference!$C$25, 0))))</f>
        <v>10</v>
      </c>
      <c r="AB66" s="12">
        <f>IF(N66=Reference!$A$36, Reference!$C$36, IF(N66=Reference!$A$35, Reference!$C$35, IF(N66=Reference!$A$34, Reference!$C$34, IF(N66=Reference!$A$33, Reference!$C$33, 0))))</f>
        <v>4</v>
      </c>
      <c r="AC66" s="12">
        <f>(Reference!$B$2*Y66 + Reference!$B$3*AA66 + Reference!$B$4*Z66 + Reference!$B$5 * AB66)/4</f>
        <v>12.375</v>
      </c>
      <c r="AD66" s="12">
        <f>IF(Q66=Reference!$C$41, Reference!$D$41, IF(Q66=Reference!$C$42, Reference!$D$42, IF(Q66=Reference!$C$43, Reference!$D$43, IF(Q66=Reference!$C$44, Reference!$D$44, 0))))</f>
        <v>10</v>
      </c>
      <c r="AE66" s="88">
        <f t="shared" si="1"/>
        <v>124.75</v>
      </c>
    </row>
    <row r="67" spans="1:31" ht="101.45">
      <c r="A67" s="137"/>
      <c r="B67" s="16" t="s">
        <v>74</v>
      </c>
      <c r="C67" s="16" t="s">
        <v>75</v>
      </c>
      <c r="D67" s="78" t="s">
        <v>675</v>
      </c>
      <c r="E67" s="78" t="s">
        <v>676</v>
      </c>
      <c r="F67" s="16" t="s">
        <v>35</v>
      </c>
      <c r="G67" s="77" t="s">
        <v>677</v>
      </c>
      <c r="H67" s="16" t="s">
        <v>64</v>
      </c>
      <c r="I67" s="77" t="s">
        <v>678</v>
      </c>
      <c r="J67" s="16" t="s">
        <v>64</v>
      </c>
      <c r="K67" s="77" t="s">
        <v>679</v>
      </c>
      <c r="L67" s="16" t="s">
        <v>119</v>
      </c>
      <c r="M67" s="77" t="s">
        <v>680</v>
      </c>
      <c r="N67" s="16" t="s">
        <v>37</v>
      </c>
      <c r="O67" s="77" t="s">
        <v>681</v>
      </c>
      <c r="P67" s="90" t="str">
        <f>IF(AC67&gt;=Reference!$H$2, Reference!$G$2, IF(AC67&gt;=Reference!$H$3, Reference!$G$3, IF(AC67&gt;=Reference!$H$4, Reference!$G$4, IF(AC67&gt;=Reference!$H$5, Reference!$G$5, ""))))</f>
        <v>Severe</v>
      </c>
      <c r="Q67" s="90" t="str">
        <f t="shared" si="0"/>
        <v>High</v>
      </c>
      <c r="R67" s="90" t="str">
        <f>IF(AE67&gt;=Reference!$D$2, Reference!$G$2, IF(AE67&gt;=Reference!$D$3, Reference!$E$3, IF(AE67&gt;=Reference!$D$4, Reference!$E$4, IF(AE67&gt;=Reference!$D$5, Reference!$E$5, ""))))</f>
        <v>Severe</v>
      </c>
      <c r="S67" s="16" t="s">
        <v>43</v>
      </c>
      <c r="T67" s="77" t="s">
        <v>682</v>
      </c>
      <c r="U67" s="77" t="s">
        <v>683</v>
      </c>
      <c r="V67" s="77" t="s">
        <v>684</v>
      </c>
      <c r="W67" s="77" t="s">
        <v>685</v>
      </c>
      <c r="Y67" s="12">
        <f>IF(H67=Reference!$A$12, Reference!$C$12, IF(H67=Reference!$A$11, Reference!$C$11, IF(H67=Reference!$A$10, Reference!$C$10, IF(H67=Reference!$A$9, Reference!$C$9, 0))))</f>
        <v>7</v>
      </c>
      <c r="Z67" s="12">
        <f>IF(J67=Reference!$A$20, Reference!$C$20, IF(J67=Reference!$A$19, Reference!$C$19, IF(J67=Reference!$A$18, Reference!$C$18, IF(J67=Reference!$A$17, Reference!$C$17, 0))))</f>
        <v>7</v>
      </c>
      <c r="AA67" s="12">
        <f>IF(L67=Reference!$A$28, Reference!$C$28, IF(L67=Reference!$A$27, Reference!$C$27, IF(L67=Reference!$A$26, Reference!$C$26, IF(L67=Reference!$A$25, Reference!$C$25, 0))))</f>
        <v>10</v>
      </c>
      <c r="AB67" s="12">
        <f>IF(N67=Reference!$A$36, Reference!$C$36, IF(N67=Reference!$A$35, Reference!$C$35, IF(N67=Reference!$A$34, Reference!$C$34, IF(N67=Reference!$A$33, Reference!$C$33, 0))))</f>
        <v>1</v>
      </c>
      <c r="AC67" s="12">
        <f>(Reference!$B$2*Y67 + Reference!$B$3*AA67 + Reference!$B$4*Z67 + Reference!$B$5 * AB67)/4</f>
        <v>12.1875</v>
      </c>
      <c r="AD67" s="12">
        <f>IF(Q67=Reference!$C$41, Reference!$D$41, IF(Q67=Reference!$C$42, Reference!$D$42, IF(Q67=Reference!$C$43, Reference!$D$43, IF(Q67=Reference!$C$44, Reference!$D$44, 0))))</f>
        <v>10</v>
      </c>
      <c r="AE67" s="88">
        <f t="shared" si="1"/>
        <v>122.875</v>
      </c>
    </row>
    <row r="68" spans="1:31" ht="101.45">
      <c r="A68" s="137"/>
      <c r="B68" s="16" t="s">
        <v>47</v>
      </c>
      <c r="C68" s="16" t="s">
        <v>32</v>
      </c>
      <c r="D68" s="78" t="s">
        <v>686</v>
      </c>
      <c r="E68" s="78" t="s">
        <v>687</v>
      </c>
      <c r="F68" s="16" t="s">
        <v>35</v>
      </c>
      <c r="G68" s="77" t="s">
        <v>688</v>
      </c>
      <c r="H68" s="16" t="s">
        <v>64</v>
      </c>
      <c r="I68" s="77" t="s">
        <v>689</v>
      </c>
      <c r="J68" s="16" t="s">
        <v>64</v>
      </c>
      <c r="K68" s="77" t="s">
        <v>690</v>
      </c>
      <c r="L68" s="16" t="s">
        <v>64</v>
      </c>
      <c r="M68" s="77" t="s">
        <v>691</v>
      </c>
      <c r="N68" s="16" t="s">
        <v>64</v>
      </c>
      <c r="O68" s="77" t="s">
        <v>692</v>
      </c>
      <c r="P68" s="90" t="str">
        <f>IF(AC68&gt;=Reference!$H$2, Reference!$G$2, IF(AC68&gt;=Reference!$H$3, Reference!$G$3, IF(AC68&gt;=Reference!$H$4, Reference!$G$4, IF(AC68&gt;=Reference!$H$5, Reference!$G$5, ""))))</f>
        <v>Severe</v>
      </c>
      <c r="Q68" s="90" t="str">
        <f t="shared" si="0"/>
        <v>High</v>
      </c>
      <c r="R68" s="90" t="str">
        <f>IF(AE68&gt;=Reference!$D$2, Reference!$G$2, IF(AE68&gt;=Reference!$D$3, Reference!$E$3, IF(AE68&gt;=Reference!$D$4, Reference!$E$4, IF(AE68&gt;=Reference!$D$5, Reference!$E$5, ""))))</f>
        <v>Severe</v>
      </c>
      <c r="S68" s="16" t="s">
        <v>43</v>
      </c>
      <c r="T68" s="77" t="s">
        <v>693</v>
      </c>
      <c r="U68" s="77" t="s">
        <v>694</v>
      </c>
      <c r="V68" s="77" t="s">
        <v>695</v>
      </c>
      <c r="W68" s="77" t="s">
        <v>696</v>
      </c>
      <c r="Y68" s="12">
        <f>IF(H68=Reference!$A$12, Reference!$C$12, IF(H68=Reference!$A$11, Reference!$C$11, IF(H68=Reference!$A$10, Reference!$C$10, IF(H68=Reference!$A$9, Reference!$C$9, 0))))</f>
        <v>7</v>
      </c>
      <c r="Z68" s="12">
        <f>IF(J68=Reference!$A$20, Reference!$C$20, IF(J68=Reference!$A$19, Reference!$C$19, IF(J68=Reference!$A$18, Reference!$C$18, IF(J68=Reference!$A$17, Reference!$C$17, 0))))</f>
        <v>7</v>
      </c>
      <c r="AA68" s="12">
        <f>IF(L68=Reference!$A$28, Reference!$C$28, IF(L68=Reference!$A$27, Reference!$C$27, IF(L68=Reference!$A$26, Reference!$C$26, IF(L68=Reference!$A$25, Reference!$C$25, 0))))</f>
        <v>7</v>
      </c>
      <c r="AB68" s="12">
        <f>IF(N68=Reference!$A$36, Reference!$C$36, IF(N68=Reference!$A$35, Reference!$C$35, IF(N68=Reference!$A$34, Reference!$C$34, IF(N68=Reference!$A$33, Reference!$C$33, 0))))</f>
        <v>7</v>
      </c>
      <c r="AC68" s="12">
        <f>(Reference!$B$2*Y68 + Reference!$B$3*AA68 + Reference!$B$4*Z68 + Reference!$B$5 * AB68)/4</f>
        <v>11.8125</v>
      </c>
      <c r="AD68" s="12">
        <f>IF(Q68=Reference!$C$41, Reference!$D$41, IF(Q68=Reference!$C$42, Reference!$D$42, IF(Q68=Reference!$C$43, Reference!$D$43, IF(Q68=Reference!$C$44, Reference!$D$44, 0))))</f>
        <v>10</v>
      </c>
      <c r="AE68" s="88">
        <f t="shared" si="1"/>
        <v>119.125</v>
      </c>
    </row>
    <row r="69" spans="1:31" ht="101.45">
      <c r="A69" s="137"/>
      <c r="B69" s="16" t="s">
        <v>47</v>
      </c>
      <c r="C69" s="16" t="s">
        <v>75</v>
      </c>
      <c r="D69" s="78" t="s">
        <v>686</v>
      </c>
      <c r="E69" s="78" t="s">
        <v>687</v>
      </c>
      <c r="F69" s="16" t="s">
        <v>35</v>
      </c>
      <c r="G69" s="77" t="s">
        <v>688</v>
      </c>
      <c r="H69" s="16" t="s">
        <v>64</v>
      </c>
      <c r="I69" s="77" t="s">
        <v>689</v>
      </c>
      <c r="J69" s="16" t="s">
        <v>64</v>
      </c>
      <c r="K69" s="77" t="s">
        <v>690</v>
      </c>
      <c r="L69" s="16" t="s">
        <v>64</v>
      </c>
      <c r="M69" s="77" t="s">
        <v>691</v>
      </c>
      <c r="N69" s="16" t="s">
        <v>64</v>
      </c>
      <c r="O69" s="77" t="s">
        <v>692</v>
      </c>
      <c r="P69" s="90" t="str">
        <f>IF(AC69&gt;=Reference!$H$2, Reference!$G$2, IF(AC69&gt;=Reference!$H$3, Reference!$G$3, IF(AC69&gt;=Reference!$H$4, Reference!$G$4, IF(AC69&gt;=Reference!$H$5, Reference!$G$5, ""))))</f>
        <v>Severe</v>
      </c>
      <c r="Q69" s="90" t="str">
        <f t="shared" ref="Q69:Q70" si="21">IF(F69="Physical", "Very Low", IF(F69="Local", "Low", IF(F69="Adjacent", "Medium", IF(F69="Network", "High", ""))))</f>
        <v>High</v>
      </c>
      <c r="R69" s="90" t="str">
        <f>IF(AE69&gt;=Reference!$D$2, Reference!$G$2, IF(AE69&gt;=Reference!$D$3, Reference!$E$3, IF(AE69&gt;=Reference!$D$4, Reference!$E$4, IF(AE69&gt;=Reference!$D$5, Reference!$E$5, ""))))</f>
        <v>Severe</v>
      </c>
      <c r="S69" s="16" t="s">
        <v>43</v>
      </c>
      <c r="T69" s="77" t="s">
        <v>693</v>
      </c>
      <c r="U69" s="77" t="s">
        <v>694</v>
      </c>
      <c r="V69" s="77" t="s">
        <v>695</v>
      </c>
      <c r="W69" s="77" t="s">
        <v>696</v>
      </c>
      <c r="Y69" s="12">
        <f>IF(H69=Reference!$A$12, Reference!$C$12, IF(H69=Reference!$A$11, Reference!$C$11, IF(H69=Reference!$A$10, Reference!$C$10, IF(H69=Reference!$A$9, Reference!$C$9, 0))))</f>
        <v>7</v>
      </c>
      <c r="Z69" s="12">
        <f>IF(J69=Reference!$A$20, Reference!$C$20, IF(J69=Reference!$A$19, Reference!$C$19, IF(J69=Reference!$A$18, Reference!$C$18, IF(J69=Reference!$A$17, Reference!$C$17, 0))))</f>
        <v>7</v>
      </c>
      <c r="AA69" s="12">
        <f>IF(L69=Reference!$A$28, Reference!$C$28, IF(L69=Reference!$A$27, Reference!$C$27, IF(L69=Reference!$A$26, Reference!$C$26, IF(L69=Reference!$A$25, Reference!$C$25, 0))))</f>
        <v>7</v>
      </c>
      <c r="AB69" s="12">
        <f>IF(N69=Reference!$A$36, Reference!$C$36, IF(N69=Reference!$A$35, Reference!$C$35, IF(N69=Reference!$A$34, Reference!$C$34, IF(N69=Reference!$A$33, Reference!$C$33, 0))))</f>
        <v>7</v>
      </c>
      <c r="AC69" s="12">
        <f>(Reference!$B$2*Y69 + Reference!$B$3*AA69 + Reference!$B$4*Z69 + Reference!$B$5 * AB69)/4</f>
        <v>11.8125</v>
      </c>
      <c r="AD69" s="12">
        <f>IF(Q69=Reference!$C$41, Reference!$D$41, IF(Q69=Reference!$C$42, Reference!$D$42, IF(Q69=Reference!$C$43, Reference!$D$43, IF(Q69=Reference!$C$44, Reference!$D$44, 0))))</f>
        <v>10</v>
      </c>
      <c r="AE69" s="88">
        <f t="shared" ref="AE69:AE70" si="22">1 + (AC69 * AD69)</f>
        <v>119.125</v>
      </c>
    </row>
    <row r="70" spans="1:31" ht="101.45">
      <c r="A70" s="129"/>
      <c r="B70" s="16" t="s">
        <v>47</v>
      </c>
      <c r="C70" s="16" t="s">
        <v>60</v>
      </c>
      <c r="D70" s="78" t="s">
        <v>686</v>
      </c>
      <c r="E70" s="78" t="s">
        <v>687</v>
      </c>
      <c r="F70" s="16" t="s">
        <v>35</v>
      </c>
      <c r="G70" s="77" t="s">
        <v>688</v>
      </c>
      <c r="H70" s="16" t="s">
        <v>64</v>
      </c>
      <c r="I70" s="77" t="s">
        <v>689</v>
      </c>
      <c r="J70" s="16" t="s">
        <v>64</v>
      </c>
      <c r="K70" s="77" t="s">
        <v>690</v>
      </c>
      <c r="L70" s="16" t="s">
        <v>64</v>
      </c>
      <c r="M70" s="77" t="s">
        <v>691</v>
      </c>
      <c r="N70" s="16" t="s">
        <v>64</v>
      </c>
      <c r="O70" s="77" t="s">
        <v>692</v>
      </c>
      <c r="P70" s="90" t="str">
        <f>IF(AC70&gt;=Reference!$H$2, Reference!$G$2, IF(AC70&gt;=Reference!$H$3, Reference!$G$3, IF(AC70&gt;=Reference!$H$4, Reference!$G$4, IF(AC70&gt;=Reference!$H$5, Reference!$G$5, ""))))</f>
        <v>Severe</v>
      </c>
      <c r="Q70" s="90" t="str">
        <f t="shared" si="21"/>
        <v>High</v>
      </c>
      <c r="R70" s="90" t="str">
        <f>IF(AE70&gt;=Reference!$D$2, Reference!$G$2, IF(AE70&gt;=Reference!$D$3, Reference!$E$3, IF(AE70&gt;=Reference!$D$4, Reference!$E$4, IF(AE70&gt;=Reference!$D$5, Reference!$E$5, ""))))</f>
        <v>Severe</v>
      </c>
      <c r="S70" s="16" t="s">
        <v>43</v>
      </c>
      <c r="T70" s="77" t="s">
        <v>693</v>
      </c>
      <c r="U70" s="77" t="s">
        <v>694</v>
      </c>
      <c r="V70" s="77" t="s">
        <v>695</v>
      </c>
      <c r="W70" s="77" t="s">
        <v>696</v>
      </c>
      <c r="Y70" s="12">
        <f>IF(H70=Reference!$A$12, Reference!$C$12, IF(H70=Reference!$A$11, Reference!$C$11, IF(H70=Reference!$A$10, Reference!$C$10, IF(H70=Reference!$A$9, Reference!$C$9, 0))))</f>
        <v>7</v>
      </c>
      <c r="Z70" s="12">
        <f>IF(J70=Reference!$A$20, Reference!$C$20, IF(J70=Reference!$A$19, Reference!$C$19, IF(J70=Reference!$A$18, Reference!$C$18, IF(J70=Reference!$A$17, Reference!$C$17, 0))))</f>
        <v>7</v>
      </c>
      <c r="AA70" s="12">
        <f>IF(L70=Reference!$A$28, Reference!$C$28, IF(L70=Reference!$A$27, Reference!$C$27, IF(L70=Reference!$A$26, Reference!$C$26, IF(L70=Reference!$A$25, Reference!$C$25, 0))))</f>
        <v>7</v>
      </c>
      <c r="AB70" s="12">
        <f>IF(N70=Reference!$A$36, Reference!$C$36, IF(N70=Reference!$A$35, Reference!$C$35, IF(N70=Reference!$A$34, Reference!$C$34, IF(N70=Reference!$A$33, Reference!$C$33, 0))))</f>
        <v>7</v>
      </c>
      <c r="AC70" s="12">
        <f>(Reference!$B$2*Y70 + Reference!$B$3*AA70 + Reference!$B$4*Z70 + Reference!$B$5 * AB70)/4</f>
        <v>11.8125</v>
      </c>
      <c r="AD70" s="12">
        <f>IF(Q70=Reference!$C$41, Reference!$D$41, IF(Q70=Reference!$C$42, Reference!$D$42, IF(Q70=Reference!$C$43, Reference!$D$43, IF(Q70=Reference!$C$44, Reference!$D$44, 0))))</f>
        <v>10</v>
      </c>
      <c r="AE70" s="88">
        <f t="shared" si="22"/>
        <v>119.125</v>
      </c>
    </row>
    <row r="71" spans="1:31" ht="139.15">
      <c r="A71" s="128" t="s">
        <v>697</v>
      </c>
      <c r="B71" s="16" t="s">
        <v>31</v>
      </c>
      <c r="C71" s="16" t="s">
        <v>32</v>
      </c>
      <c r="D71" s="78" t="s">
        <v>698</v>
      </c>
      <c r="E71" s="105" t="s">
        <v>699</v>
      </c>
      <c r="F71" s="16" t="s">
        <v>169</v>
      </c>
      <c r="G71" s="77" t="s">
        <v>700</v>
      </c>
      <c r="H71" s="16" t="s">
        <v>119</v>
      </c>
      <c r="I71" s="77" t="s">
        <v>701</v>
      </c>
      <c r="J71" s="16" t="s">
        <v>64</v>
      </c>
      <c r="K71" s="112" t="s">
        <v>702</v>
      </c>
      <c r="L71" s="16" t="s">
        <v>64</v>
      </c>
      <c r="M71" s="112" t="s">
        <v>703</v>
      </c>
      <c r="N71" s="16" t="s">
        <v>39</v>
      </c>
      <c r="O71" s="77" t="s">
        <v>704</v>
      </c>
      <c r="P71" s="86" t="str">
        <f>IF(AC71&gt;=Reference!$H$2, Reference!$G$2, IF(AC71&gt;=Reference!$H$3, Reference!$G$3, IF(AC71&gt;=Reference!$H$4, Reference!$G$4, IF(AC71&gt;=Reference!$H$5, Reference!$G$5, ""))))</f>
        <v>Severe</v>
      </c>
      <c r="Q71" s="86" t="str">
        <f t="shared" si="0"/>
        <v>Low</v>
      </c>
      <c r="R71" s="86" t="str">
        <f>IF(AE71&gt;=Reference!$D$2, Reference!$G$2, IF(AE71&gt;=Reference!$D$3, Reference!$E$3, IF(AE71&gt;=Reference!$D$4, Reference!$E$4, IF(AE71&gt;=Reference!$D$5, Reference!$E$5, ""))))</f>
        <v>High</v>
      </c>
      <c r="S71" s="9" t="s">
        <v>43</v>
      </c>
      <c r="T71" s="77" t="s">
        <v>705</v>
      </c>
      <c r="U71" s="77" t="s">
        <v>706</v>
      </c>
      <c r="V71" s="77" t="s">
        <v>707</v>
      </c>
      <c r="W71" s="77" t="s">
        <v>708</v>
      </c>
      <c r="Y71" s="12">
        <f>IF(H71=Reference!$A$12, Reference!$C$12, IF(H71=Reference!$A$11, Reference!$C$11, IF(H71=Reference!$A$10, Reference!$C$10, IF(H71=Reference!$A$9, Reference!$C$9, 0))))</f>
        <v>10</v>
      </c>
      <c r="Z71" s="12">
        <f>IF(J71=Reference!$A$20, Reference!$C$20, IF(J71=Reference!$A$19, Reference!$C$19, IF(J71=Reference!$A$18, Reference!$C$18, IF(J71=Reference!$A$17, Reference!$C$17, 0))))</f>
        <v>7</v>
      </c>
      <c r="AA71" s="12">
        <f>IF(L71=Reference!$A$28, Reference!$C$28, IF(L71=Reference!$A$27, Reference!$C$27, IF(L71=Reference!$A$26, Reference!$C$26, IF(L71=Reference!$A$25, Reference!$C$25, 0))))</f>
        <v>7</v>
      </c>
      <c r="AB71" s="12">
        <f>IF(N71=Reference!$A$36, Reference!$C$36, IF(N71=Reference!$A$35, Reference!$C$35, IF(N71=Reference!$A$34, Reference!$C$34, IF(N71=Reference!$A$33, Reference!$C$33, 0))))</f>
        <v>4</v>
      </c>
      <c r="AC71" s="12">
        <f>(Reference!$B$2*Y71 + Reference!$B$3*AA71 + Reference!$B$4*Z71 + Reference!$B$5 * AB71)/4</f>
        <v>15.375</v>
      </c>
      <c r="AD71" s="12">
        <f>IF(Q71=Reference!$C$41, Reference!$D$41, IF(Q71=Reference!$C$42, Reference!$D$42, IF(Q71=Reference!$C$43, Reference!$D$43, IF(Q71=Reference!$C$44, Reference!$D$44, 0))))</f>
        <v>4</v>
      </c>
      <c r="AE71" s="108">
        <f t="shared" si="1"/>
        <v>62.5</v>
      </c>
    </row>
    <row r="72" spans="1:31" ht="139.15">
      <c r="A72" s="135"/>
      <c r="B72" s="16" t="s">
        <v>179</v>
      </c>
      <c r="C72" s="16" t="s">
        <v>75</v>
      </c>
      <c r="D72" s="78" t="s">
        <v>709</v>
      </c>
      <c r="E72" s="105" t="s">
        <v>699</v>
      </c>
      <c r="F72" s="16" t="s">
        <v>35</v>
      </c>
      <c r="G72" s="77" t="s">
        <v>710</v>
      </c>
      <c r="H72" s="16" t="s">
        <v>119</v>
      </c>
      <c r="I72" s="77" t="s">
        <v>701</v>
      </c>
      <c r="J72" s="16" t="s">
        <v>64</v>
      </c>
      <c r="K72" s="112" t="s">
        <v>702</v>
      </c>
      <c r="L72" s="16" t="s">
        <v>64</v>
      </c>
      <c r="M72" s="112" t="s">
        <v>703</v>
      </c>
      <c r="N72" s="16" t="s">
        <v>39</v>
      </c>
      <c r="O72" s="77" t="s">
        <v>704</v>
      </c>
      <c r="P72" s="89" t="str">
        <f>IF(AC72&gt;=Reference!$H$2, Reference!$G$2, IF(AC72&gt;=Reference!$H$3, Reference!$G$3, IF(AC72&gt;=Reference!$H$4, Reference!$G$4, IF(AC72&gt;=Reference!$H$5, Reference!$G$5, ""))))</f>
        <v>Severe</v>
      </c>
      <c r="Q72" s="89" t="str">
        <f t="shared" si="0"/>
        <v>High</v>
      </c>
      <c r="R72" s="89" t="str">
        <f>IF(AE72&gt;=Reference!$D$2, Reference!$G$2, IF(AE72&gt;=Reference!$D$3, Reference!$E$3, IF(AE72&gt;=Reference!$D$4, Reference!$E$4, IF(AE72&gt;=Reference!$D$5, Reference!$E$5, ""))))</f>
        <v>Severe</v>
      </c>
      <c r="S72" s="9" t="s">
        <v>43</v>
      </c>
      <c r="T72" s="77" t="s">
        <v>705</v>
      </c>
      <c r="U72" s="77" t="s">
        <v>706</v>
      </c>
      <c r="V72" s="77" t="s">
        <v>707</v>
      </c>
      <c r="W72" s="77" t="s">
        <v>708</v>
      </c>
      <c r="Y72" s="12">
        <f>IF(H72=Reference!$A$12, Reference!$C$12, IF(H72=Reference!$A$11, Reference!$C$11, IF(H72=Reference!$A$10, Reference!$C$10, IF(H72=Reference!$A$9, Reference!$C$9, 0))))</f>
        <v>10</v>
      </c>
      <c r="Z72" s="12">
        <f>IF(J72=Reference!$A$20, Reference!$C$20, IF(J72=Reference!$A$19, Reference!$C$19, IF(J72=Reference!$A$18, Reference!$C$18, IF(J72=Reference!$A$17, Reference!$C$17, 0))))</f>
        <v>7</v>
      </c>
      <c r="AA72" s="12">
        <f>IF(L72=Reference!$A$28, Reference!$C$28, IF(L72=Reference!$A$27, Reference!$C$27, IF(L72=Reference!$A$26, Reference!$C$26, IF(L72=Reference!$A$25, Reference!$C$25, 0))))</f>
        <v>7</v>
      </c>
      <c r="AB72" s="12">
        <f>IF(N72=Reference!$A$36, Reference!$C$36, IF(N72=Reference!$A$35, Reference!$C$35, IF(N72=Reference!$A$34, Reference!$C$34, IF(N72=Reference!$A$33, Reference!$C$33, 0))))</f>
        <v>4</v>
      </c>
      <c r="AC72" s="12">
        <f>(Reference!$B$2*Y72 + Reference!$B$3*AA72 + Reference!$B$4*Z72 + Reference!$B$5 * AB72)/4</f>
        <v>15.375</v>
      </c>
      <c r="AD72" s="12">
        <f>IF(Q72=Reference!$C$41, Reference!$D$41, IF(Q72=Reference!$C$42, Reference!$D$42, IF(Q72=Reference!$C$43, Reference!$D$43, IF(Q72=Reference!$C$44, Reference!$D$44, 0))))</f>
        <v>10</v>
      </c>
      <c r="AE72" s="88">
        <f t="shared" si="1"/>
        <v>154.75</v>
      </c>
    </row>
    <row r="73" spans="1:31" ht="126.6">
      <c r="A73" s="136"/>
      <c r="B73" s="9" t="s">
        <v>47</v>
      </c>
      <c r="C73" s="9" t="s">
        <v>32</v>
      </c>
      <c r="D73" s="78" t="s">
        <v>711</v>
      </c>
      <c r="E73" s="75" t="s">
        <v>711</v>
      </c>
      <c r="F73" s="16" t="s">
        <v>35</v>
      </c>
      <c r="G73" s="77" t="s">
        <v>712</v>
      </c>
      <c r="H73" s="16" t="s">
        <v>39</v>
      </c>
      <c r="I73" s="77" t="s">
        <v>713</v>
      </c>
      <c r="J73" s="16" t="s">
        <v>39</v>
      </c>
      <c r="K73" s="112" t="s">
        <v>714</v>
      </c>
      <c r="L73" s="16" t="s">
        <v>64</v>
      </c>
      <c r="M73" s="77" t="s">
        <v>715</v>
      </c>
      <c r="N73" s="16" t="s">
        <v>39</v>
      </c>
      <c r="O73" s="77" t="s">
        <v>716</v>
      </c>
      <c r="P73" s="113" t="str">
        <f>IF(AC73&gt;=Reference!$H$2, Reference!$G$2, IF(AC73&gt;=Reference!$H$3, Reference!$G$3, IF(AC73&gt;=Reference!$H$4, Reference!$G$4, IF(AC73&gt;=Reference!$H$5, Reference!$G$5, ""))))</f>
        <v>Major</v>
      </c>
      <c r="Q73" s="113" t="str">
        <f t="shared" si="0"/>
        <v>High</v>
      </c>
      <c r="R73" s="113" t="str">
        <f>IF(AE73&gt;=Reference!$D$2, Reference!$G$2, IF(AE73&gt;=Reference!$D$3, Reference!$E$3, IF(AE73&gt;=Reference!$D$4, Reference!$E$4, IF(AE73&gt;=Reference!$D$5, Reference!$E$5, ""))))</f>
        <v>High</v>
      </c>
      <c r="S73" s="16" t="s">
        <v>43</v>
      </c>
      <c r="T73" s="112" t="s">
        <v>717</v>
      </c>
      <c r="U73" s="77" t="s">
        <v>718</v>
      </c>
      <c r="V73" s="77" t="s">
        <v>719</v>
      </c>
      <c r="W73" s="77" t="s">
        <v>720</v>
      </c>
      <c r="Y73" s="12">
        <f>IF(H73=Reference!$A$12, Reference!$C$12, IF(H73=Reference!$A$11, Reference!$C$11, IF(H73=Reference!$A$10, Reference!$C$10, IF(H73=Reference!$A$9, Reference!$C$9, 0))))</f>
        <v>4</v>
      </c>
      <c r="Z73" s="12">
        <f>IF(J73=Reference!$A$20, Reference!$C$20, IF(J73=Reference!$A$19, Reference!$C$19, IF(J73=Reference!$A$18, Reference!$C$18, IF(J73=Reference!$A$17, Reference!$C$17, 0))))</f>
        <v>4</v>
      </c>
      <c r="AA73" s="12">
        <f>IF(L73=Reference!$A$28, Reference!$C$28, IF(L73=Reference!$A$27, Reference!$C$27, IF(L73=Reference!$A$26, Reference!$C$26, IF(L73=Reference!$A$25, Reference!$C$25, 0))))</f>
        <v>7</v>
      </c>
      <c r="AB73" s="12">
        <f>IF(N73=Reference!$A$36, Reference!$C$36, IF(N73=Reference!$A$35, Reference!$C$35, IF(N73=Reference!$A$34, Reference!$C$34, IF(N73=Reference!$A$33, Reference!$C$33, 0))))</f>
        <v>4</v>
      </c>
      <c r="AC73" s="12">
        <f>(Reference!$B$2*Y73 + Reference!$B$3*AA73 + Reference!$B$4*Z73 + Reference!$B$5 * AB73)/4</f>
        <v>7.5</v>
      </c>
      <c r="AD73" s="12">
        <f>IF(Q73=Reference!$C$41, Reference!$D$41, IF(Q73=Reference!$C$42, Reference!$D$42, IF(Q73=Reference!$C$43, Reference!$D$43, IF(Q73=Reference!$C$44, Reference!$D$44, 0))))</f>
        <v>10</v>
      </c>
      <c r="AE73" s="108">
        <f t="shared" si="1"/>
        <v>76</v>
      </c>
    </row>
    <row r="74" spans="1:31" ht="76.150000000000006">
      <c r="A74" s="128" t="s">
        <v>721</v>
      </c>
      <c r="B74" s="9" t="s">
        <v>31</v>
      </c>
      <c r="C74" s="9" t="s">
        <v>32</v>
      </c>
      <c r="D74" s="78" t="s">
        <v>722</v>
      </c>
      <c r="E74" s="75" t="s">
        <v>723</v>
      </c>
      <c r="F74" s="16" t="s">
        <v>35</v>
      </c>
      <c r="G74" s="16"/>
      <c r="H74" s="16" t="s">
        <v>39</v>
      </c>
      <c r="I74" s="77" t="s">
        <v>724</v>
      </c>
      <c r="J74" s="16" t="s">
        <v>39</v>
      </c>
      <c r="K74" s="77" t="s">
        <v>725</v>
      </c>
      <c r="L74" s="16" t="s">
        <v>39</v>
      </c>
      <c r="M74" s="77" t="s">
        <v>726</v>
      </c>
      <c r="N74" s="16" t="s">
        <v>39</v>
      </c>
      <c r="O74" s="77" t="s">
        <v>727</v>
      </c>
      <c r="P74" s="113" t="str">
        <f>IF(AC74&gt;=Reference!$H$2, Reference!$G$2, IF(AC74&gt;=Reference!$H$3, Reference!$G$3, IF(AC74&gt;=Reference!$H$4, Reference!$G$4, IF(AC74&gt;=Reference!$H$5, Reference!$G$5, ""))))</f>
        <v>Major</v>
      </c>
      <c r="Q74" s="113" t="str">
        <f t="shared" si="0"/>
        <v>High</v>
      </c>
      <c r="R74" s="113" t="str">
        <f>IF(AE74&gt;=Reference!$D$2, Reference!$G$2, IF(AE74&gt;=Reference!$D$3, Reference!$E$3, IF(AE74&gt;=Reference!$D$4, Reference!$E$4, IF(AE74&gt;=Reference!$D$5, Reference!$E$5, ""))))</f>
        <v>High</v>
      </c>
      <c r="S74" s="16" t="s">
        <v>43</v>
      </c>
      <c r="T74" s="77" t="s">
        <v>728</v>
      </c>
      <c r="U74" s="77" t="s">
        <v>729</v>
      </c>
      <c r="V74" s="77" t="s">
        <v>730</v>
      </c>
      <c r="W74" s="77" t="s">
        <v>731</v>
      </c>
      <c r="Y74" s="12">
        <f>IF(H74=Reference!$A$12, Reference!$C$12, IF(H74=Reference!$A$11, Reference!$C$11, IF(H74=Reference!$A$10, Reference!$C$10, IF(H74=Reference!$A$9, Reference!$C$9, 0))))</f>
        <v>4</v>
      </c>
      <c r="Z74" s="12">
        <f>IF(J74=Reference!$A$20, Reference!$C$20, IF(J74=Reference!$A$19, Reference!$C$19, IF(J74=Reference!$A$18, Reference!$C$18, IF(J74=Reference!$A$17, Reference!$C$17, 0))))</f>
        <v>4</v>
      </c>
      <c r="AA74" s="12">
        <f>IF(L74=Reference!$A$28, Reference!$C$28, IF(L74=Reference!$A$27, Reference!$C$27, IF(L74=Reference!$A$26, Reference!$C$26, IF(L74=Reference!$A$25, Reference!$C$25, 0))))</f>
        <v>4</v>
      </c>
      <c r="AB74" s="12">
        <f>IF(N74=Reference!$A$36, Reference!$C$36, IF(N74=Reference!$A$35, Reference!$C$35, IF(N74=Reference!$A$34, Reference!$C$34, IF(N74=Reference!$A$33, Reference!$C$33, 0))))</f>
        <v>4</v>
      </c>
      <c r="AC74" s="12">
        <f>(Reference!$B$2*Y74 + Reference!$B$3*AA74 + Reference!$B$4*Z74 + Reference!$B$5 * AB74)/4</f>
        <v>6.75</v>
      </c>
      <c r="AD74" s="12">
        <f>IF(Q74=Reference!$C$41, Reference!$D$41, IF(Q74=Reference!$C$42, Reference!$D$42, IF(Q74=Reference!$C$43, Reference!$D$43, IF(Q74=Reference!$C$44, Reference!$D$44, 0))))</f>
        <v>10</v>
      </c>
      <c r="AE74" s="108">
        <f t="shared" si="1"/>
        <v>68.5</v>
      </c>
    </row>
    <row r="75" spans="1:31" ht="164.45">
      <c r="A75" s="137"/>
      <c r="B75" s="9" t="s">
        <v>74</v>
      </c>
      <c r="C75" s="9" t="s">
        <v>75</v>
      </c>
      <c r="D75" s="78" t="s">
        <v>732</v>
      </c>
      <c r="E75" s="78" t="s">
        <v>733</v>
      </c>
      <c r="F75" s="16" t="s">
        <v>169</v>
      </c>
      <c r="G75" s="77" t="s">
        <v>734</v>
      </c>
      <c r="H75" s="16" t="s">
        <v>64</v>
      </c>
      <c r="I75" s="77" t="s">
        <v>735</v>
      </c>
      <c r="J75" s="16" t="s">
        <v>64</v>
      </c>
      <c r="K75" s="72" t="s">
        <v>736</v>
      </c>
      <c r="L75" s="16" t="s">
        <v>64</v>
      </c>
      <c r="M75" s="77" t="s">
        <v>737</v>
      </c>
      <c r="N75" s="16" t="s">
        <v>64</v>
      </c>
      <c r="O75" s="77" t="s">
        <v>738</v>
      </c>
      <c r="P75" s="114" t="str">
        <f>IF(AC75&gt;=Reference!$H$2, Reference!$G$2, IF(AC75&gt;=Reference!$H$3, Reference!$G$3, IF(AC75&gt;=Reference!$H$4, Reference!$G$4, IF(AC75&gt;=Reference!$H$5, Reference!$G$5, ""))))</f>
        <v>Severe</v>
      </c>
      <c r="Q75" s="114" t="str">
        <f t="shared" si="0"/>
        <v>Low</v>
      </c>
      <c r="R75" s="114" t="str">
        <f>IF(AE75&gt;=Reference!$D$2, Reference!$G$2, IF(AE75&gt;=Reference!$D$3, Reference!$E$3, IF(AE75&gt;=Reference!$D$4, Reference!$E$4, IF(AE75&gt;=Reference!$D$5, Reference!$E$5, ""))))</f>
        <v>Medium</v>
      </c>
      <c r="S75" s="16" t="s">
        <v>43</v>
      </c>
      <c r="T75" s="77" t="s">
        <v>739</v>
      </c>
      <c r="U75" s="77" t="s">
        <v>740</v>
      </c>
      <c r="V75" s="77" t="s">
        <v>741</v>
      </c>
      <c r="W75" s="77" t="s">
        <v>742</v>
      </c>
      <c r="Y75" s="12">
        <f>IF(H75=Reference!$A$12, Reference!$C$12, IF(H75=Reference!$A$11, Reference!$C$11, IF(H75=Reference!$A$10, Reference!$C$10, IF(H75=Reference!$A$9, Reference!$C$9, 0))))</f>
        <v>7</v>
      </c>
      <c r="Z75" s="12">
        <f>IF(J75=Reference!$A$20, Reference!$C$20, IF(J75=Reference!$A$19, Reference!$C$19, IF(J75=Reference!$A$18, Reference!$C$18, IF(J75=Reference!$A$17, Reference!$C$17, 0))))</f>
        <v>7</v>
      </c>
      <c r="AA75" s="12">
        <f>IF(L75=Reference!$A$28, Reference!$C$28, IF(L75=Reference!$A$27, Reference!$C$27, IF(L75=Reference!$A$26, Reference!$C$26, IF(L75=Reference!$A$25, Reference!$C$25, 0))))</f>
        <v>7</v>
      </c>
      <c r="AB75" s="12">
        <f>IF(N75=Reference!$A$36, Reference!$C$36, IF(N75=Reference!$A$35, Reference!$C$35, IF(N75=Reference!$A$34, Reference!$C$34, IF(N75=Reference!$A$33, Reference!$C$33, 0))))</f>
        <v>7</v>
      </c>
      <c r="AC75" s="12">
        <f>(Reference!$B$2*Y75 + Reference!$B$3*AA75 + Reference!$B$4*Z75 + Reference!$B$5 * AB75)/4</f>
        <v>11.8125</v>
      </c>
      <c r="AD75" s="12">
        <f>IF(Q75=Reference!$C$41, Reference!$D$41, IF(Q75=Reference!$C$42, Reference!$D$42, IF(Q75=Reference!$C$43, Reference!$D$43, IF(Q75=Reference!$C$44, Reference!$D$44, 0))))</f>
        <v>4</v>
      </c>
      <c r="AE75" s="99">
        <f t="shared" si="1"/>
        <v>48.25</v>
      </c>
    </row>
    <row r="76" spans="1:31" ht="164.45">
      <c r="A76" s="129"/>
      <c r="B76" s="9" t="s">
        <v>74</v>
      </c>
      <c r="C76" s="9" t="s">
        <v>32</v>
      </c>
      <c r="D76" s="78" t="s">
        <v>732</v>
      </c>
      <c r="E76" s="78" t="s">
        <v>733</v>
      </c>
      <c r="F76" s="16" t="s">
        <v>180</v>
      </c>
      <c r="G76" s="77" t="s">
        <v>743</v>
      </c>
      <c r="H76" s="16" t="s">
        <v>64</v>
      </c>
      <c r="I76" s="77" t="s">
        <v>735</v>
      </c>
      <c r="J76" s="16" t="s">
        <v>64</v>
      </c>
      <c r="K76" s="72" t="s">
        <v>736</v>
      </c>
      <c r="L76" s="16" t="s">
        <v>64</v>
      </c>
      <c r="M76" s="77" t="s">
        <v>737</v>
      </c>
      <c r="N76" s="16" t="s">
        <v>64</v>
      </c>
      <c r="O76" s="77" t="s">
        <v>738</v>
      </c>
      <c r="P76" s="113" t="str">
        <f>IF(AC76&gt;=Reference!$H$2, Reference!$G$2, IF(AC76&gt;=Reference!$H$3, Reference!$G$3, IF(AC76&gt;=Reference!$H$4, Reference!$G$4, IF(AC76&gt;=Reference!$H$5, Reference!$G$5, ""))))</f>
        <v>Severe</v>
      </c>
      <c r="Q76" s="113" t="str">
        <f t="shared" ref="Q76" si="23">IF(F76="Physical", "Very Low", IF(F76="Local", "Low", IF(F76="Adjacent", "Medium", IF(F76="Network", "High", ""))))</f>
        <v>Medium</v>
      </c>
      <c r="R76" s="113" t="str">
        <f>IF(AE76&gt;=Reference!$D$2, Reference!$G$2, IF(AE76&gt;=Reference!$D$3, Reference!$E$3, IF(AE76&gt;=Reference!$D$4, Reference!$E$4, IF(AE76&gt;=Reference!$D$5, Reference!$E$5, ""))))</f>
        <v>High</v>
      </c>
      <c r="S76" s="16" t="s">
        <v>43</v>
      </c>
      <c r="T76" s="77" t="s">
        <v>739</v>
      </c>
      <c r="U76" s="77" t="s">
        <v>740</v>
      </c>
      <c r="V76" s="77" t="s">
        <v>741</v>
      </c>
      <c r="W76" s="77" t="s">
        <v>742</v>
      </c>
      <c r="Y76" s="12">
        <f>IF(H76=Reference!$A$12, Reference!$C$12, IF(H76=Reference!$A$11, Reference!$C$11, IF(H76=Reference!$A$10, Reference!$C$10, IF(H76=Reference!$A$9, Reference!$C$9, 0))))</f>
        <v>7</v>
      </c>
      <c r="Z76" s="12">
        <f>IF(J76=Reference!$A$20, Reference!$C$20, IF(J76=Reference!$A$19, Reference!$C$19, IF(J76=Reference!$A$18, Reference!$C$18, IF(J76=Reference!$A$17, Reference!$C$17, 0))))</f>
        <v>7</v>
      </c>
      <c r="AA76" s="12">
        <f>IF(L76=Reference!$A$28, Reference!$C$28, IF(L76=Reference!$A$27, Reference!$C$27, IF(L76=Reference!$A$26, Reference!$C$26, IF(L76=Reference!$A$25, Reference!$C$25, 0))))</f>
        <v>7</v>
      </c>
      <c r="AB76" s="12">
        <f>IF(N76=Reference!$A$36, Reference!$C$36, IF(N76=Reference!$A$35, Reference!$C$35, IF(N76=Reference!$A$34, Reference!$C$34, IF(N76=Reference!$A$33, Reference!$C$33, 0))))</f>
        <v>7</v>
      </c>
      <c r="AC76" s="12">
        <f>(Reference!$B$2*Y76 + Reference!$B$3*AA76 + Reference!$B$4*Z76 + Reference!$B$5 * AB76)/4</f>
        <v>11.8125</v>
      </c>
      <c r="AD76" s="12">
        <f>IF(Q76=Reference!$C$41, Reference!$D$41, IF(Q76=Reference!$C$42, Reference!$D$42, IF(Q76=Reference!$C$43, Reference!$D$43, IF(Q76=Reference!$C$44, Reference!$D$44, 0))))</f>
        <v>7</v>
      </c>
      <c r="AE76" s="108">
        <f t="shared" si="1"/>
        <v>83.6875</v>
      </c>
    </row>
    <row r="77" spans="1:31" ht="101.45">
      <c r="A77" s="120" t="s">
        <v>744</v>
      </c>
      <c r="B77" s="9" t="s">
        <v>31</v>
      </c>
      <c r="C77" s="9" t="s">
        <v>32</v>
      </c>
      <c r="D77" s="78" t="s">
        <v>745</v>
      </c>
      <c r="E77" s="75" t="s">
        <v>746</v>
      </c>
      <c r="F77" s="16" t="s">
        <v>180</v>
      </c>
      <c r="G77" s="77" t="s">
        <v>747</v>
      </c>
      <c r="H77" s="16" t="s">
        <v>64</v>
      </c>
      <c r="I77" s="77" t="s">
        <v>748</v>
      </c>
      <c r="J77" s="16" t="s">
        <v>64</v>
      </c>
      <c r="K77" s="77" t="s">
        <v>749</v>
      </c>
      <c r="L77" s="16" t="s">
        <v>39</v>
      </c>
      <c r="M77" s="77" t="s">
        <v>750</v>
      </c>
      <c r="N77" s="16" t="s">
        <v>39</v>
      </c>
      <c r="O77" s="77" t="s">
        <v>751</v>
      </c>
      <c r="P77" s="95" t="str">
        <f>IF(AC77&gt;=Reference!$H$2, Reference!$G$2, IF(AC77&gt;=Reference!$H$3, Reference!$G$3, IF(AC77&gt;=Reference!$H$4, Reference!$G$4, IF(AC77&gt;=Reference!$H$5, Reference!$G$5, ""))))</f>
        <v>Severe</v>
      </c>
      <c r="Q77" s="95" t="str">
        <f t="shared" si="0"/>
        <v>Medium</v>
      </c>
      <c r="R77" s="95" t="str">
        <f>IF(AE77&gt;=Reference!$D$2, Reference!$G$2, IF(AE77&gt;=Reference!$D$3, Reference!$E$3, IF(AE77&gt;=Reference!$D$4, Reference!$E$4, IF(AE77&gt;=Reference!$D$5, Reference!$E$5, ""))))</f>
        <v>High</v>
      </c>
      <c r="S77" s="16" t="s">
        <v>43</v>
      </c>
      <c r="T77" s="77" t="s">
        <v>752</v>
      </c>
      <c r="U77" s="77" t="s">
        <v>753</v>
      </c>
      <c r="V77" s="77" t="s">
        <v>754</v>
      </c>
      <c r="W77" s="77" t="s">
        <v>755</v>
      </c>
      <c r="Y77" s="12">
        <f>IF(H77=Reference!$A$12, Reference!$C$12, IF(H77=Reference!$A$11, Reference!$C$11, IF(H77=Reference!$A$10, Reference!$C$10, IF(H77=Reference!$A$9, Reference!$C$9, 0))))</f>
        <v>7</v>
      </c>
      <c r="Z77" s="12">
        <f>IF(J77=Reference!$A$20, Reference!$C$20, IF(J77=Reference!$A$19, Reference!$C$19, IF(J77=Reference!$A$18, Reference!$C$18, IF(J77=Reference!$A$17, Reference!$C$17, 0))))</f>
        <v>7</v>
      </c>
      <c r="AA77" s="12">
        <f>IF(L77=Reference!$A$28, Reference!$C$28, IF(L77=Reference!$A$27, Reference!$C$27, IF(L77=Reference!$A$26, Reference!$C$26, IF(L77=Reference!$A$25, Reference!$C$25, 0))))</f>
        <v>4</v>
      </c>
      <c r="AB77" s="12">
        <f>IF(N77=Reference!$A$36, Reference!$C$36, IF(N77=Reference!$A$35, Reference!$C$35, IF(N77=Reference!$A$34, Reference!$C$34, IF(N77=Reference!$A$33, Reference!$C$33, 0))))</f>
        <v>4</v>
      </c>
      <c r="AC77" s="12">
        <f>(Reference!$B$2*Y77 + Reference!$B$3*AA77 + Reference!$B$4*Z77 + Reference!$B$5 * AB77)/4</f>
        <v>10.875</v>
      </c>
      <c r="AD77" s="12">
        <f>IF(Q77=Reference!$C$41, Reference!$D$41, IF(Q77=Reference!$C$42, Reference!$D$42, IF(Q77=Reference!$C$43, Reference!$D$43, IF(Q77=Reference!$C$44, Reference!$D$44, 0))))</f>
        <v>7</v>
      </c>
      <c r="AE77" s="87">
        <f t="shared" si="1"/>
        <v>77.125</v>
      </c>
    </row>
    <row r="78" spans="1:31" ht="101.45">
      <c r="A78" s="121" t="s">
        <v>756</v>
      </c>
      <c r="B78" s="9" t="s">
        <v>179</v>
      </c>
      <c r="C78" s="9" t="s">
        <v>75</v>
      </c>
      <c r="D78" s="78" t="s">
        <v>745</v>
      </c>
      <c r="E78" s="75" t="s">
        <v>757</v>
      </c>
      <c r="F78" s="16" t="s">
        <v>758</v>
      </c>
      <c r="G78" s="77" t="s">
        <v>759</v>
      </c>
      <c r="H78" s="16" t="s">
        <v>64</v>
      </c>
      <c r="I78" s="77" t="s">
        <v>748</v>
      </c>
      <c r="J78" s="16" t="s">
        <v>64</v>
      </c>
      <c r="K78" s="77" t="s">
        <v>749</v>
      </c>
      <c r="L78" s="16" t="s">
        <v>39</v>
      </c>
      <c r="M78" s="77" t="s">
        <v>750</v>
      </c>
      <c r="N78" s="16" t="s">
        <v>39</v>
      </c>
      <c r="O78" s="77" t="s">
        <v>751</v>
      </c>
      <c r="P78" s="119" t="str">
        <f>IF(AC78&gt;=Reference!$H$2, Reference!$G$2, IF(AC78&gt;=Reference!$H$3, Reference!$G$3, IF(AC78&gt;=Reference!$H$4, Reference!$G$4, IF(AC78&gt;=Reference!$H$5, Reference!$G$5, ""))))</f>
        <v>Severe</v>
      </c>
      <c r="Q78" s="119" t="str">
        <f t="shared" si="0"/>
        <v>Very Low</v>
      </c>
      <c r="R78" s="119" t="str">
        <f>IF(AE78&gt;=Reference!$D$2, Reference!$G$2, IF(AE78&gt;=Reference!$D$3, Reference!$E$3, IF(AE78&gt;=Reference!$D$4, Reference!$E$4, IF(AE78&gt;=Reference!$D$5, Reference!$E$5, ""))))</f>
        <v>Low</v>
      </c>
      <c r="S78" s="16" t="s">
        <v>582</v>
      </c>
      <c r="T78" s="77" t="s">
        <v>752</v>
      </c>
      <c r="U78" s="77" t="s">
        <v>753</v>
      </c>
      <c r="V78" s="77" t="s">
        <v>760</v>
      </c>
      <c r="W78" s="77" t="s">
        <v>755</v>
      </c>
      <c r="Y78" s="12">
        <f>IF(H78=Reference!$A$12, Reference!$C$12, IF(H78=Reference!$A$11, Reference!$C$11, IF(H78=Reference!$A$10, Reference!$C$10, IF(H78=Reference!$A$9, Reference!$C$9, 0))))</f>
        <v>7</v>
      </c>
      <c r="Z78" s="12">
        <f>IF(J78=Reference!$A$20, Reference!$C$20, IF(J78=Reference!$A$19, Reference!$C$19, IF(J78=Reference!$A$18, Reference!$C$18, IF(J78=Reference!$A$17, Reference!$C$17, 0))))</f>
        <v>7</v>
      </c>
      <c r="AA78" s="12">
        <f>IF(L78=Reference!$A$28, Reference!$C$28, IF(L78=Reference!$A$27, Reference!$C$27, IF(L78=Reference!$A$26, Reference!$C$26, IF(L78=Reference!$A$25, Reference!$C$25, 0))))</f>
        <v>4</v>
      </c>
      <c r="AB78" s="12">
        <f>IF(N78=Reference!$A$36, Reference!$C$36, IF(N78=Reference!$A$35, Reference!$C$35, IF(N78=Reference!$A$34, Reference!$C$34, IF(N78=Reference!$A$33, Reference!$C$33, 0))))</f>
        <v>4</v>
      </c>
      <c r="AC78" s="12">
        <f>(Reference!$B$2*Y78 + Reference!$B$3*AA78 + Reference!$B$4*Z78 + Reference!$B$5 * AB78)/4</f>
        <v>10.875</v>
      </c>
      <c r="AD78" s="12">
        <f>IF(Q78=Reference!$C$41, Reference!$D$41, IF(Q78=Reference!$C$42, Reference!$D$42, IF(Q78=Reference!$C$43, Reference!$D$43, IF(Q78=Reference!$C$44, Reference!$D$44, 0))))</f>
        <v>1</v>
      </c>
      <c r="AE78" s="118">
        <f t="shared" si="1"/>
        <v>11.875</v>
      </c>
    </row>
    <row r="79" spans="1:31" ht="101.45">
      <c r="A79" s="121" t="s">
        <v>744</v>
      </c>
      <c r="B79" s="9" t="s">
        <v>47</v>
      </c>
      <c r="C79" s="9" t="s">
        <v>32</v>
      </c>
      <c r="D79" s="78" t="s">
        <v>761</v>
      </c>
      <c r="E79" s="78" t="s">
        <v>762</v>
      </c>
      <c r="F79" s="16" t="s">
        <v>35</v>
      </c>
      <c r="G79" s="77" t="s">
        <v>763</v>
      </c>
      <c r="H79" s="16" t="s">
        <v>39</v>
      </c>
      <c r="I79" s="77" t="s">
        <v>764</v>
      </c>
      <c r="J79" s="16" t="s">
        <v>39</v>
      </c>
      <c r="K79" s="77" t="s">
        <v>765</v>
      </c>
      <c r="L79" s="16" t="s">
        <v>64</v>
      </c>
      <c r="M79" s="77" t="s">
        <v>766</v>
      </c>
      <c r="N79" s="16" t="s">
        <v>39</v>
      </c>
      <c r="O79" s="77" t="s">
        <v>767</v>
      </c>
      <c r="P79" s="95" t="str">
        <f>IF(AC79&gt;=Reference!$H$2, Reference!$G$2, IF(AC79&gt;=Reference!$H$3, Reference!$G$3, IF(AC79&gt;=Reference!$H$4, Reference!$G$4, IF(AC79&gt;=Reference!$H$5, Reference!$G$5, ""))))</f>
        <v>Major</v>
      </c>
      <c r="Q79" s="95" t="str">
        <f t="shared" si="0"/>
        <v>High</v>
      </c>
      <c r="R79" s="95" t="str">
        <f>IF(AE79&gt;=Reference!$D$2, Reference!$G$2, IF(AE79&gt;=Reference!$D$3, Reference!$E$3, IF(AE79&gt;=Reference!$D$4, Reference!$E$4, IF(AE79&gt;=Reference!$D$5, Reference!$E$5, ""))))</f>
        <v>High</v>
      </c>
      <c r="S79" s="16" t="s">
        <v>43</v>
      </c>
      <c r="T79" s="77" t="s">
        <v>768</v>
      </c>
      <c r="U79" s="77" t="s">
        <v>769</v>
      </c>
      <c r="V79" s="77" t="s">
        <v>770</v>
      </c>
      <c r="W79" s="77" t="s">
        <v>771</v>
      </c>
      <c r="Y79" s="12">
        <f>IF(H79=Reference!$A$12, Reference!$C$12, IF(H79=Reference!$A$11, Reference!$C$11, IF(H79=Reference!$A$10, Reference!$C$10, IF(H79=Reference!$A$9, Reference!$C$9, 0))))</f>
        <v>4</v>
      </c>
      <c r="Z79" s="12">
        <f>IF(J79=Reference!$A$20, Reference!$C$20, IF(J79=Reference!$A$19, Reference!$C$19, IF(J79=Reference!$A$18, Reference!$C$18, IF(J79=Reference!$A$17, Reference!$C$17, 0))))</f>
        <v>4</v>
      </c>
      <c r="AA79" s="12">
        <f>IF(L79=Reference!$A$28, Reference!$C$28, IF(L79=Reference!$A$27, Reference!$C$27, IF(L79=Reference!$A$26, Reference!$C$26, IF(L79=Reference!$A$25, Reference!$C$25, 0))))</f>
        <v>7</v>
      </c>
      <c r="AB79" s="12">
        <f>IF(N79=Reference!$A$36, Reference!$C$36, IF(N79=Reference!$A$35, Reference!$C$35, IF(N79=Reference!$A$34, Reference!$C$34, IF(N79=Reference!$A$33, Reference!$C$33, 0))))</f>
        <v>4</v>
      </c>
      <c r="AC79" s="12">
        <f>(Reference!$B$2*Y79 + Reference!$B$3*AA79 + Reference!$B$4*Z79 + Reference!$B$5 * AB79)/4</f>
        <v>7.5</v>
      </c>
      <c r="AD79" s="12">
        <f>IF(Q79=Reference!$C$41, Reference!$D$41, IF(Q79=Reference!$C$42, Reference!$D$42, IF(Q79=Reference!$C$43, Reference!$D$43, IF(Q79=Reference!$C$44, Reference!$D$44, 0))))</f>
        <v>10</v>
      </c>
      <c r="AE79" s="87">
        <f t="shared" si="1"/>
        <v>76</v>
      </c>
    </row>
    <row r="80" spans="1:31" ht="101.45">
      <c r="A80" s="122" t="s">
        <v>744</v>
      </c>
      <c r="B80" s="9" t="s">
        <v>74</v>
      </c>
      <c r="C80" s="9" t="s">
        <v>75</v>
      </c>
      <c r="D80" s="78" t="s">
        <v>761</v>
      </c>
      <c r="E80" s="78" t="s">
        <v>762</v>
      </c>
      <c r="F80" s="16" t="s">
        <v>35</v>
      </c>
      <c r="G80" s="77" t="s">
        <v>763</v>
      </c>
      <c r="H80" s="16" t="s">
        <v>39</v>
      </c>
      <c r="I80" s="77" t="s">
        <v>764</v>
      </c>
      <c r="J80" s="16" t="s">
        <v>39</v>
      </c>
      <c r="K80" s="77" t="s">
        <v>765</v>
      </c>
      <c r="L80" s="16" t="s">
        <v>64</v>
      </c>
      <c r="M80" s="77" t="s">
        <v>766</v>
      </c>
      <c r="N80" s="16" t="s">
        <v>39</v>
      </c>
      <c r="O80" s="77" t="s">
        <v>767</v>
      </c>
      <c r="P80" s="95" t="str">
        <f>IF(AC80&gt;=Reference!$H$2, Reference!$G$2, IF(AC80&gt;=Reference!$H$3, Reference!$G$3, IF(AC80&gt;=Reference!$H$4, Reference!$G$4, IF(AC80&gt;=Reference!$H$5, Reference!$G$5, ""))))</f>
        <v>Major</v>
      </c>
      <c r="Q80" s="95" t="str">
        <f t="shared" ref="Q80" si="24">IF(F80="Physical", "Very Low", IF(F80="Local", "Low", IF(F80="Adjacent", "Medium", IF(F80="Network", "High", ""))))</f>
        <v>High</v>
      </c>
      <c r="R80" s="95" t="str">
        <f>IF(AE80&gt;=Reference!$D$2, Reference!$G$2, IF(AE80&gt;=Reference!$D$3, Reference!$E$3, IF(AE80&gt;=Reference!$D$4, Reference!$E$4, IF(AE80&gt;=Reference!$D$5, Reference!$E$5, ""))))</f>
        <v>High</v>
      </c>
      <c r="S80" s="16" t="s">
        <v>43</v>
      </c>
      <c r="T80" s="77" t="s">
        <v>768</v>
      </c>
      <c r="U80" s="77" t="s">
        <v>769</v>
      </c>
      <c r="V80" s="77" t="s">
        <v>770</v>
      </c>
      <c r="W80" s="77" t="s">
        <v>771</v>
      </c>
      <c r="Y80" s="12">
        <f>IF(H80=Reference!$A$12, Reference!$C$12, IF(H80=Reference!$A$11, Reference!$C$11, IF(H80=Reference!$A$10, Reference!$C$10, IF(H80=Reference!$A$9, Reference!$C$9, 0))))</f>
        <v>4</v>
      </c>
      <c r="Z80" s="12">
        <f>IF(J80=Reference!$A$20, Reference!$C$20, IF(J80=Reference!$A$19, Reference!$C$19, IF(J80=Reference!$A$18, Reference!$C$18, IF(J80=Reference!$A$17, Reference!$C$17, 0))))</f>
        <v>4</v>
      </c>
      <c r="AA80" s="12">
        <f>IF(L80=Reference!$A$28, Reference!$C$28, IF(L80=Reference!$A$27, Reference!$C$27, IF(L80=Reference!$A$26, Reference!$C$26, IF(L80=Reference!$A$25, Reference!$C$25, 0))))</f>
        <v>7</v>
      </c>
      <c r="AB80" s="12">
        <f>IF(N80=Reference!$A$36, Reference!$C$36, IF(N80=Reference!$A$35, Reference!$C$35, IF(N80=Reference!$A$34, Reference!$C$34, IF(N80=Reference!$A$33, Reference!$C$33, 0))))</f>
        <v>4</v>
      </c>
      <c r="AC80" s="12">
        <f>(Reference!$B$2*Y80 + Reference!$B$3*AA80 + Reference!$B$4*Z80 + Reference!$B$5 * AB80)/4</f>
        <v>7.5</v>
      </c>
      <c r="AD80" s="12">
        <f>IF(Q80=Reference!$C$41, Reference!$D$41, IF(Q80=Reference!$C$42, Reference!$D$42, IF(Q80=Reference!$C$43, Reference!$D$43, IF(Q80=Reference!$C$44, Reference!$D$44, 0))))</f>
        <v>10</v>
      </c>
      <c r="AE80" s="12">
        <f t="shared" si="1"/>
        <v>76</v>
      </c>
    </row>
    <row r="81" spans="1:31" ht="126.6">
      <c r="A81" s="8" t="s">
        <v>772</v>
      </c>
      <c r="B81" s="9" t="s">
        <v>31</v>
      </c>
      <c r="C81" s="9" t="s">
        <v>32</v>
      </c>
      <c r="D81" s="24" t="s">
        <v>773</v>
      </c>
      <c r="E81" s="24" t="s">
        <v>774</v>
      </c>
      <c r="F81" s="16" t="s">
        <v>169</v>
      </c>
      <c r="G81" s="16" t="s">
        <v>775</v>
      </c>
      <c r="H81" s="16" t="s">
        <v>64</v>
      </c>
      <c r="I81" s="16" t="s">
        <v>776</v>
      </c>
      <c r="J81" s="16" t="s">
        <v>64</v>
      </c>
      <c r="K81" s="16" t="s">
        <v>777</v>
      </c>
      <c r="L81" s="16" t="s">
        <v>64</v>
      </c>
      <c r="M81" s="16" t="s">
        <v>778</v>
      </c>
      <c r="N81" s="16" t="s">
        <v>39</v>
      </c>
      <c r="O81" s="16" t="s">
        <v>779</v>
      </c>
      <c r="P81" s="114" t="str">
        <f>IF(AC81&gt;=Reference!$H$2, Reference!$G$2, IF(AC81&gt;=Reference!$H$3, Reference!$G$3, IF(AC81&gt;=Reference!$H$4, Reference!$G$4, IF(AC81&gt;=Reference!$H$5, Reference!$G$5, ""))))</f>
        <v>Severe</v>
      </c>
      <c r="Q81" s="114" t="str">
        <f t="shared" ref="Q81:Q144" si="25">IF(F81="Physical", "Very Low", IF(F81="Local", "Low", IF(F81="Adjacent", "Medium", IF(F81="Network", "High", ""))))</f>
        <v>Low</v>
      </c>
      <c r="R81" s="114" t="str">
        <f>IF(AE81&gt;=Reference!$D$2, Reference!$G$2, IF(AE81&gt;=Reference!$D$3, Reference!$E$3, IF(AE81&gt;=Reference!$D$4, Reference!$E$4, IF(AE81&gt;=Reference!$D$5, Reference!$E$5, ""))))</f>
        <v>Medium</v>
      </c>
      <c r="S81" s="16" t="s">
        <v>43</v>
      </c>
      <c r="T81" s="91" t="s">
        <v>780</v>
      </c>
      <c r="U81" s="16" t="s">
        <v>781</v>
      </c>
      <c r="V81" s="16" t="s">
        <v>782</v>
      </c>
      <c r="W81" s="16" t="s">
        <v>783</v>
      </c>
      <c r="Y81" s="12">
        <f>IF(H81=Reference!$A$12, Reference!$C$12, IF(H81=Reference!$A$11, Reference!$C$11, IF(H81=Reference!$A$10, Reference!$C$10, IF(H81=Reference!$A$9, Reference!$C$9, 0))))</f>
        <v>7</v>
      </c>
      <c r="Z81" s="12">
        <f>IF(J81=Reference!$A$20, Reference!$C$20, IF(J81=Reference!$A$19, Reference!$C$19, IF(J81=Reference!$A$18, Reference!$C$18, IF(J81=Reference!$A$17, Reference!$C$17, 0))))</f>
        <v>7</v>
      </c>
      <c r="AA81" s="12">
        <f>IF(L81=Reference!$A$28, Reference!$C$28, IF(L81=Reference!$A$27, Reference!$C$27, IF(L81=Reference!$A$26, Reference!$C$26, IF(L81=Reference!$A$25, Reference!$C$25, 0))))</f>
        <v>7</v>
      </c>
      <c r="AB81" s="12">
        <f>IF(N81=Reference!$A$36, Reference!$C$36, IF(N81=Reference!$A$35, Reference!$C$35, IF(N81=Reference!$A$34, Reference!$C$34, IF(N81=Reference!$A$33, Reference!$C$33, 0))))</f>
        <v>4</v>
      </c>
      <c r="AC81" s="12">
        <f>(Reference!$B$2*Y81 + Reference!$B$3*AA81 + Reference!$B$4*Z81 + Reference!$B$5 * AB81)/4</f>
        <v>11.625</v>
      </c>
      <c r="AD81" s="12">
        <f>IF(Q81=Reference!$C$41, Reference!$D$41, IF(Q81=Reference!$C$42, Reference!$D$42, IF(Q81=Reference!$C$43, Reference!$D$43, IF(Q81=Reference!$C$44, Reference!$D$44, 0))))</f>
        <v>4</v>
      </c>
      <c r="AE81" s="99">
        <f t="shared" ref="AE81:AE144" si="26">1 + (AC81 * AD81)</f>
        <v>47.5</v>
      </c>
    </row>
    <row r="82" spans="1:31" ht="164.45">
      <c r="A82" s="8" t="s">
        <v>772</v>
      </c>
      <c r="B82" s="9" t="s">
        <v>47</v>
      </c>
      <c r="C82" s="9" t="s">
        <v>32</v>
      </c>
      <c r="D82" s="24" t="s">
        <v>784</v>
      </c>
      <c r="E82" s="116" t="s">
        <v>785</v>
      </c>
      <c r="F82" s="16" t="s">
        <v>35</v>
      </c>
      <c r="G82" s="16" t="s">
        <v>786</v>
      </c>
      <c r="H82" s="16" t="s">
        <v>39</v>
      </c>
      <c r="I82" s="16" t="s">
        <v>787</v>
      </c>
      <c r="J82" s="16" t="s">
        <v>39</v>
      </c>
      <c r="K82" s="16" t="s">
        <v>788</v>
      </c>
      <c r="L82" s="16" t="s">
        <v>64</v>
      </c>
      <c r="M82" s="16" t="s">
        <v>789</v>
      </c>
      <c r="N82" s="16" t="s">
        <v>39</v>
      </c>
      <c r="O82" s="16" t="s">
        <v>790</v>
      </c>
      <c r="P82" s="113" t="str">
        <f>IF(AC82&gt;=Reference!$H$2, Reference!$G$2, IF(AC82&gt;=Reference!$H$3, Reference!$G$3, IF(AC82&gt;=Reference!$H$4, Reference!$G$4, IF(AC82&gt;=Reference!$H$5, Reference!$G$5, ""))))</f>
        <v>Major</v>
      </c>
      <c r="Q82" s="113" t="str">
        <f t="shared" si="25"/>
        <v>High</v>
      </c>
      <c r="R82" s="113" t="str">
        <f>IF(AE82&gt;=Reference!$D$2, Reference!$G$2, IF(AE82&gt;=Reference!$D$3, Reference!$E$3, IF(AE82&gt;=Reference!$D$4, Reference!$E$4, IF(AE82&gt;=Reference!$D$5, Reference!$E$5, ""))))</f>
        <v>High</v>
      </c>
      <c r="S82" s="79" t="s">
        <v>43</v>
      </c>
      <c r="T82" s="23" t="s">
        <v>791</v>
      </c>
      <c r="U82" s="16" t="s">
        <v>792</v>
      </c>
      <c r="V82" s="15" t="s">
        <v>793</v>
      </c>
      <c r="W82" s="16" t="s">
        <v>794</v>
      </c>
      <c r="Y82" s="12">
        <f>IF(H82=Reference!$A$12, Reference!$C$12, IF(H82=Reference!$A$11, Reference!$C$11, IF(H82=Reference!$A$10, Reference!$C$10, IF(H82=Reference!$A$9, Reference!$C$9, 0))))</f>
        <v>4</v>
      </c>
      <c r="Z82" s="12">
        <f>IF(J82=Reference!$A$20, Reference!$C$20, IF(J82=Reference!$A$19, Reference!$C$19, IF(J82=Reference!$A$18, Reference!$C$18, IF(J82=Reference!$A$17, Reference!$C$17, 0))))</f>
        <v>4</v>
      </c>
      <c r="AA82" s="12">
        <f>IF(L82=Reference!$A$28, Reference!$C$28, IF(L82=Reference!$A$27, Reference!$C$27, IF(L82=Reference!$A$26, Reference!$C$26, IF(L82=Reference!$A$25, Reference!$C$25, 0))))</f>
        <v>7</v>
      </c>
      <c r="AB82" s="12">
        <f>IF(N82=Reference!$A$36, Reference!$C$36, IF(N82=Reference!$A$35, Reference!$C$35, IF(N82=Reference!$A$34, Reference!$C$34, IF(N82=Reference!$A$33, Reference!$C$33, 0))))</f>
        <v>4</v>
      </c>
      <c r="AC82" s="12">
        <f>(Reference!$B$2*Y82 + Reference!$B$3*AA82 + Reference!$B$4*Z82 + Reference!$B$5 * AB82)/4</f>
        <v>7.5</v>
      </c>
      <c r="AD82" s="12">
        <f>IF(Q82=Reference!$C$41, Reference!$D$41, IF(Q82=Reference!$C$42, Reference!$D$42, IF(Q82=Reference!$C$43, Reference!$D$43, IF(Q82=Reference!$C$44, Reference!$D$44, 0))))</f>
        <v>10</v>
      </c>
      <c r="AE82" s="108">
        <f t="shared" si="26"/>
        <v>76</v>
      </c>
    </row>
    <row r="83" spans="1:31" ht="164.45">
      <c r="A83" s="8" t="s">
        <v>772</v>
      </c>
      <c r="B83" s="9" t="s">
        <v>74</v>
      </c>
      <c r="C83" s="9" t="s">
        <v>75</v>
      </c>
      <c r="D83" s="24" t="s">
        <v>784</v>
      </c>
      <c r="E83" s="116" t="s">
        <v>785</v>
      </c>
      <c r="F83" s="16" t="s">
        <v>180</v>
      </c>
      <c r="G83" s="16" t="s">
        <v>786</v>
      </c>
      <c r="H83" s="16" t="s">
        <v>39</v>
      </c>
      <c r="I83" s="16" t="s">
        <v>787</v>
      </c>
      <c r="J83" s="16" t="s">
        <v>39</v>
      </c>
      <c r="K83" s="16" t="s">
        <v>788</v>
      </c>
      <c r="L83" s="16" t="s">
        <v>64</v>
      </c>
      <c r="M83" s="16" t="s">
        <v>789</v>
      </c>
      <c r="N83" s="16" t="s">
        <v>39</v>
      </c>
      <c r="O83" s="16" t="s">
        <v>790</v>
      </c>
      <c r="P83" s="113" t="str">
        <f>IF(AC83&gt;=Reference!$H$2, Reference!$G$2, IF(AC83&gt;=Reference!$H$3, Reference!$G$3, IF(AC83&gt;=Reference!$H$4, Reference!$G$4, IF(AC83&gt;=Reference!$H$5, Reference!$G$5, ""))))</f>
        <v>Major</v>
      </c>
      <c r="Q83" s="113" t="str">
        <f t="shared" ref="Q83" si="27">IF(F83="Physical", "Very Low", IF(F83="Local", "Low", IF(F83="Adjacent", "Medium", IF(F83="Network", "High", ""))))</f>
        <v>Medium</v>
      </c>
      <c r="R83" s="113" t="str">
        <f>IF(AE83&gt;=Reference!$D$2, Reference!$G$2, IF(AE83&gt;=Reference!$D$3, Reference!$E$3, IF(AE83&gt;=Reference!$D$4, Reference!$E$4, IF(AE83&gt;=Reference!$D$5, Reference!$E$5, ""))))</f>
        <v>High</v>
      </c>
      <c r="S83" s="79" t="s">
        <v>43</v>
      </c>
      <c r="T83" s="23" t="s">
        <v>791</v>
      </c>
      <c r="U83" s="16" t="s">
        <v>792</v>
      </c>
      <c r="V83" s="15" t="s">
        <v>793</v>
      </c>
      <c r="W83" s="16" t="s">
        <v>794</v>
      </c>
      <c r="Y83" s="12">
        <f>IF(H83=Reference!$A$12, Reference!$C$12, IF(H83=Reference!$A$11, Reference!$C$11, IF(H83=Reference!$A$10, Reference!$C$10, IF(H83=Reference!$A$9, Reference!$C$9, 0))))</f>
        <v>4</v>
      </c>
      <c r="Z83" s="12">
        <f>IF(J83=Reference!$A$20, Reference!$C$20, IF(J83=Reference!$A$19, Reference!$C$19, IF(J83=Reference!$A$18, Reference!$C$18, IF(J83=Reference!$A$17, Reference!$C$17, 0))))</f>
        <v>4</v>
      </c>
      <c r="AA83" s="12">
        <f>IF(L83=Reference!$A$28, Reference!$C$28, IF(L83=Reference!$A$27, Reference!$C$27, IF(L83=Reference!$A$26, Reference!$C$26, IF(L83=Reference!$A$25, Reference!$C$25, 0))))</f>
        <v>7</v>
      </c>
      <c r="AB83" s="12">
        <f>IF(N83=Reference!$A$36, Reference!$C$36, IF(N83=Reference!$A$35, Reference!$C$35, IF(N83=Reference!$A$34, Reference!$C$34, IF(N83=Reference!$A$33, Reference!$C$33, 0))))</f>
        <v>4</v>
      </c>
      <c r="AC83" s="12">
        <f>(Reference!$B$2*Y83 + Reference!$B$3*AA83 + Reference!$B$4*Z83 + Reference!$B$5 * AB83)/4</f>
        <v>7.5</v>
      </c>
      <c r="AD83" s="12">
        <f>IF(Q83=Reference!$C$41, Reference!$D$41, IF(Q83=Reference!$C$42, Reference!$D$42, IF(Q83=Reference!$C$43, Reference!$D$43, IF(Q83=Reference!$C$44, Reference!$D$44, 0))))</f>
        <v>7</v>
      </c>
      <c r="AE83" s="108">
        <f t="shared" si="26"/>
        <v>53.5</v>
      </c>
    </row>
    <row r="84" spans="1:31" ht="101.45">
      <c r="A84" s="8" t="s">
        <v>795</v>
      </c>
      <c r="B84" s="9" t="s">
        <v>47</v>
      </c>
      <c r="C84" s="9" t="s">
        <v>32</v>
      </c>
      <c r="D84" s="24" t="s">
        <v>796</v>
      </c>
      <c r="E84" s="24" t="s">
        <v>797</v>
      </c>
      <c r="F84" s="16" t="s">
        <v>35</v>
      </c>
      <c r="G84" s="16" t="s">
        <v>798</v>
      </c>
      <c r="H84" s="16" t="s">
        <v>39</v>
      </c>
      <c r="I84" s="16" t="s">
        <v>799</v>
      </c>
      <c r="J84" s="16" t="s">
        <v>64</v>
      </c>
      <c r="K84" s="16" t="s">
        <v>800</v>
      </c>
      <c r="L84" s="16" t="s">
        <v>64</v>
      </c>
      <c r="M84" s="16" t="s">
        <v>801</v>
      </c>
      <c r="N84" s="16" t="s">
        <v>39</v>
      </c>
      <c r="O84" s="16" t="s">
        <v>802</v>
      </c>
      <c r="P84" s="113" t="str">
        <f>IF(AC84&gt;=Reference!$H$2, Reference!$G$2, IF(AC84&gt;=Reference!$H$3, Reference!$G$3, IF(AC84&gt;=Reference!$H$4, Reference!$G$4, IF(AC84&gt;=Reference!$H$5, Reference!$G$5, ""))))</f>
        <v>Major</v>
      </c>
      <c r="Q84" s="113" t="str">
        <f t="shared" si="25"/>
        <v>High</v>
      </c>
      <c r="R84" s="113" t="str">
        <f>IF(AE84&gt;=Reference!$D$2, Reference!$G$2, IF(AE84&gt;=Reference!$D$3, Reference!$E$3, IF(AE84&gt;=Reference!$D$4, Reference!$E$4, IF(AE84&gt;=Reference!$D$5, Reference!$E$5, ""))))</f>
        <v>High</v>
      </c>
      <c r="S84" s="79" t="s">
        <v>43</v>
      </c>
      <c r="T84" s="15" t="s">
        <v>803</v>
      </c>
      <c r="U84" s="16" t="s">
        <v>804</v>
      </c>
      <c r="V84" s="16" t="s">
        <v>805</v>
      </c>
      <c r="W84" s="16" t="s">
        <v>806</v>
      </c>
      <c r="X84" s="1"/>
      <c r="Y84" s="12">
        <f>IF(H84=Reference!$A$12, Reference!$C$12, IF(H84=Reference!$A$11, Reference!$C$11, IF(H84=Reference!$A$10, Reference!$C$10, IF(H84=Reference!$A$9, Reference!$C$9, 0))))</f>
        <v>4</v>
      </c>
      <c r="Z84" s="12">
        <f>IF(J84=Reference!$A$20, Reference!$C$20, IF(J84=Reference!$A$19, Reference!$C$19, IF(J84=Reference!$A$18, Reference!$C$18, IF(J84=Reference!$A$17, Reference!$C$17, 0))))</f>
        <v>7</v>
      </c>
      <c r="AA84" s="12">
        <f>IF(L84=Reference!$A$28, Reference!$C$28, IF(L84=Reference!$A$27, Reference!$C$27, IF(L84=Reference!$A$26, Reference!$C$26, IF(L84=Reference!$A$25, Reference!$C$25, 0))))</f>
        <v>7</v>
      </c>
      <c r="AB84" s="12">
        <f>IF(N84=Reference!$A$36, Reference!$C$36, IF(N84=Reference!$A$35, Reference!$C$35, IF(N84=Reference!$A$34, Reference!$C$34, IF(N84=Reference!$A$33, Reference!$C$33, 0))))</f>
        <v>4</v>
      </c>
      <c r="AC84" s="12">
        <f>(Reference!$B$2*Y84 + Reference!$B$3*AA84 + Reference!$B$4*Z84 + Reference!$B$5 * AB84)/4</f>
        <v>7.875</v>
      </c>
      <c r="AD84" s="12">
        <f>IF(Q84=Reference!$C$41, Reference!$D$41, IF(Q84=Reference!$C$42, Reference!$D$42, IF(Q84=Reference!$C$43, Reference!$D$43, IF(Q84=Reference!$C$44, Reference!$D$44, 0))))</f>
        <v>10</v>
      </c>
      <c r="AE84" s="108">
        <f t="shared" si="26"/>
        <v>79.75</v>
      </c>
    </row>
    <row r="85" spans="1:31" ht="101.45">
      <c r="A85" s="8" t="s">
        <v>795</v>
      </c>
      <c r="B85" s="9" t="s">
        <v>31</v>
      </c>
      <c r="C85" s="9" t="s">
        <v>75</v>
      </c>
      <c r="D85" s="24" t="s">
        <v>796</v>
      </c>
      <c r="E85" s="24" t="s">
        <v>797</v>
      </c>
      <c r="F85" s="16" t="s">
        <v>35</v>
      </c>
      <c r="G85" s="16" t="s">
        <v>798</v>
      </c>
      <c r="H85" s="16" t="s">
        <v>39</v>
      </c>
      <c r="I85" s="16" t="s">
        <v>799</v>
      </c>
      <c r="J85" s="16" t="s">
        <v>64</v>
      </c>
      <c r="K85" s="16" t="s">
        <v>800</v>
      </c>
      <c r="L85" s="16" t="s">
        <v>64</v>
      </c>
      <c r="M85" s="16" t="s">
        <v>801</v>
      </c>
      <c r="N85" s="16" t="s">
        <v>39</v>
      </c>
      <c r="O85" s="16" t="s">
        <v>802</v>
      </c>
      <c r="P85" s="113" t="str">
        <f>IF(AC85&gt;=Reference!$H$2, Reference!$G$2, IF(AC85&gt;=Reference!$H$3, Reference!$G$3, IF(AC85&gt;=Reference!$H$4, Reference!$G$4, IF(AC85&gt;=Reference!$H$5, Reference!$G$5, ""))))</f>
        <v>Major</v>
      </c>
      <c r="Q85" s="113" t="str">
        <f t="shared" ref="Q85" si="28">IF(F85="Physical", "Very Low", IF(F85="Local", "Low", IF(F85="Adjacent", "Medium", IF(F85="Network", "High", ""))))</f>
        <v>High</v>
      </c>
      <c r="R85" s="113" t="str">
        <f>IF(AE85&gt;=Reference!$D$2, Reference!$G$2, IF(AE85&gt;=Reference!$D$3, Reference!$E$3, IF(AE85&gt;=Reference!$D$4, Reference!$E$4, IF(AE85&gt;=Reference!$D$5, Reference!$E$5, ""))))</f>
        <v>High</v>
      </c>
      <c r="S85" s="79" t="s">
        <v>43</v>
      </c>
      <c r="T85" s="15" t="s">
        <v>803</v>
      </c>
      <c r="U85" s="16" t="s">
        <v>804</v>
      </c>
      <c r="V85" s="16" t="s">
        <v>805</v>
      </c>
      <c r="W85" s="16" t="s">
        <v>806</v>
      </c>
      <c r="Y85" s="12">
        <f>IF(H85=Reference!$A$12, Reference!$C$12, IF(H85=Reference!$A$11, Reference!$C$11, IF(H85=Reference!$A$10, Reference!$C$10, IF(H85=Reference!$A$9, Reference!$C$9, 0))))</f>
        <v>4</v>
      </c>
      <c r="Z85" s="12">
        <f>IF(J85=Reference!$A$20, Reference!$C$20, IF(J85=Reference!$A$19, Reference!$C$19, IF(J85=Reference!$A$18, Reference!$C$18, IF(J85=Reference!$A$17, Reference!$C$17, 0))))</f>
        <v>7</v>
      </c>
      <c r="AA85" s="12">
        <f>IF(L85=Reference!$A$28, Reference!$C$28, IF(L85=Reference!$A$27, Reference!$C$27, IF(L85=Reference!$A$26, Reference!$C$26, IF(L85=Reference!$A$25, Reference!$C$25, 0))))</f>
        <v>7</v>
      </c>
      <c r="AB85" s="12">
        <f>IF(N85=Reference!$A$36, Reference!$C$36, IF(N85=Reference!$A$35, Reference!$C$35, IF(N85=Reference!$A$34, Reference!$C$34, IF(N85=Reference!$A$33, Reference!$C$33, 0))))</f>
        <v>4</v>
      </c>
      <c r="AC85" s="12">
        <f>(Reference!$B$2*Y85 + Reference!$B$3*AA85 + Reference!$B$4*Z85 + Reference!$B$5 * AB85)/4</f>
        <v>7.875</v>
      </c>
      <c r="AD85" s="12">
        <f>IF(Q85=Reference!$C$41, Reference!$D$41, IF(Q85=Reference!$C$42, Reference!$D$42, IF(Q85=Reference!$C$43, Reference!$D$43, IF(Q85=Reference!$C$44, Reference!$D$44, 0))))</f>
        <v>10</v>
      </c>
      <c r="AE85" s="108">
        <f t="shared" si="26"/>
        <v>79.75</v>
      </c>
    </row>
    <row r="86" spans="1:31" ht="101.45">
      <c r="A86" s="8" t="s">
        <v>795</v>
      </c>
      <c r="B86" s="9" t="s">
        <v>179</v>
      </c>
      <c r="C86" s="9" t="s">
        <v>32</v>
      </c>
      <c r="D86" s="24" t="s">
        <v>807</v>
      </c>
      <c r="E86" s="74" t="s">
        <v>808</v>
      </c>
      <c r="F86" s="16" t="s">
        <v>180</v>
      </c>
      <c r="G86" s="16" t="s">
        <v>809</v>
      </c>
      <c r="H86" s="16" t="s">
        <v>39</v>
      </c>
      <c r="I86" s="16" t="s">
        <v>810</v>
      </c>
      <c r="J86" s="16" t="s">
        <v>39</v>
      </c>
      <c r="K86" s="16" t="s">
        <v>811</v>
      </c>
      <c r="L86" s="16" t="s">
        <v>39</v>
      </c>
      <c r="M86" s="16" t="s">
        <v>812</v>
      </c>
      <c r="N86" s="16" t="s">
        <v>39</v>
      </c>
      <c r="O86" s="16" t="s">
        <v>813</v>
      </c>
      <c r="P86" s="114" t="str">
        <f>IF(AC86&gt;=Reference!$H$2, Reference!$G$2, IF(AC86&gt;=Reference!$H$3, Reference!$G$3, IF(AC86&gt;=Reference!$H$4, Reference!$G$4, IF(AC86&gt;=Reference!$H$5, Reference!$G$5, ""))))</f>
        <v>Major</v>
      </c>
      <c r="Q86" s="114" t="str">
        <f t="shared" si="25"/>
        <v>Medium</v>
      </c>
      <c r="R86" s="114" t="str">
        <f>IF(AE86&gt;=Reference!$D$2, Reference!$G$2, IF(AE86&gt;=Reference!$D$3, Reference!$E$3, IF(AE86&gt;=Reference!$D$4, Reference!$E$4, IF(AE86&gt;=Reference!$D$5, Reference!$E$5, ""))))</f>
        <v>Medium</v>
      </c>
      <c r="S86" s="79" t="s">
        <v>43</v>
      </c>
      <c r="T86" s="23" t="s">
        <v>814</v>
      </c>
      <c r="U86" s="16" t="s">
        <v>815</v>
      </c>
      <c r="V86" s="23" t="s">
        <v>816</v>
      </c>
      <c r="W86" s="16" t="s">
        <v>817</v>
      </c>
      <c r="Y86" s="12">
        <f>IF(H86=Reference!$A$12, Reference!$C$12, IF(H86=Reference!$A$11, Reference!$C$11, IF(H86=Reference!$A$10, Reference!$C$10, IF(H86=Reference!$A$9, Reference!$C$9, 0))))</f>
        <v>4</v>
      </c>
      <c r="Z86" s="12">
        <f>IF(J86=Reference!$A$20, Reference!$C$20, IF(J86=Reference!$A$19, Reference!$C$19, IF(J86=Reference!$A$18, Reference!$C$18, IF(J86=Reference!$A$17, Reference!$C$17, 0))))</f>
        <v>4</v>
      </c>
      <c r="AA86" s="12">
        <f>IF(L86=Reference!$A$28, Reference!$C$28, IF(L86=Reference!$A$27, Reference!$C$27, IF(L86=Reference!$A$26, Reference!$C$26, IF(L86=Reference!$A$25, Reference!$C$25, 0))))</f>
        <v>4</v>
      </c>
      <c r="AB86" s="12">
        <f>IF(N86=Reference!$A$36, Reference!$C$36, IF(N86=Reference!$A$35, Reference!$C$35, IF(N86=Reference!$A$34, Reference!$C$34, IF(N86=Reference!$A$33, Reference!$C$33, 0))))</f>
        <v>4</v>
      </c>
      <c r="AC86" s="12">
        <f>(Reference!$B$2*Y86 + Reference!$B$3*AA86 + Reference!$B$4*Z86 + Reference!$B$5 * AB86)/4</f>
        <v>6.75</v>
      </c>
      <c r="AD86" s="12">
        <f>IF(Q86=Reference!$C$41, Reference!$D$41, IF(Q86=Reference!$C$42, Reference!$D$42, IF(Q86=Reference!$C$43, Reference!$D$43, IF(Q86=Reference!$C$44, Reference!$D$44, 0))))</f>
        <v>7</v>
      </c>
      <c r="AE86" s="99">
        <f t="shared" si="26"/>
        <v>48.25</v>
      </c>
    </row>
    <row r="87" spans="1:31" ht="126.6">
      <c r="A87" s="81" t="s">
        <v>795</v>
      </c>
      <c r="B87" s="16" t="s">
        <v>74</v>
      </c>
      <c r="C87" s="16" t="s">
        <v>75</v>
      </c>
      <c r="D87" s="24" t="s">
        <v>818</v>
      </c>
      <c r="E87" s="24" t="s">
        <v>819</v>
      </c>
      <c r="F87" s="16" t="s">
        <v>169</v>
      </c>
      <c r="G87" s="16" t="s">
        <v>820</v>
      </c>
      <c r="H87" s="16" t="s">
        <v>64</v>
      </c>
      <c r="I87" s="77" t="s">
        <v>821</v>
      </c>
      <c r="J87" s="16" t="s">
        <v>64</v>
      </c>
      <c r="K87" s="77" t="s">
        <v>822</v>
      </c>
      <c r="L87" s="16" t="s">
        <v>64</v>
      </c>
      <c r="M87" s="77" t="s">
        <v>823</v>
      </c>
      <c r="N87" s="16" t="s">
        <v>39</v>
      </c>
      <c r="O87" s="77" t="s">
        <v>824</v>
      </c>
      <c r="P87" s="114" t="str">
        <f>IF(AC87&gt;=Reference!$H$2, Reference!$G$2, IF(AC87&gt;=Reference!$H$3, Reference!$G$3, IF(AC87&gt;=Reference!$H$4, Reference!$G$4, IF(AC87&gt;=Reference!$H$5, Reference!$G$5, ""))))</f>
        <v>Severe</v>
      </c>
      <c r="Q87" s="114" t="str">
        <f t="shared" si="25"/>
        <v>Low</v>
      </c>
      <c r="R87" s="114" t="str">
        <f>IF(AE87&gt;=Reference!$D$2, Reference!$G$2, IF(AE87&gt;=Reference!$D$3, Reference!$E$3, IF(AE87&gt;=Reference!$D$4, Reference!$E$4, IF(AE87&gt;=Reference!$D$5, Reference!$E$5, ""))))</f>
        <v>Medium</v>
      </c>
      <c r="S87" s="79" t="s">
        <v>43</v>
      </c>
      <c r="T87" s="82" t="s">
        <v>825</v>
      </c>
      <c r="U87" s="77" t="s">
        <v>826</v>
      </c>
      <c r="V87" s="77" t="s">
        <v>827</v>
      </c>
      <c r="W87" s="77" t="s">
        <v>828</v>
      </c>
      <c r="Y87" s="12">
        <f>IF(H87=Reference!$A$12, Reference!$C$12, IF(H87=Reference!$A$11, Reference!$C$11, IF(H87=Reference!$A$10, Reference!$C$10, IF(H87=Reference!$A$9, Reference!$C$9, 0))))</f>
        <v>7</v>
      </c>
      <c r="Z87" s="12">
        <f>IF(J87=Reference!$A$20, Reference!$C$20, IF(J87=Reference!$A$19, Reference!$C$19, IF(J87=Reference!$A$18, Reference!$C$18, IF(J87=Reference!$A$17, Reference!$C$17, 0))))</f>
        <v>7</v>
      </c>
      <c r="AA87" s="12">
        <f>IF(L87=Reference!$A$28, Reference!$C$28, IF(L87=Reference!$A$27, Reference!$C$27, IF(L87=Reference!$A$26, Reference!$C$26, IF(L87=Reference!$A$25, Reference!$C$25, 0))))</f>
        <v>7</v>
      </c>
      <c r="AB87" s="12">
        <f>IF(N87=Reference!$A$36, Reference!$C$36, IF(N87=Reference!$A$35, Reference!$C$35, IF(N87=Reference!$A$34, Reference!$C$34, IF(N87=Reference!$A$33, Reference!$C$33, 0))))</f>
        <v>4</v>
      </c>
      <c r="AC87" s="12">
        <f>(Reference!$B$2*Y87 + Reference!$B$3*AA87 + Reference!$B$4*Z87 + Reference!$B$5 * AB87)/4</f>
        <v>11.625</v>
      </c>
      <c r="AD87" s="12">
        <f>IF(Q87=Reference!$C$41, Reference!$D$41, IF(Q87=Reference!$C$42, Reference!$D$42, IF(Q87=Reference!$C$43, Reference!$D$43, IF(Q87=Reference!$C$44, Reference!$D$44, 0))))</f>
        <v>4</v>
      </c>
      <c r="AE87" s="99">
        <f t="shared" si="26"/>
        <v>47.5</v>
      </c>
    </row>
    <row r="88" spans="1:31" ht="126.6">
      <c r="A88" s="122" t="s">
        <v>829</v>
      </c>
      <c r="B88" s="16" t="s">
        <v>47</v>
      </c>
      <c r="C88" s="16" t="s">
        <v>32</v>
      </c>
      <c r="D88" s="78" t="s">
        <v>830</v>
      </c>
      <c r="E88" s="126" t="s">
        <v>831</v>
      </c>
      <c r="F88" s="16" t="s">
        <v>35</v>
      </c>
      <c r="G88" s="77" t="s">
        <v>832</v>
      </c>
      <c r="H88" s="16" t="s">
        <v>39</v>
      </c>
      <c r="I88" s="77" t="s">
        <v>833</v>
      </c>
      <c r="J88" s="16" t="s">
        <v>39</v>
      </c>
      <c r="K88" s="77" t="s">
        <v>834</v>
      </c>
      <c r="L88" s="16" t="s">
        <v>64</v>
      </c>
      <c r="M88" s="77" t="s">
        <v>835</v>
      </c>
      <c r="N88" s="16" t="s">
        <v>39</v>
      </c>
      <c r="O88" s="77" t="s">
        <v>836</v>
      </c>
      <c r="P88" s="95" t="str">
        <f>IF(AC88&gt;=Reference!$H$2, Reference!$G$2, IF(AC88&gt;=Reference!$H$3, Reference!$G$3, IF(AC88&gt;=Reference!$H$4, Reference!$G$4, IF(AC88&gt;=Reference!$H$5, Reference!$G$5, ""))))</f>
        <v>Major</v>
      </c>
      <c r="Q88" s="95" t="str">
        <f t="shared" si="25"/>
        <v>High</v>
      </c>
      <c r="R88" s="95" t="str">
        <f>IF(AE88&gt;=Reference!$D$2, Reference!$G$2, IF(AE88&gt;=Reference!$D$3, Reference!$E$3, IF(AE88&gt;=Reference!$D$4, Reference!$E$4, IF(AE88&gt;=Reference!$D$5, Reference!$E$5, ""))))</f>
        <v>High</v>
      </c>
      <c r="S88" s="79" t="s">
        <v>43</v>
      </c>
      <c r="T88" s="82" t="s">
        <v>837</v>
      </c>
      <c r="U88" s="77" t="s">
        <v>838</v>
      </c>
      <c r="V88" s="112" t="s">
        <v>839</v>
      </c>
      <c r="W88" s="77" t="s">
        <v>840</v>
      </c>
      <c r="Y88" s="12">
        <f>IF(H88=Reference!$A$12, Reference!$C$12, IF(H88=Reference!$A$11, Reference!$C$11, IF(H88=Reference!$A$10, Reference!$C$10, IF(H88=Reference!$A$9, Reference!$C$9, 0))))</f>
        <v>4</v>
      </c>
      <c r="Z88" s="12">
        <f>IF(J88=Reference!$A$20, Reference!$C$20, IF(J88=Reference!$A$19, Reference!$C$19, IF(J88=Reference!$A$18, Reference!$C$18, IF(J88=Reference!$A$17, Reference!$C$17, 0))))</f>
        <v>4</v>
      </c>
      <c r="AA88" s="12">
        <f>IF(L88=Reference!$A$28, Reference!$C$28, IF(L88=Reference!$A$27, Reference!$C$27, IF(L88=Reference!$A$26, Reference!$C$26, IF(L88=Reference!$A$25, Reference!$C$25, 0))))</f>
        <v>7</v>
      </c>
      <c r="AB88" s="12">
        <f>IF(N88=Reference!$A$36, Reference!$C$36, IF(N88=Reference!$A$35, Reference!$C$35, IF(N88=Reference!$A$34, Reference!$C$34, IF(N88=Reference!$A$33, Reference!$C$33, 0))))</f>
        <v>4</v>
      </c>
      <c r="AC88" s="12">
        <f>(Reference!$B$2*Y88 + Reference!$B$3*AA88 + Reference!$B$4*Z88 + Reference!$B$5 * AB88)/4</f>
        <v>7.5</v>
      </c>
      <c r="AD88" s="12">
        <f>IF(Q88=Reference!$C$41, Reference!$D$41, IF(Q88=Reference!$C$42, Reference!$D$42, IF(Q88=Reference!$C$43, Reference!$D$43, IF(Q88=Reference!$C$44, Reference!$D$44, 0))))</f>
        <v>10</v>
      </c>
      <c r="AE88" s="87">
        <f t="shared" si="26"/>
        <v>76</v>
      </c>
    </row>
    <row r="89" spans="1:31" ht="114">
      <c r="A89" s="122" t="s">
        <v>841</v>
      </c>
      <c r="B89" s="16" t="s">
        <v>31</v>
      </c>
      <c r="C89" s="16" t="s">
        <v>32</v>
      </c>
      <c r="D89" s="78" t="s">
        <v>842</v>
      </c>
      <c r="E89" s="127" t="s">
        <v>843</v>
      </c>
      <c r="F89" s="16" t="s">
        <v>35</v>
      </c>
      <c r="G89" s="77" t="s">
        <v>844</v>
      </c>
      <c r="H89" s="16" t="s">
        <v>39</v>
      </c>
      <c r="I89" s="77" t="s">
        <v>845</v>
      </c>
      <c r="J89" s="16" t="s">
        <v>39</v>
      </c>
      <c r="K89" s="77" t="s">
        <v>846</v>
      </c>
      <c r="L89" s="16" t="s">
        <v>64</v>
      </c>
      <c r="M89" s="77" t="s">
        <v>847</v>
      </c>
      <c r="N89" s="16" t="s">
        <v>39</v>
      </c>
      <c r="O89" s="77" t="s">
        <v>848</v>
      </c>
      <c r="P89" s="95" t="str">
        <f>IF(AC89&gt;=Reference!$H$2, Reference!$G$2, IF(AC89&gt;=Reference!$H$3, Reference!$G$3, IF(AC89&gt;=Reference!$H$4, Reference!$G$4, IF(AC89&gt;=Reference!$H$5, Reference!$G$5, ""))))</f>
        <v>Major</v>
      </c>
      <c r="Q89" s="95" t="str">
        <f t="shared" si="25"/>
        <v>High</v>
      </c>
      <c r="R89" s="95" t="str">
        <f>IF(AE89&gt;=Reference!$D$2, Reference!$G$2, IF(AE89&gt;=Reference!$D$3, Reference!$E$3, IF(AE89&gt;=Reference!$D$4, Reference!$E$4, IF(AE89&gt;=Reference!$D$5, Reference!$E$5, ""))))</f>
        <v>High</v>
      </c>
      <c r="S89" s="79" t="s">
        <v>43</v>
      </c>
      <c r="T89" s="82" t="s">
        <v>849</v>
      </c>
      <c r="U89" s="77" t="s">
        <v>850</v>
      </c>
      <c r="V89" s="77" t="s">
        <v>851</v>
      </c>
      <c r="W89" s="77" t="s">
        <v>852</v>
      </c>
      <c r="Y89" s="12">
        <f>IF(H89=Reference!$A$12, Reference!$C$12, IF(H89=Reference!$A$11, Reference!$C$11, IF(H89=Reference!$A$10, Reference!$C$10, IF(H89=Reference!$A$9, Reference!$C$9, 0))))</f>
        <v>4</v>
      </c>
      <c r="Z89" s="12">
        <f>IF(J89=Reference!$A$20, Reference!$C$20, IF(J89=Reference!$A$19, Reference!$C$19, IF(J89=Reference!$A$18, Reference!$C$18, IF(J89=Reference!$A$17, Reference!$C$17, 0))))</f>
        <v>4</v>
      </c>
      <c r="AA89" s="12">
        <f>IF(L89=Reference!$A$28, Reference!$C$28, IF(L89=Reference!$A$27, Reference!$C$27, IF(L89=Reference!$A$26, Reference!$C$26, IF(L89=Reference!$A$25, Reference!$C$25, 0))))</f>
        <v>7</v>
      </c>
      <c r="AB89" s="12">
        <f>IF(N89=Reference!$A$36, Reference!$C$36, IF(N89=Reference!$A$35, Reference!$C$35, IF(N89=Reference!$A$34, Reference!$C$34, IF(N89=Reference!$A$33, Reference!$C$33, 0))))</f>
        <v>4</v>
      </c>
      <c r="AC89" s="12">
        <f>(Reference!$B$2*Y89 + Reference!$B$3*AA89 + Reference!$B$4*Z89 + Reference!$B$5 * AB89)/4</f>
        <v>7.5</v>
      </c>
      <c r="AD89" s="12">
        <f>IF(Q89=Reference!$C$41, Reference!$D$41, IF(Q89=Reference!$C$42, Reference!$D$42, IF(Q89=Reference!$C$43, Reference!$D$43, IF(Q89=Reference!$C$44, Reference!$D$44, 0))))</f>
        <v>10</v>
      </c>
      <c r="AE89" s="87">
        <f t="shared" si="26"/>
        <v>76</v>
      </c>
    </row>
    <row r="90" spans="1:31" ht="101.45">
      <c r="A90" s="122" t="s">
        <v>853</v>
      </c>
      <c r="B90" s="16" t="s">
        <v>31</v>
      </c>
      <c r="C90" s="16" t="s">
        <v>32</v>
      </c>
      <c r="D90" s="78" t="s">
        <v>854</v>
      </c>
      <c r="E90" s="78" t="s">
        <v>855</v>
      </c>
      <c r="F90" s="16" t="s">
        <v>35</v>
      </c>
      <c r="G90" s="77" t="s">
        <v>856</v>
      </c>
      <c r="H90" s="16" t="s">
        <v>39</v>
      </c>
      <c r="I90" s="77" t="s">
        <v>857</v>
      </c>
      <c r="J90" s="16" t="s">
        <v>39</v>
      </c>
      <c r="K90" s="77" t="s">
        <v>858</v>
      </c>
      <c r="L90" s="16" t="s">
        <v>39</v>
      </c>
      <c r="M90" s="77" t="s">
        <v>859</v>
      </c>
      <c r="N90" s="16" t="s">
        <v>39</v>
      </c>
      <c r="O90" s="77" t="s">
        <v>860</v>
      </c>
      <c r="P90" s="95" t="str">
        <f>IF(AC90&gt;=Reference!$H$2, Reference!$G$2, IF(AC90&gt;=Reference!$H$3, Reference!$G$3, IF(AC90&gt;=Reference!$H$4, Reference!$G$4, IF(AC90&gt;=Reference!$H$5, Reference!$G$5, ""))))</f>
        <v>Major</v>
      </c>
      <c r="Q90" s="95" t="str">
        <f t="shared" si="25"/>
        <v>High</v>
      </c>
      <c r="R90" s="95" t="str">
        <f>IF(AE90&gt;=Reference!$D$2, Reference!$G$2, IF(AE90&gt;=Reference!$D$3, Reference!$E$3, IF(AE90&gt;=Reference!$D$4, Reference!$E$4, IF(AE90&gt;=Reference!$D$5, Reference!$E$5, ""))))</f>
        <v>High</v>
      </c>
      <c r="S90" s="79" t="s">
        <v>43</v>
      </c>
      <c r="T90" s="82" t="s">
        <v>861</v>
      </c>
      <c r="U90" s="77" t="s">
        <v>862</v>
      </c>
      <c r="V90" s="77" t="s">
        <v>863</v>
      </c>
      <c r="W90" s="77" t="s">
        <v>864</v>
      </c>
      <c r="Y90" s="12">
        <f>IF(H90=Reference!$A$12, Reference!$C$12, IF(H90=Reference!$A$11, Reference!$C$11, IF(H90=Reference!$A$10, Reference!$C$10, IF(H90=Reference!$A$9, Reference!$C$9, 0))))</f>
        <v>4</v>
      </c>
      <c r="Z90" s="12">
        <f>IF(J90=Reference!$A$20, Reference!$C$20, IF(J90=Reference!$A$19, Reference!$C$19, IF(J90=Reference!$A$18, Reference!$C$18, IF(J90=Reference!$A$17, Reference!$C$17, 0))))</f>
        <v>4</v>
      </c>
      <c r="AA90" s="12">
        <f>IF(L90=Reference!$A$28, Reference!$C$28, IF(L90=Reference!$A$27, Reference!$C$27, IF(L90=Reference!$A$26, Reference!$C$26, IF(L90=Reference!$A$25, Reference!$C$25, 0))))</f>
        <v>4</v>
      </c>
      <c r="AB90" s="12">
        <f>IF(N90=Reference!$A$36, Reference!$C$36, IF(N90=Reference!$A$35, Reference!$C$35, IF(N90=Reference!$A$34, Reference!$C$34, IF(N90=Reference!$A$33, Reference!$C$33, 0))))</f>
        <v>4</v>
      </c>
      <c r="AC90" s="12">
        <f>(Reference!$B$2*Y90 + Reference!$B$3*AA90 + Reference!$B$4*Z90 + Reference!$B$5 * AB90)/4</f>
        <v>6.75</v>
      </c>
      <c r="AD90" s="12">
        <f>IF(Q90=Reference!$C$41, Reference!$D$41, IF(Q90=Reference!$C$42, Reference!$D$42, IF(Q90=Reference!$C$43, Reference!$D$43, IF(Q90=Reference!$C$44, Reference!$D$44, 0))))</f>
        <v>10</v>
      </c>
      <c r="AE90" s="87">
        <f t="shared" si="26"/>
        <v>68.5</v>
      </c>
    </row>
    <row r="91" spans="1:31" ht="114">
      <c r="A91" s="122" t="s">
        <v>865</v>
      </c>
      <c r="B91" s="16" t="s">
        <v>47</v>
      </c>
      <c r="C91" s="16" t="s">
        <v>32</v>
      </c>
      <c r="D91" s="110" t="s">
        <v>866</v>
      </c>
      <c r="E91" s="78" t="s">
        <v>867</v>
      </c>
      <c r="F91" s="16" t="s">
        <v>35</v>
      </c>
      <c r="G91" s="77" t="s">
        <v>868</v>
      </c>
      <c r="H91" s="16" t="s">
        <v>64</v>
      </c>
      <c r="I91" s="77" t="s">
        <v>869</v>
      </c>
      <c r="J91" s="16" t="s">
        <v>39</v>
      </c>
      <c r="K91" s="77" t="s">
        <v>870</v>
      </c>
      <c r="L91" s="16" t="s">
        <v>39</v>
      </c>
      <c r="M91" s="77" t="s">
        <v>871</v>
      </c>
      <c r="N91" s="16" t="s">
        <v>39</v>
      </c>
      <c r="O91" s="77" t="s">
        <v>872</v>
      </c>
      <c r="P91" s="90" t="str">
        <f>IF(AC91&gt;=Reference!$H$2, Reference!$G$2, IF(AC91&gt;=Reference!$H$3, Reference!$G$3, IF(AC91&gt;=Reference!$H$4, Reference!$G$4, IF(AC91&gt;=Reference!$H$5, Reference!$G$5, ""))))</f>
        <v>Severe</v>
      </c>
      <c r="Q91" s="90" t="str">
        <f t="shared" si="25"/>
        <v>High</v>
      </c>
      <c r="R91" s="90" t="str">
        <f>IF(AE91&gt;=Reference!$D$2, Reference!$G$2, IF(AE91&gt;=Reference!$D$3, Reference!$E$3, IF(AE91&gt;=Reference!$D$4, Reference!$E$4, IF(AE91&gt;=Reference!$D$5, Reference!$E$5, ""))))</f>
        <v>Severe</v>
      </c>
      <c r="S91" s="79" t="s">
        <v>43</v>
      </c>
      <c r="T91" s="82" t="s">
        <v>873</v>
      </c>
      <c r="U91" s="77" t="s">
        <v>874</v>
      </c>
      <c r="V91" s="77" t="s">
        <v>875</v>
      </c>
      <c r="W91" s="77" t="s">
        <v>876</v>
      </c>
      <c r="Y91" s="12">
        <f>IF(H91=Reference!$A$12, Reference!$C$12, IF(H91=Reference!$A$11, Reference!$C$11, IF(H91=Reference!$A$10, Reference!$C$10, IF(H91=Reference!$A$9, Reference!$C$9, 0))))</f>
        <v>7</v>
      </c>
      <c r="Z91" s="12">
        <f>IF(J91=Reference!$A$20, Reference!$C$20, IF(J91=Reference!$A$19, Reference!$C$19, IF(J91=Reference!$A$18, Reference!$C$18, IF(J91=Reference!$A$17, Reference!$C$17, 0))))</f>
        <v>4</v>
      </c>
      <c r="AA91" s="12">
        <f>IF(L91=Reference!$A$28, Reference!$C$28, IF(L91=Reference!$A$27, Reference!$C$27, IF(L91=Reference!$A$26, Reference!$C$26, IF(L91=Reference!$A$25, Reference!$C$25, 0))))</f>
        <v>4</v>
      </c>
      <c r="AB91" s="12">
        <f>IF(N91=Reference!$A$36, Reference!$C$36, IF(N91=Reference!$A$35, Reference!$C$35, IF(N91=Reference!$A$34, Reference!$C$34, IF(N91=Reference!$A$33, Reference!$C$33, 0))))</f>
        <v>4</v>
      </c>
      <c r="AC91" s="12">
        <f>(Reference!$B$2*Y91 + Reference!$B$3*AA91 + Reference!$B$4*Z91 + Reference!$B$5 * AB91)/4</f>
        <v>10.5</v>
      </c>
      <c r="AD91" s="12">
        <f>IF(Q91=Reference!$C$41, Reference!$D$41, IF(Q91=Reference!$C$42, Reference!$D$42, IF(Q91=Reference!$C$43, Reference!$D$43, IF(Q91=Reference!$C$44, Reference!$D$44, 0))))</f>
        <v>10</v>
      </c>
      <c r="AE91" s="88">
        <f t="shared" si="26"/>
        <v>106</v>
      </c>
    </row>
    <row r="92" spans="1:31" ht="103.15" customHeight="1">
      <c r="A92" s="117" t="s">
        <v>877</v>
      </c>
      <c r="B92" s="16" t="s">
        <v>31</v>
      </c>
      <c r="C92" s="16" t="s">
        <v>32</v>
      </c>
      <c r="D92" s="78" t="s">
        <v>878</v>
      </c>
      <c r="E92" s="78" t="s">
        <v>879</v>
      </c>
      <c r="F92" s="16" t="s">
        <v>35</v>
      </c>
      <c r="G92" s="77" t="s">
        <v>880</v>
      </c>
      <c r="H92" s="16" t="s">
        <v>119</v>
      </c>
      <c r="I92" s="77" t="s">
        <v>881</v>
      </c>
      <c r="J92" s="16" t="s">
        <v>64</v>
      </c>
      <c r="K92" s="77" t="s">
        <v>882</v>
      </c>
      <c r="L92" s="16" t="s">
        <v>64</v>
      </c>
      <c r="M92" s="77" t="s">
        <v>883</v>
      </c>
      <c r="N92" s="16" t="s">
        <v>64</v>
      </c>
      <c r="O92" s="77" t="s">
        <v>884</v>
      </c>
      <c r="P92" s="90" t="str">
        <f>IF(AC92&gt;=Reference!$H$2, Reference!$G$2, IF(AC92&gt;=Reference!$H$3, Reference!$G$3, IF(AC92&gt;=Reference!$H$4, Reference!$G$4, IF(AC92&gt;=Reference!$H$5, Reference!$G$5, ""))))</f>
        <v>Severe</v>
      </c>
      <c r="Q92" s="90" t="str">
        <f t="shared" si="25"/>
        <v>High</v>
      </c>
      <c r="R92" s="90" t="str">
        <f>IF(AE92&gt;=Reference!$D$2, Reference!$G$2, IF(AE92&gt;=Reference!$D$3, Reference!$E$3, IF(AE92&gt;=Reference!$D$4, Reference!$E$4, IF(AE92&gt;=Reference!$D$5, Reference!$E$5, ""))))</f>
        <v>Severe</v>
      </c>
      <c r="S92" s="79" t="s">
        <v>43</v>
      </c>
      <c r="T92" s="82" t="s">
        <v>885</v>
      </c>
      <c r="U92" s="77" t="s">
        <v>886</v>
      </c>
      <c r="V92" s="77" t="s">
        <v>887</v>
      </c>
      <c r="W92" s="77" t="s">
        <v>888</v>
      </c>
      <c r="X92" s="1"/>
      <c r="Y92" s="12">
        <f>IF(H92=Reference!$A$12, Reference!$C$12, IF(H92=Reference!$A$11, Reference!$C$11, IF(H92=Reference!$A$10, Reference!$C$10, IF(H92=Reference!$A$9, Reference!$C$9, 0))))</f>
        <v>10</v>
      </c>
      <c r="Z92" s="12">
        <f>IF(J92=Reference!$A$20, Reference!$C$20, IF(J92=Reference!$A$19, Reference!$C$19, IF(J92=Reference!$A$18, Reference!$C$18, IF(J92=Reference!$A$17, Reference!$C$17, 0))))</f>
        <v>7</v>
      </c>
      <c r="AA92" s="12">
        <f>IF(L92=Reference!$A$28, Reference!$C$28, IF(L92=Reference!$A$27, Reference!$C$27, IF(L92=Reference!$A$26, Reference!$C$26, IF(L92=Reference!$A$25, Reference!$C$25, 0))))</f>
        <v>7</v>
      </c>
      <c r="AB92" s="12">
        <f>IF(N92=Reference!$A$36, Reference!$C$36, IF(N92=Reference!$A$35, Reference!$C$35, IF(N92=Reference!$A$34, Reference!$C$34, IF(N92=Reference!$A$33, Reference!$C$33, 0))))</f>
        <v>7</v>
      </c>
      <c r="AC92" s="12">
        <f>(Reference!$B$2*Y92 + Reference!$B$3*AA92 + Reference!$B$4*Z92 + Reference!$B$5 * AB92)/4</f>
        <v>15.5625</v>
      </c>
      <c r="AD92" s="12">
        <f>IF(Q92=Reference!$C$41, Reference!$D$41, IF(Q92=Reference!$C$42, Reference!$D$42, IF(Q92=Reference!$C$43, Reference!$D$43, IF(Q92=Reference!$C$44, Reference!$D$44, 0))))</f>
        <v>10</v>
      </c>
      <c r="AE92" s="88">
        <f t="shared" si="26"/>
        <v>156.625</v>
      </c>
    </row>
    <row r="93" spans="1:31" ht="101.45" customHeight="1">
      <c r="A93" s="128" t="s">
        <v>877</v>
      </c>
      <c r="B93" s="16" t="s">
        <v>47</v>
      </c>
      <c r="C93" s="16" t="s">
        <v>32</v>
      </c>
      <c r="D93" s="78" t="s">
        <v>889</v>
      </c>
      <c r="E93" s="105" t="s">
        <v>890</v>
      </c>
      <c r="F93" s="16" t="s">
        <v>35</v>
      </c>
      <c r="G93" s="77" t="s">
        <v>891</v>
      </c>
      <c r="H93" s="16" t="s">
        <v>39</v>
      </c>
      <c r="I93" s="77" t="s">
        <v>892</v>
      </c>
      <c r="J93" s="16" t="s">
        <v>39</v>
      </c>
      <c r="K93" s="77" t="s">
        <v>893</v>
      </c>
      <c r="L93" s="16" t="s">
        <v>64</v>
      </c>
      <c r="M93" s="77" t="s">
        <v>894</v>
      </c>
      <c r="N93" s="16" t="s">
        <v>39</v>
      </c>
      <c r="O93" s="77" t="s">
        <v>895</v>
      </c>
      <c r="P93" s="113" t="str">
        <f>IF(AC93&gt;=Reference!$H$2, Reference!$G$2, IF(AC93&gt;=Reference!$H$3, Reference!$G$3, IF(AC93&gt;=Reference!$H$4, Reference!$G$4, IF(AC93&gt;=Reference!$H$5, Reference!$G$5, ""))))</f>
        <v>Major</v>
      </c>
      <c r="Q93" s="113" t="str">
        <f t="shared" si="25"/>
        <v>High</v>
      </c>
      <c r="R93" s="113" t="str">
        <f>IF(AE93&gt;=Reference!$D$2, Reference!$G$2, IF(AE93&gt;=Reference!$D$3, Reference!$E$3, IF(AE93&gt;=Reference!$D$4, Reference!$E$4, IF(AE93&gt;=Reference!$D$5, Reference!$E$5, ""))))</f>
        <v>High</v>
      </c>
      <c r="S93" s="79" t="s">
        <v>43</v>
      </c>
      <c r="T93" s="82" t="s">
        <v>896</v>
      </c>
      <c r="U93" s="77" t="s">
        <v>897</v>
      </c>
      <c r="V93" s="112" t="s">
        <v>898</v>
      </c>
      <c r="W93" s="77" t="s">
        <v>899</v>
      </c>
      <c r="Y93" s="12">
        <f>IF(H93=Reference!$A$12, Reference!$C$12, IF(H93=Reference!$A$11, Reference!$C$11, IF(H93=Reference!$A$10, Reference!$C$10, IF(H93=Reference!$A$9, Reference!$C$9, 0))))</f>
        <v>4</v>
      </c>
      <c r="Z93" s="12">
        <f>IF(J93=Reference!$A$20, Reference!$C$20, IF(J93=Reference!$A$19, Reference!$C$19, IF(J93=Reference!$A$18, Reference!$C$18, IF(J93=Reference!$A$17, Reference!$C$17, 0))))</f>
        <v>4</v>
      </c>
      <c r="AA93" s="12">
        <f>IF(L93=Reference!$A$28, Reference!$C$28, IF(L93=Reference!$A$27, Reference!$C$27, IF(L93=Reference!$A$26, Reference!$C$26, IF(L93=Reference!$A$25, Reference!$C$25, 0))))</f>
        <v>7</v>
      </c>
      <c r="AB93" s="12">
        <f>IF(N93=Reference!$A$36, Reference!$C$36, IF(N93=Reference!$A$35, Reference!$C$35, IF(N93=Reference!$A$34, Reference!$C$34, IF(N93=Reference!$A$33, Reference!$C$33, 0))))</f>
        <v>4</v>
      </c>
      <c r="AC93" s="12">
        <f>(Reference!$B$2*Y93 + Reference!$B$3*AA93 + Reference!$B$4*Z93 + Reference!$B$5 * AB93)/4</f>
        <v>7.5</v>
      </c>
      <c r="AD93" s="12">
        <f>IF(Q93=Reference!$C$41, Reference!$D$41, IF(Q93=Reference!$C$42, Reference!$D$42, IF(Q93=Reference!$C$43, Reference!$D$43, IF(Q93=Reference!$C$44, Reference!$D$44, 0))))</f>
        <v>10</v>
      </c>
      <c r="AE93" s="108">
        <f t="shared" si="26"/>
        <v>76</v>
      </c>
    </row>
    <row r="94" spans="1:31" ht="101.45">
      <c r="A94" s="129"/>
      <c r="B94" s="16" t="s">
        <v>74</v>
      </c>
      <c r="C94" s="16" t="s">
        <v>75</v>
      </c>
      <c r="D94" s="78" t="s">
        <v>889</v>
      </c>
      <c r="E94" s="105" t="s">
        <v>890</v>
      </c>
      <c r="F94" s="16" t="s">
        <v>35</v>
      </c>
      <c r="G94" s="77" t="s">
        <v>891</v>
      </c>
      <c r="H94" s="16" t="s">
        <v>39</v>
      </c>
      <c r="I94" s="77" t="s">
        <v>892</v>
      </c>
      <c r="J94" s="16" t="s">
        <v>39</v>
      </c>
      <c r="K94" s="77" t="s">
        <v>893</v>
      </c>
      <c r="L94" s="16" t="s">
        <v>64</v>
      </c>
      <c r="M94" s="77" t="s">
        <v>894</v>
      </c>
      <c r="N94" s="16" t="s">
        <v>39</v>
      </c>
      <c r="O94" s="77" t="s">
        <v>895</v>
      </c>
      <c r="P94" s="113" t="str">
        <f>IF(AC94&gt;=Reference!$H$2, Reference!$G$2, IF(AC94&gt;=Reference!$H$3, Reference!$G$3, IF(AC94&gt;=Reference!$H$4, Reference!$G$4, IF(AC94&gt;=Reference!$H$5, Reference!$G$5, ""))))</f>
        <v>Major</v>
      </c>
      <c r="Q94" s="113" t="str">
        <f t="shared" ref="Q94" si="29">IF(F94="Physical", "Very Low", IF(F94="Local", "Low", IF(F94="Adjacent", "Medium", IF(F94="Network", "High", ""))))</f>
        <v>High</v>
      </c>
      <c r="R94" s="113" t="str">
        <f>IF(AE94&gt;=Reference!$D$2, Reference!$G$2, IF(AE94&gt;=Reference!$D$3, Reference!$E$3, IF(AE94&gt;=Reference!$D$4, Reference!$E$4, IF(AE94&gt;=Reference!$D$5, Reference!$E$5, ""))))</f>
        <v>High</v>
      </c>
      <c r="S94" s="79" t="s">
        <v>43</v>
      </c>
      <c r="T94" s="82" t="s">
        <v>896</v>
      </c>
      <c r="U94" s="77" t="s">
        <v>897</v>
      </c>
      <c r="V94" s="112" t="s">
        <v>898</v>
      </c>
      <c r="W94" s="77" t="s">
        <v>899</v>
      </c>
      <c r="Y94" s="12">
        <f>IF(H94=Reference!$A$12, Reference!$C$12, IF(H94=Reference!$A$11, Reference!$C$11, IF(H94=Reference!$A$10, Reference!$C$10, IF(H94=Reference!$A$9, Reference!$C$9, 0))))</f>
        <v>4</v>
      </c>
      <c r="Z94" s="12">
        <f>IF(J94=Reference!$A$20, Reference!$C$20, IF(J94=Reference!$A$19, Reference!$C$19, IF(J94=Reference!$A$18, Reference!$C$18, IF(J94=Reference!$A$17, Reference!$C$17, 0))))</f>
        <v>4</v>
      </c>
      <c r="AA94" s="12">
        <f>IF(L94=Reference!$A$28, Reference!$C$28, IF(L94=Reference!$A$27, Reference!$C$27, IF(L94=Reference!$A$26, Reference!$C$26, IF(L94=Reference!$A$25, Reference!$C$25, 0))))</f>
        <v>7</v>
      </c>
      <c r="AB94" s="12">
        <f>IF(N94=Reference!$A$36, Reference!$C$36, IF(N94=Reference!$A$35, Reference!$C$35, IF(N94=Reference!$A$34, Reference!$C$34, IF(N94=Reference!$A$33, Reference!$C$33, 0))))</f>
        <v>4</v>
      </c>
      <c r="AC94" s="12">
        <f>(Reference!$B$2*Y94 + Reference!$B$3*AA94 + Reference!$B$4*Z94 + Reference!$B$5 * AB94)/4</f>
        <v>7.5</v>
      </c>
      <c r="AD94" s="12">
        <f>IF(Q94=Reference!$C$41, Reference!$D$41, IF(Q94=Reference!$C$42, Reference!$D$42, IF(Q94=Reference!$C$43, Reference!$D$43, IF(Q94=Reference!$C$44, Reference!$D$44, 0))))</f>
        <v>10</v>
      </c>
      <c r="AE94" s="108">
        <f t="shared" si="26"/>
        <v>76</v>
      </c>
    </row>
    <row r="95" spans="1:31" ht="139.15">
      <c r="A95" s="122" t="s">
        <v>900</v>
      </c>
      <c r="B95" s="16" t="s">
        <v>31</v>
      </c>
      <c r="C95" s="16" t="s">
        <v>32</v>
      </c>
      <c r="D95" s="78" t="s">
        <v>901</v>
      </c>
      <c r="E95" s="78" t="s">
        <v>902</v>
      </c>
      <c r="F95" s="16" t="s">
        <v>169</v>
      </c>
      <c r="G95" s="77" t="s">
        <v>903</v>
      </c>
      <c r="H95" s="16" t="s">
        <v>64</v>
      </c>
      <c r="I95" s="77" t="s">
        <v>904</v>
      </c>
      <c r="J95" s="16" t="s">
        <v>39</v>
      </c>
      <c r="K95" s="77" t="s">
        <v>905</v>
      </c>
      <c r="L95" s="16" t="s">
        <v>39</v>
      </c>
      <c r="M95" s="77" t="s">
        <v>906</v>
      </c>
      <c r="N95" s="16" t="s">
        <v>39</v>
      </c>
      <c r="O95" s="77" t="s">
        <v>907</v>
      </c>
      <c r="P95" s="114" t="str">
        <f>IF(AC95&gt;=Reference!$H$2, Reference!$G$2, IF(AC95&gt;=Reference!$H$3, Reference!$G$3, IF(AC95&gt;=Reference!$H$4, Reference!$G$4, IF(AC95&gt;=Reference!$H$5, Reference!$G$5, ""))))</f>
        <v>Severe</v>
      </c>
      <c r="Q95" s="114" t="str">
        <f t="shared" si="25"/>
        <v>Low</v>
      </c>
      <c r="R95" s="114" t="str">
        <f>IF(AE95&gt;=Reference!$D$2, Reference!$G$2, IF(AE95&gt;=Reference!$D$3, Reference!$E$3, IF(AE95&gt;=Reference!$D$4, Reference!$E$4, IF(AE95&gt;=Reference!$D$5, Reference!$E$5, ""))))</f>
        <v>Medium</v>
      </c>
      <c r="S95" s="79" t="s">
        <v>43</v>
      </c>
      <c r="T95" s="82" t="s">
        <v>908</v>
      </c>
      <c r="U95" s="77" t="s">
        <v>909</v>
      </c>
      <c r="V95" s="77" t="s">
        <v>910</v>
      </c>
      <c r="W95" s="77" t="s">
        <v>911</v>
      </c>
      <c r="Y95" s="12">
        <f>IF(H95=Reference!$A$12, Reference!$C$12, IF(H95=Reference!$A$11, Reference!$C$11, IF(H95=Reference!$A$10, Reference!$C$10, IF(H95=Reference!$A$9, Reference!$C$9, 0))))</f>
        <v>7</v>
      </c>
      <c r="Z95" s="12">
        <f>IF(J95=Reference!$A$20, Reference!$C$20, IF(J95=Reference!$A$19, Reference!$C$19, IF(J95=Reference!$A$18, Reference!$C$18, IF(J95=Reference!$A$17, Reference!$C$17, 0))))</f>
        <v>4</v>
      </c>
      <c r="AA95" s="12">
        <f>IF(L95=Reference!$A$28, Reference!$C$28, IF(L95=Reference!$A$27, Reference!$C$27, IF(L95=Reference!$A$26, Reference!$C$26, IF(L95=Reference!$A$25, Reference!$C$25, 0))))</f>
        <v>4</v>
      </c>
      <c r="AB95" s="12">
        <f>IF(N95=Reference!$A$36, Reference!$C$36, IF(N95=Reference!$A$35, Reference!$C$35, IF(N95=Reference!$A$34, Reference!$C$34, IF(N95=Reference!$A$33, Reference!$C$33, 0))))</f>
        <v>4</v>
      </c>
      <c r="AC95" s="12">
        <f>(Reference!$B$2*Y95 + Reference!$B$3*AA95 + Reference!$B$4*Z95 + Reference!$B$5 * AB95)/4</f>
        <v>10.5</v>
      </c>
      <c r="AD95" s="12">
        <f>IF(Q95=Reference!$C$41, Reference!$D$41, IF(Q95=Reference!$C$42, Reference!$D$42, IF(Q95=Reference!$C$43, Reference!$D$43, IF(Q95=Reference!$C$44, Reference!$D$44, 0))))</f>
        <v>4</v>
      </c>
      <c r="AE95" s="99">
        <f t="shared" si="26"/>
        <v>43</v>
      </c>
    </row>
    <row r="96" spans="1:31" ht="139.15">
      <c r="A96" s="122" t="s">
        <v>900</v>
      </c>
      <c r="B96" s="16" t="s">
        <v>179</v>
      </c>
      <c r="C96" s="16" t="s">
        <v>32</v>
      </c>
      <c r="D96" s="78" t="s">
        <v>901</v>
      </c>
      <c r="E96" s="78" t="s">
        <v>902</v>
      </c>
      <c r="F96" s="16" t="s">
        <v>180</v>
      </c>
      <c r="G96" s="77" t="s">
        <v>912</v>
      </c>
      <c r="H96" s="16" t="s">
        <v>64</v>
      </c>
      <c r="I96" s="77" t="s">
        <v>904</v>
      </c>
      <c r="J96" s="16" t="s">
        <v>39</v>
      </c>
      <c r="K96" s="77" t="s">
        <v>905</v>
      </c>
      <c r="L96" s="16" t="s">
        <v>39</v>
      </c>
      <c r="M96" s="77" t="s">
        <v>906</v>
      </c>
      <c r="N96" s="16" t="s">
        <v>39</v>
      </c>
      <c r="O96" s="77" t="s">
        <v>907</v>
      </c>
      <c r="P96" s="95" t="str">
        <f>IF(AC96&gt;=Reference!$H$2, Reference!$G$2, IF(AC96&gt;=Reference!$H$3, Reference!$G$3, IF(AC96&gt;=Reference!$H$4, Reference!$G$4, IF(AC96&gt;=Reference!$H$5, Reference!$G$5, ""))))</f>
        <v>Severe</v>
      </c>
      <c r="Q96" s="95" t="str">
        <f t="shared" ref="Q96" si="30">IF(F96="Physical", "Very Low", IF(F96="Local", "Low", IF(F96="Adjacent", "Medium", IF(F96="Network", "High", ""))))</f>
        <v>Medium</v>
      </c>
      <c r="R96" s="95" t="str">
        <f>IF(AE96&gt;=Reference!$D$2, Reference!$G$2, IF(AE96&gt;=Reference!$D$3, Reference!$E$3, IF(AE96&gt;=Reference!$D$4, Reference!$E$4, IF(AE96&gt;=Reference!$D$5, Reference!$E$5, ""))))</f>
        <v>High</v>
      </c>
      <c r="S96" s="79" t="s">
        <v>43</v>
      </c>
      <c r="T96" s="82" t="s">
        <v>908</v>
      </c>
      <c r="U96" s="77" t="s">
        <v>909</v>
      </c>
      <c r="V96" s="77" t="s">
        <v>910</v>
      </c>
      <c r="W96" s="77" t="s">
        <v>911</v>
      </c>
      <c r="Y96" s="12">
        <f>IF(H96=Reference!$A$12, Reference!$C$12, IF(H96=Reference!$A$11, Reference!$C$11, IF(H96=Reference!$A$10, Reference!$C$10, IF(H96=Reference!$A$9, Reference!$C$9, 0))))</f>
        <v>7</v>
      </c>
      <c r="Z96" s="12">
        <f>IF(J96=Reference!$A$20, Reference!$C$20, IF(J96=Reference!$A$19, Reference!$C$19, IF(J96=Reference!$A$18, Reference!$C$18, IF(J96=Reference!$A$17, Reference!$C$17, 0))))</f>
        <v>4</v>
      </c>
      <c r="AA96" s="12">
        <f>IF(L96=Reference!$A$28, Reference!$C$28, IF(L96=Reference!$A$27, Reference!$C$27, IF(L96=Reference!$A$26, Reference!$C$26, IF(L96=Reference!$A$25, Reference!$C$25, 0))))</f>
        <v>4</v>
      </c>
      <c r="AB96" s="12">
        <f>IF(N96=Reference!$A$36, Reference!$C$36, IF(N96=Reference!$A$35, Reference!$C$35, IF(N96=Reference!$A$34, Reference!$C$34, IF(N96=Reference!$A$33, Reference!$C$33, 0))))</f>
        <v>4</v>
      </c>
      <c r="AC96" s="12">
        <f>(Reference!$B$2*Y96 + Reference!$B$3*AA96 + Reference!$B$4*Z96 + Reference!$B$5 * AB96)/4</f>
        <v>10.5</v>
      </c>
      <c r="AD96" s="12">
        <f>IF(Q96=Reference!$C$41, Reference!$D$41, IF(Q96=Reference!$C$42, Reference!$D$42, IF(Q96=Reference!$C$43, Reference!$D$43, IF(Q96=Reference!$C$44, Reference!$D$44, 0))))</f>
        <v>7</v>
      </c>
      <c r="AE96" s="87">
        <f t="shared" si="26"/>
        <v>74.5</v>
      </c>
    </row>
    <row r="97" spans="1:31" ht="139.15">
      <c r="A97" s="122" t="s">
        <v>913</v>
      </c>
      <c r="B97" s="16" t="s">
        <v>31</v>
      </c>
      <c r="C97" s="16" t="s">
        <v>32</v>
      </c>
      <c r="D97" s="78" t="s">
        <v>914</v>
      </c>
      <c r="E97" s="75" t="s">
        <v>915</v>
      </c>
      <c r="F97" s="16" t="s">
        <v>169</v>
      </c>
      <c r="G97" s="77" t="s">
        <v>916</v>
      </c>
      <c r="H97" s="16" t="s">
        <v>64</v>
      </c>
      <c r="I97" s="77" t="s">
        <v>917</v>
      </c>
      <c r="J97" s="16" t="s">
        <v>64</v>
      </c>
      <c r="K97" s="77" t="s">
        <v>918</v>
      </c>
      <c r="L97" s="16" t="s">
        <v>64</v>
      </c>
      <c r="M97" s="77" t="s">
        <v>919</v>
      </c>
      <c r="N97" s="16" t="s">
        <v>64</v>
      </c>
      <c r="O97" s="77" t="s">
        <v>920</v>
      </c>
      <c r="P97" s="114" t="str">
        <f>IF(AC97&gt;=Reference!$H$2, Reference!$G$2, IF(AC97&gt;=Reference!$H$3, Reference!$G$3, IF(AC97&gt;=Reference!$H$4, Reference!$G$4, IF(AC97&gt;=Reference!$H$5, Reference!$G$5, ""))))</f>
        <v>Severe</v>
      </c>
      <c r="Q97" s="114" t="str">
        <f t="shared" si="25"/>
        <v>Low</v>
      </c>
      <c r="R97" s="114" t="str">
        <f>IF(AE97&gt;=Reference!$D$2, Reference!$G$2, IF(AE97&gt;=Reference!$D$3, Reference!$E$3, IF(AE97&gt;=Reference!$D$4, Reference!$E$4, IF(AE97&gt;=Reference!$D$5, Reference!$E$5, ""))))</f>
        <v>Medium</v>
      </c>
      <c r="S97" s="79" t="s">
        <v>43</v>
      </c>
      <c r="T97" s="82" t="s">
        <v>921</v>
      </c>
      <c r="U97" s="77" t="s">
        <v>922</v>
      </c>
      <c r="V97" s="77" t="s">
        <v>923</v>
      </c>
      <c r="W97" s="77" t="s">
        <v>924</v>
      </c>
      <c r="Y97" s="12">
        <f>IF(H97=Reference!$A$12, Reference!$C$12, IF(H97=Reference!$A$11, Reference!$C$11, IF(H97=Reference!$A$10, Reference!$C$10, IF(H97=Reference!$A$9, Reference!$C$9, 0))))</f>
        <v>7</v>
      </c>
      <c r="Z97" s="12">
        <f>IF(J97=Reference!$A$20, Reference!$C$20, IF(J97=Reference!$A$19, Reference!$C$19, IF(J97=Reference!$A$18, Reference!$C$18, IF(J97=Reference!$A$17, Reference!$C$17, 0))))</f>
        <v>7</v>
      </c>
      <c r="AA97" s="12">
        <f>IF(L97=Reference!$A$28, Reference!$C$28, IF(L97=Reference!$A$27, Reference!$C$27, IF(L97=Reference!$A$26, Reference!$C$26, IF(L97=Reference!$A$25, Reference!$C$25, 0))))</f>
        <v>7</v>
      </c>
      <c r="AB97" s="12">
        <f>IF(N97=Reference!$A$36, Reference!$C$36, IF(N97=Reference!$A$35, Reference!$C$35, IF(N97=Reference!$A$34, Reference!$C$34, IF(N97=Reference!$A$33, Reference!$C$33, 0))))</f>
        <v>7</v>
      </c>
      <c r="AC97" s="12">
        <f>(Reference!$B$2*Y97 + Reference!$B$3*AA97 + Reference!$B$4*Z97 + Reference!$B$5 * AB97)/4</f>
        <v>11.8125</v>
      </c>
      <c r="AD97" s="12">
        <f>IF(Q97=Reference!$C$41, Reference!$D$41, IF(Q97=Reference!$C$42, Reference!$D$42, IF(Q97=Reference!$C$43, Reference!$D$43, IF(Q97=Reference!$C$44, Reference!$D$44, 0))))</f>
        <v>4</v>
      </c>
      <c r="AE97" s="99">
        <f t="shared" si="26"/>
        <v>48.25</v>
      </c>
    </row>
    <row r="98" spans="1:31" ht="139.15">
      <c r="A98" s="122" t="s">
        <v>913</v>
      </c>
      <c r="B98" s="16" t="s">
        <v>59</v>
      </c>
      <c r="C98" s="16" t="s">
        <v>60</v>
      </c>
      <c r="D98" s="78" t="s">
        <v>914</v>
      </c>
      <c r="E98" s="75" t="s">
        <v>915</v>
      </c>
      <c r="F98" s="16" t="s">
        <v>180</v>
      </c>
      <c r="G98" s="77" t="s">
        <v>925</v>
      </c>
      <c r="H98" s="16" t="s">
        <v>64</v>
      </c>
      <c r="I98" s="77" t="s">
        <v>917</v>
      </c>
      <c r="J98" s="16" t="s">
        <v>64</v>
      </c>
      <c r="K98" s="77" t="s">
        <v>918</v>
      </c>
      <c r="L98" s="16" t="s">
        <v>64</v>
      </c>
      <c r="M98" s="77" t="s">
        <v>919</v>
      </c>
      <c r="N98" s="16" t="s">
        <v>64</v>
      </c>
      <c r="O98" s="77" t="s">
        <v>920</v>
      </c>
      <c r="P98" s="113" t="str">
        <f>IF(AC98&gt;=Reference!$H$2, Reference!$G$2, IF(AC98&gt;=Reference!$H$3, Reference!$G$3, IF(AC98&gt;=Reference!$H$4, Reference!$G$4, IF(AC98&gt;=Reference!$H$5, Reference!$G$5, ""))))</f>
        <v>Severe</v>
      </c>
      <c r="Q98" s="113" t="str">
        <f t="shared" ref="Q98" si="31">IF(F98="Physical", "Very Low", IF(F98="Local", "Low", IF(F98="Adjacent", "Medium", IF(F98="Network", "High", ""))))</f>
        <v>Medium</v>
      </c>
      <c r="R98" s="113" t="str">
        <f>IF(AE98&gt;=Reference!$D$2, Reference!$G$2, IF(AE98&gt;=Reference!$D$3, Reference!$E$3, IF(AE98&gt;=Reference!$D$4, Reference!$E$4, IF(AE98&gt;=Reference!$D$5, Reference!$E$5, ""))))</f>
        <v>High</v>
      </c>
      <c r="S98" s="79" t="s">
        <v>43</v>
      </c>
      <c r="T98" s="82" t="s">
        <v>921</v>
      </c>
      <c r="U98" s="77" t="s">
        <v>922</v>
      </c>
      <c r="V98" s="77" t="s">
        <v>923</v>
      </c>
      <c r="W98" s="77" t="s">
        <v>924</v>
      </c>
      <c r="Y98" s="12">
        <f>IF(H98=Reference!$A$12, Reference!$C$12, IF(H98=Reference!$A$11, Reference!$C$11, IF(H98=Reference!$A$10, Reference!$C$10, IF(H98=Reference!$A$9, Reference!$C$9, 0))))</f>
        <v>7</v>
      </c>
      <c r="Z98" s="12">
        <f>IF(J98=Reference!$A$20, Reference!$C$20, IF(J98=Reference!$A$19, Reference!$C$19, IF(J98=Reference!$A$18, Reference!$C$18, IF(J98=Reference!$A$17, Reference!$C$17, 0))))</f>
        <v>7</v>
      </c>
      <c r="AA98" s="12">
        <f>IF(L98=Reference!$A$28, Reference!$C$28, IF(L98=Reference!$A$27, Reference!$C$27, IF(L98=Reference!$A$26, Reference!$C$26, IF(L98=Reference!$A$25, Reference!$C$25, 0))))</f>
        <v>7</v>
      </c>
      <c r="AB98" s="12">
        <f>IF(N98=Reference!$A$36, Reference!$C$36, IF(N98=Reference!$A$35, Reference!$C$35, IF(N98=Reference!$A$34, Reference!$C$34, IF(N98=Reference!$A$33, Reference!$C$33, 0))))</f>
        <v>7</v>
      </c>
      <c r="AC98" s="12">
        <f>(Reference!$B$2*Y98 + Reference!$B$3*AA98 + Reference!$B$4*Z98 + Reference!$B$5 * AB98)/4</f>
        <v>11.8125</v>
      </c>
      <c r="AD98" s="12">
        <f>IF(Q98=Reference!$C$41, Reference!$D$41, IF(Q98=Reference!$C$42, Reference!$D$42, IF(Q98=Reference!$C$43, Reference!$D$43, IF(Q98=Reference!$C$44, Reference!$D$44, 0))))</f>
        <v>7</v>
      </c>
      <c r="AE98" s="108">
        <f t="shared" si="26"/>
        <v>83.6875</v>
      </c>
    </row>
    <row r="99" spans="1:31" ht="13.15">
      <c r="A99" s="81"/>
      <c r="B99" s="16"/>
      <c r="C99" s="16"/>
      <c r="D99" s="24"/>
      <c r="E99" s="24"/>
      <c r="F99" s="16"/>
      <c r="G99" s="16"/>
      <c r="H99" s="16"/>
      <c r="I99" s="16"/>
      <c r="J99" s="16"/>
      <c r="K99" s="16"/>
      <c r="L99" s="16"/>
      <c r="M99" s="16"/>
      <c r="N99" s="16"/>
      <c r="O99" s="16"/>
      <c r="P99" s="115" t="str">
        <f>IF(AC99&gt;=Reference!$H$2, Reference!$G$2, IF(AC99&gt;=Reference!$H$3, Reference!$G$3, IF(AC99&gt;=Reference!$H$4, Reference!$G$4, IF(AC99&gt;=Reference!$H$5, Reference!$G$5, ""))))</f>
        <v/>
      </c>
      <c r="Q99" s="115" t="str">
        <f t="shared" si="25"/>
        <v/>
      </c>
      <c r="R99" s="115" t="str">
        <f>IF(AE99&gt;=Reference!$D$2, Reference!$G$2, IF(AE99&gt;=Reference!$D$3, Reference!$E$3, IF(AE99&gt;=Reference!$D$4, Reference!$E$4, IF(AE99&gt;=Reference!$D$5, Reference!$E$5, ""))))</f>
        <v>Low</v>
      </c>
      <c r="S99" s="79"/>
      <c r="T99" s="23"/>
      <c r="U99" s="16"/>
      <c r="V99" s="16"/>
      <c r="W99" s="16"/>
      <c r="Y99" s="12">
        <f>IF(H99=Reference!$A$12, Reference!$C$12, IF(H99=Reference!$A$11, Reference!$C$11, IF(H99=Reference!$A$10, Reference!$C$10, IF(H99=Reference!$A$9, Reference!$C$9, 0))))</f>
        <v>0</v>
      </c>
      <c r="Z99" s="12">
        <f>IF(J99=Reference!$A$20, Reference!$C$20, IF(J99=Reference!$A$19, Reference!$C$19, IF(J99=Reference!$A$18, Reference!$C$18, IF(J99=Reference!$A$17, Reference!$C$17, 0))))</f>
        <v>0</v>
      </c>
      <c r="AA99" s="12">
        <f>IF(L99=Reference!$A$28, Reference!$C$28, IF(L99=Reference!$A$27, Reference!$C$27, IF(L99=Reference!$A$26, Reference!$C$26, IF(L99=Reference!$A$25, Reference!$C$25, 0))))</f>
        <v>0</v>
      </c>
      <c r="AB99" s="12">
        <f>IF(N99=Reference!$A$36, Reference!$C$36, IF(N99=Reference!$A$35, Reference!$C$35, IF(N99=Reference!$A$34, Reference!$C$34, IF(N99=Reference!$A$33, Reference!$C$33, 0))))</f>
        <v>0</v>
      </c>
      <c r="AC99" s="12">
        <f>(Reference!$B$2*Y99 + Reference!$B$3*AA99 + Reference!$B$4*Z99 + Reference!$B$5 * AB99)/4</f>
        <v>0</v>
      </c>
      <c r="AD99" s="12">
        <f>IF(Q99=Reference!$C$41, Reference!$D$41, IF(Q99=Reference!$C$42, Reference!$D$42, IF(Q99=Reference!$C$43, Reference!$D$43, IF(Q99=Reference!$C$44, Reference!$D$44, 0))))</f>
        <v>0</v>
      </c>
      <c r="AE99" s="12">
        <f t="shared" si="26"/>
        <v>1</v>
      </c>
    </row>
    <row r="100" spans="1:31" ht="13.15">
      <c r="A100" s="81"/>
      <c r="B100" s="16"/>
      <c r="C100" s="16"/>
      <c r="D100" s="24"/>
      <c r="E100" s="24"/>
      <c r="F100" s="16"/>
      <c r="G100" s="16"/>
      <c r="H100" s="16"/>
      <c r="I100" s="16"/>
      <c r="J100" s="16"/>
      <c r="K100" s="15"/>
      <c r="L100" s="16"/>
      <c r="M100" s="16"/>
      <c r="N100" s="16"/>
      <c r="O100" s="16"/>
      <c r="P100" s="115" t="str">
        <f>IF(AC100&gt;=Reference!$H$2, Reference!$G$2, IF(AC100&gt;=Reference!$H$3, Reference!$G$3, IF(AC100&gt;=Reference!$H$4, Reference!$G$4, IF(AC100&gt;=Reference!$H$5, Reference!$G$5, ""))))</f>
        <v/>
      </c>
      <c r="Q100" s="115" t="str">
        <f t="shared" si="25"/>
        <v/>
      </c>
      <c r="R100" s="115" t="str">
        <f>IF(AE100&gt;=Reference!$D$2, Reference!$G$2, IF(AE100&gt;=Reference!$D$3, Reference!$E$3, IF(AE100&gt;=Reference!$D$4, Reference!$E$4, IF(AE100&gt;=Reference!$D$5, Reference!$E$5, ""))))</f>
        <v>Low</v>
      </c>
      <c r="S100" s="79"/>
      <c r="T100" s="23"/>
      <c r="U100" s="16"/>
      <c r="V100" s="16"/>
      <c r="W100" s="16"/>
      <c r="Y100" s="12">
        <f>IF(H100=Reference!$A$12, Reference!$C$12, IF(H100=Reference!$A$11, Reference!$C$11, IF(H100=Reference!$A$10, Reference!$C$10, IF(H100=Reference!$A$9, Reference!$C$9, 0))))</f>
        <v>0</v>
      </c>
      <c r="Z100" s="12">
        <f>IF(J100=Reference!$A$20, Reference!$C$20, IF(J100=Reference!$A$19, Reference!$C$19, IF(J100=Reference!$A$18, Reference!$C$18, IF(J100=Reference!$A$17, Reference!$C$17, 0))))</f>
        <v>0</v>
      </c>
      <c r="AA100" s="12">
        <f>IF(L100=Reference!$A$28, Reference!$C$28, IF(L100=Reference!$A$27, Reference!$C$27, IF(L100=Reference!$A$26, Reference!$C$26, IF(L100=Reference!$A$25, Reference!$C$25, 0))))</f>
        <v>0</v>
      </c>
      <c r="AB100" s="12">
        <f>IF(N100=Reference!$A$36, Reference!$C$36, IF(N100=Reference!$A$35, Reference!$C$35, IF(N100=Reference!$A$34, Reference!$C$34, IF(N100=Reference!$A$33, Reference!$C$33, 0))))</f>
        <v>0</v>
      </c>
      <c r="AC100" s="12">
        <f>(Reference!$B$2*Y100 + Reference!$B$3*AA100 + Reference!$B$4*Z100 + Reference!$B$5 * AB100)/4</f>
        <v>0</v>
      </c>
      <c r="AD100" s="12">
        <f>IF(Q100=Reference!$C$41, Reference!$D$41, IF(Q100=Reference!$C$42, Reference!$D$42, IF(Q100=Reference!$C$43, Reference!$D$43, IF(Q100=Reference!$C$44, Reference!$D$44, 0))))</f>
        <v>0</v>
      </c>
      <c r="AE100" s="12">
        <f t="shared" si="26"/>
        <v>1</v>
      </c>
    </row>
    <row r="101" spans="1:31" ht="13.15">
      <c r="A101" s="81"/>
      <c r="B101" s="16"/>
      <c r="C101" s="16"/>
      <c r="D101" s="24"/>
      <c r="E101" s="124"/>
      <c r="F101" s="16"/>
      <c r="G101" s="16"/>
      <c r="H101" s="16"/>
      <c r="I101" s="16"/>
      <c r="J101" s="16"/>
      <c r="K101" s="15"/>
      <c r="L101" s="16"/>
      <c r="M101" s="15"/>
      <c r="N101" s="16"/>
      <c r="O101" s="16"/>
      <c r="P101" s="115" t="str">
        <f>IF(AC101&gt;=Reference!$H$2, Reference!$G$2, IF(AC101&gt;=Reference!$H$3, Reference!$G$3, IF(AC101&gt;=Reference!$H$4, Reference!$G$4, IF(AC101&gt;=Reference!$H$5, Reference!$G$5, ""))))</f>
        <v/>
      </c>
      <c r="Q101" s="115" t="str">
        <f t="shared" si="25"/>
        <v/>
      </c>
      <c r="R101" s="115" t="str">
        <f>IF(AE101&gt;=Reference!$D$2, Reference!$G$2, IF(AE101&gt;=Reference!$D$3, Reference!$E$3, IF(AE101&gt;=Reference!$D$4, Reference!$E$4, IF(AE101&gt;=Reference!$D$5, Reference!$E$5, ""))))</f>
        <v>Low</v>
      </c>
      <c r="S101" s="79"/>
      <c r="T101" s="23"/>
      <c r="U101" s="16"/>
      <c r="V101" s="16"/>
      <c r="W101" s="16"/>
      <c r="Y101" s="12">
        <f>IF(H101=Reference!$A$12, Reference!$C$12, IF(H101=Reference!$A$11, Reference!$C$11, IF(H101=Reference!$A$10, Reference!$C$10, IF(H101=Reference!$A$9, Reference!$C$9, 0))))</f>
        <v>0</v>
      </c>
      <c r="Z101" s="12">
        <f>IF(J101=Reference!$A$20, Reference!$C$20, IF(J101=Reference!$A$19, Reference!$C$19, IF(J101=Reference!$A$18, Reference!$C$18, IF(J101=Reference!$A$17, Reference!$C$17, 0))))</f>
        <v>0</v>
      </c>
      <c r="AA101" s="12">
        <f>IF(L101=Reference!$A$28, Reference!$C$28, IF(L101=Reference!$A$27, Reference!$C$27, IF(L101=Reference!$A$26, Reference!$C$26, IF(L101=Reference!$A$25, Reference!$C$25, 0))))</f>
        <v>0</v>
      </c>
      <c r="AB101" s="12">
        <f>IF(N101=Reference!$A$36, Reference!$C$36, IF(N101=Reference!$A$35, Reference!$C$35, IF(N101=Reference!$A$34, Reference!$C$34, IF(N101=Reference!$A$33, Reference!$C$33, 0))))</f>
        <v>0</v>
      </c>
      <c r="AC101" s="12">
        <f>(Reference!$B$2*Y101 + Reference!$B$3*AA101 + Reference!$B$4*Z101 + Reference!$B$5 * AB101)/4</f>
        <v>0</v>
      </c>
      <c r="AD101" s="12">
        <f>IF(Q101=Reference!$C$41, Reference!$D$41, IF(Q101=Reference!$C$42, Reference!$D$42, IF(Q101=Reference!$C$43, Reference!$D$43, IF(Q101=Reference!$C$44, Reference!$D$44, 0))))</f>
        <v>0</v>
      </c>
      <c r="AE101" s="12">
        <f t="shared" si="26"/>
        <v>1</v>
      </c>
    </row>
    <row r="102" spans="1:31" ht="13.15">
      <c r="A102" s="81"/>
      <c r="B102" s="16"/>
      <c r="C102" s="16"/>
      <c r="D102" s="24"/>
      <c r="E102" s="24"/>
      <c r="F102" s="16"/>
      <c r="G102" s="16"/>
      <c r="H102" s="16"/>
      <c r="I102" s="16"/>
      <c r="J102" s="16"/>
      <c r="K102" s="16"/>
      <c r="L102" s="16"/>
      <c r="M102" s="16"/>
      <c r="N102" s="16"/>
      <c r="O102" s="16"/>
      <c r="P102" s="115" t="str">
        <f>IF(AC102&gt;=Reference!$H$2, Reference!$G$2, IF(AC102&gt;=Reference!$H$3, Reference!$G$3, IF(AC102&gt;=Reference!$H$4, Reference!$G$4, IF(AC102&gt;=Reference!$H$5, Reference!$G$5, ""))))</f>
        <v/>
      </c>
      <c r="Q102" s="115" t="str">
        <f t="shared" si="25"/>
        <v/>
      </c>
      <c r="R102" s="115" t="str">
        <f>IF(AE102&gt;=Reference!$D$2, Reference!$G$2, IF(AE102&gt;=Reference!$D$3, Reference!$E$3, IF(AE102&gt;=Reference!$D$4, Reference!$E$4, IF(AE102&gt;=Reference!$D$5, Reference!$E$5, ""))))</f>
        <v>Low</v>
      </c>
      <c r="S102" s="79"/>
      <c r="T102" s="103"/>
      <c r="U102" s="16"/>
      <c r="V102" s="16"/>
      <c r="W102" s="16"/>
      <c r="Y102" s="12">
        <f>IF(H102=Reference!$A$12, Reference!$C$12, IF(H102=Reference!$A$11, Reference!$C$11, IF(H102=Reference!$A$10, Reference!$C$10, IF(H102=Reference!$A$9, Reference!$C$9, 0))))</f>
        <v>0</v>
      </c>
      <c r="Z102" s="12">
        <f>IF(J102=Reference!$A$20, Reference!$C$20, IF(J102=Reference!$A$19, Reference!$C$19, IF(J102=Reference!$A$18, Reference!$C$18, IF(J102=Reference!$A$17, Reference!$C$17, 0))))</f>
        <v>0</v>
      </c>
      <c r="AA102" s="12">
        <f>IF(L102=Reference!$A$28, Reference!$C$28, IF(L102=Reference!$A$27, Reference!$C$27, IF(L102=Reference!$A$26, Reference!$C$26, IF(L102=Reference!$A$25, Reference!$C$25, 0))))</f>
        <v>0</v>
      </c>
      <c r="AB102" s="12">
        <f>IF(N102=Reference!$A$36, Reference!$C$36, IF(N102=Reference!$A$35, Reference!$C$35, IF(N102=Reference!$A$34, Reference!$C$34, IF(N102=Reference!$A$33, Reference!$C$33, 0))))</f>
        <v>0</v>
      </c>
      <c r="AC102" s="12">
        <f>(Reference!$B$2*Y102 + Reference!$B$3*AA102 + Reference!$B$4*Z102 + Reference!$B$5 * AB102)/4</f>
        <v>0</v>
      </c>
      <c r="AD102" s="12">
        <f>IF(Q102=Reference!$C$41, Reference!$D$41, IF(Q102=Reference!$C$42, Reference!$D$42, IF(Q102=Reference!$C$43, Reference!$D$43, IF(Q102=Reference!$C$44, Reference!$D$44, 0))))</f>
        <v>0</v>
      </c>
      <c r="AE102" s="12">
        <f t="shared" si="26"/>
        <v>1</v>
      </c>
    </row>
    <row r="103" spans="1:31" ht="13.15">
      <c r="A103" s="81"/>
      <c r="B103" s="16"/>
      <c r="C103" s="16"/>
      <c r="D103" s="24"/>
      <c r="E103" s="74"/>
      <c r="F103" s="16"/>
      <c r="G103" s="16"/>
      <c r="H103" s="16"/>
      <c r="I103" s="16"/>
      <c r="J103" s="16"/>
      <c r="K103" s="16"/>
      <c r="L103" s="16"/>
      <c r="M103" s="16"/>
      <c r="N103" s="16"/>
      <c r="O103" s="16"/>
      <c r="P103" s="115" t="str">
        <f>IF(AC103&gt;=Reference!$H$2, Reference!$G$2, IF(AC103&gt;=Reference!$H$3, Reference!$G$3, IF(AC103&gt;=Reference!$H$4, Reference!$G$4, IF(AC103&gt;=Reference!$H$5, Reference!$G$5, ""))))</f>
        <v/>
      </c>
      <c r="Q103" s="115" t="str">
        <f t="shared" si="25"/>
        <v/>
      </c>
      <c r="R103" s="115" t="str">
        <f>IF(AE103&gt;=Reference!$D$2, Reference!$G$2, IF(AE103&gt;=Reference!$D$3, Reference!$E$3, IF(AE103&gt;=Reference!$D$4, Reference!$E$4, IF(AE103&gt;=Reference!$D$5, Reference!$E$5, ""))))</f>
        <v>Low</v>
      </c>
      <c r="S103" s="79"/>
      <c r="T103" s="23"/>
      <c r="U103" s="16"/>
      <c r="V103" s="16"/>
      <c r="W103" s="16"/>
      <c r="Y103" s="12">
        <f>IF(H103=Reference!$A$12, Reference!$C$12, IF(H103=Reference!$A$11, Reference!$C$11, IF(H103=Reference!$A$10, Reference!$C$10, IF(H103=Reference!$A$9, Reference!$C$9, 0))))</f>
        <v>0</v>
      </c>
      <c r="Z103" s="12">
        <f>IF(J103=Reference!$A$20, Reference!$C$20, IF(J103=Reference!$A$19, Reference!$C$19, IF(J103=Reference!$A$18, Reference!$C$18, IF(J103=Reference!$A$17, Reference!$C$17, 0))))</f>
        <v>0</v>
      </c>
      <c r="AA103" s="12">
        <f>IF(L103=Reference!$A$28, Reference!$C$28, IF(L103=Reference!$A$27, Reference!$C$27, IF(L103=Reference!$A$26, Reference!$C$26, IF(L103=Reference!$A$25, Reference!$C$25, 0))))</f>
        <v>0</v>
      </c>
      <c r="AB103" s="12">
        <f>IF(N103=Reference!$A$36, Reference!$C$36, IF(N103=Reference!$A$35, Reference!$C$35, IF(N103=Reference!$A$34, Reference!$C$34, IF(N103=Reference!$A$33, Reference!$C$33, 0))))</f>
        <v>0</v>
      </c>
      <c r="AC103" s="12">
        <f>(Reference!$B$2*Y103 + Reference!$B$3*AA103 + Reference!$B$4*Z103 + Reference!$B$5 * AB103)/4</f>
        <v>0</v>
      </c>
      <c r="AD103" s="12">
        <f>IF(Q103=Reference!$C$41, Reference!$D$41, IF(Q103=Reference!$C$42, Reference!$D$42, IF(Q103=Reference!$C$43, Reference!$D$43, IF(Q103=Reference!$C$44, Reference!$D$44, 0))))</f>
        <v>0</v>
      </c>
      <c r="AE103" s="12">
        <f t="shared" si="26"/>
        <v>1</v>
      </c>
    </row>
    <row r="104" spans="1:31" ht="13.15">
      <c r="A104" s="81"/>
      <c r="B104" s="16"/>
      <c r="C104" s="16"/>
      <c r="D104" s="24"/>
      <c r="E104" s="74"/>
      <c r="F104" s="16"/>
      <c r="G104" s="16"/>
      <c r="H104" s="16"/>
      <c r="I104" s="16"/>
      <c r="J104" s="16"/>
      <c r="K104" s="16"/>
      <c r="L104" s="16"/>
      <c r="M104" s="16"/>
      <c r="N104" s="16"/>
      <c r="O104" s="16"/>
      <c r="P104" s="115" t="str">
        <f>IF(AC104&gt;=Reference!$H$2, Reference!$G$2, IF(AC104&gt;=Reference!$H$3, Reference!$G$3, IF(AC104&gt;=Reference!$H$4, Reference!$G$4, IF(AC104&gt;=Reference!$H$5, Reference!$G$5, ""))))</f>
        <v/>
      </c>
      <c r="Q104" s="115" t="str">
        <f t="shared" si="25"/>
        <v/>
      </c>
      <c r="R104" s="115" t="str">
        <f>IF(AE104&gt;=Reference!$D$2, Reference!$G$2, IF(AE104&gt;=Reference!$D$3, Reference!$E$3, IF(AE104&gt;=Reference!$D$4, Reference!$E$4, IF(AE104&gt;=Reference!$D$5, Reference!$E$5, ""))))</f>
        <v>Low</v>
      </c>
      <c r="S104" s="79"/>
      <c r="T104" s="23"/>
      <c r="U104" s="16"/>
      <c r="V104" s="16"/>
      <c r="W104" s="16"/>
      <c r="Y104" s="12">
        <f>IF(H104=Reference!$A$12, Reference!$C$12, IF(H104=Reference!$A$11, Reference!$C$11, IF(H104=Reference!$A$10, Reference!$C$10, IF(H104=Reference!$A$9, Reference!$C$9, 0))))</f>
        <v>0</v>
      </c>
      <c r="Z104" s="12">
        <f>IF(J104=Reference!$A$20, Reference!$C$20, IF(J104=Reference!$A$19, Reference!$C$19, IF(J104=Reference!$A$18, Reference!$C$18, IF(J104=Reference!$A$17, Reference!$C$17, 0))))</f>
        <v>0</v>
      </c>
      <c r="AA104" s="12">
        <f>IF(L104=Reference!$A$28, Reference!$C$28, IF(L104=Reference!$A$27, Reference!$C$27, IF(L104=Reference!$A$26, Reference!$C$26, IF(L104=Reference!$A$25, Reference!$C$25, 0))))</f>
        <v>0</v>
      </c>
      <c r="AB104" s="12">
        <f>IF(N104=Reference!$A$36, Reference!$C$36, IF(N104=Reference!$A$35, Reference!$C$35, IF(N104=Reference!$A$34, Reference!$C$34, IF(N104=Reference!$A$33, Reference!$C$33, 0))))</f>
        <v>0</v>
      </c>
      <c r="AC104" s="12">
        <f>(Reference!$B$2*Y104 + Reference!$B$3*AA104 + Reference!$B$4*Z104 + Reference!$B$5 * AB104)/4</f>
        <v>0</v>
      </c>
      <c r="AD104" s="12">
        <f>IF(Q104=Reference!$C$41, Reference!$D$41, IF(Q104=Reference!$C$42, Reference!$D$42, IF(Q104=Reference!$C$43, Reference!$D$43, IF(Q104=Reference!$C$44, Reference!$D$44, 0))))</f>
        <v>0</v>
      </c>
      <c r="AE104" s="12">
        <f t="shared" si="26"/>
        <v>1</v>
      </c>
    </row>
    <row r="105" spans="1:31" ht="13.15">
      <c r="A105" s="81"/>
      <c r="B105" s="16"/>
      <c r="C105" s="16"/>
      <c r="D105" s="24"/>
      <c r="E105" s="24"/>
      <c r="F105" s="16"/>
      <c r="G105" s="16"/>
      <c r="H105" s="16"/>
      <c r="I105" s="125"/>
      <c r="J105" s="16"/>
      <c r="K105" s="15"/>
      <c r="L105" s="16"/>
      <c r="M105" s="15"/>
      <c r="N105" s="16"/>
      <c r="O105" s="125"/>
      <c r="P105" s="115" t="str">
        <f>IF(AC105&gt;=Reference!$H$2, Reference!$G$2, IF(AC105&gt;=Reference!$H$3, Reference!$G$3, IF(AC105&gt;=Reference!$H$4, Reference!$G$4, IF(AC105&gt;=Reference!$H$5, Reference!$G$5, ""))))</f>
        <v/>
      </c>
      <c r="Q105" s="115" t="str">
        <f t="shared" si="25"/>
        <v/>
      </c>
      <c r="R105" s="115" t="str">
        <f>IF(AE105&gt;=Reference!$D$2, Reference!$G$2, IF(AE105&gt;=Reference!$D$3, Reference!$E$3, IF(AE105&gt;=Reference!$D$4, Reference!$E$4, IF(AE105&gt;=Reference!$D$5, Reference!$E$5, ""))))</f>
        <v>Low</v>
      </c>
      <c r="S105" s="79"/>
      <c r="T105" s="23"/>
      <c r="U105" s="16"/>
      <c r="V105" s="16"/>
      <c r="W105" s="16"/>
      <c r="Y105" s="12">
        <f>IF(H105=Reference!$A$12, Reference!$C$12, IF(H105=Reference!$A$11, Reference!$C$11, IF(H105=Reference!$A$10, Reference!$C$10, IF(H105=Reference!$A$9, Reference!$C$9, 0))))</f>
        <v>0</v>
      </c>
      <c r="Z105" s="12">
        <f>IF(J105=Reference!$A$20, Reference!$C$20, IF(J105=Reference!$A$19, Reference!$C$19, IF(J105=Reference!$A$18, Reference!$C$18, IF(J105=Reference!$A$17, Reference!$C$17, 0))))</f>
        <v>0</v>
      </c>
      <c r="AA105" s="12">
        <f>IF(L105=Reference!$A$28, Reference!$C$28, IF(L105=Reference!$A$27, Reference!$C$27, IF(L105=Reference!$A$26, Reference!$C$26, IF(L105=Reference!$A$25, Reference!$C$25, 0))))</f>
        <v>0</v>
      </c>
      <c r="AB105" s="12">
        <f>IF(N105=Reference!$A$36, Reference!$C$36, IF(N105=Reference!$A$35, Reference!$C$35, IF(N105=Reference!$A$34, Reference!$C$34, IF(N105=Reference!$A$33, Reference!$C$33, 0))))</f>
        <v>0</v>
      </c>
      <c r="AC105" s="12">
        <f>(Reference!$B$2*Y105 + Reference!$B$3*AA105 + Reference!$B$4*Z105 + Reference!$B$5 * AB105)/4</f>
        <v>0</v>
      </c>
      <c r="AD105" s="12">
        <f>IF(Q105=Reference!$C$41, Reference!$D$41, IF(Q105=Reference!$C$42, Reference!$D$42, IF(Q105=Reference!$C$43, Reference!$D$43, IF(Q105=Reference!$C$44, Reference!$D$44, 0))))</f>
        <v>0</v>
      </c>
      <c r="AE105" s="12">
        <f t="shared" si="26"/>
        <v>1</v>
      </c>
    </row>
    <row r="106" spans="1:31" ht="13.15">
      <c r="A106" s="81"/>
      <c r="B106" s="16"/>
      <c r="C106" s="16"/>
      <c r="D106" s="24"/>
      <c r="E106" s="24"/>
      <c r="F106" s="16"/>
      <c r="G106" s="16"/>
      <c r="H106" s="16"/>
      <c r="I106" s="15"/>
      <c r="J106" s="16"/>
      <c r="K106" s="16"/>
      <c r="L106" s="16"/>
      <c r="M106" s="16"/>
      <c r="N106" s="16"/>
      <c r="O106" s="16"/>
      <c r="P106" s="115" t="str">
        <f>IF(AC106&gt;=Reference!$H$2, Reference!$G$2, IF(AC106&gt;=Reference!$H$3, Reference!$G$3, IF(AC106&gt;=Reference!$H$4, Reference!$G$4, IF(AC106&gt;=Reference!$H$5, Reference!$G$5, ""))))</f>
        <v/>
      </c>
      <c r="Q106" s="115" t="str">
        <f t="shared" si="25"/>
        <v/>
      </c>
      <c r="R106" s="115" t="str">
        <f>IF(AE106&gt;=Reference!$D$2, Reference!$G$2, IF(AE106&gt;=Reference!$D$3, Reference!$E$3, IF(AE106&gt;=Reference!$D$4, Reference!$E$4, IF(AE106&gt;=Reference!$D$5, Reference!$E$5, ""))))</f>
        <v>Low</v>
      </c>
      <c r="S106" s="79"/>
      <c r="T106" s="23"/>
      <c r="U106" s="16"/>
      <c r="V106" s="23"/>
      <c r="W106" s="16"/>
      <c r="X106" s="1"/>
      <c r="Y106" s="12">
        <f>IF(H106=Reference!$A$12, Reference!$C$12, IF(H106=Reference!$A$11, Reference!$C$11, IF(H106=Reference!$A$10, Reference!$C$10, IF(H106=Reference!$A$9, Reference!$C$9, 0))))</f>
        <v>0</v>
      </c>
      <c r="Z106" s="12">
        <f>IF(J106=Reference!$A$20, Reference!$C$20, IF(J106=Reference!$A$19, Reference!$C$19, IF(J106=Reference!$A$18, Reference!$C$18, IF(J106=Reference!$A$17, Reference!$C$17, 0))))</f>
        <v>0</v>
      </c>
      <c r="AA106" s="12">
        <f>IF(L106=Reference!$A$28, Reference!$C$28, IF(L106=Reference!$A$27, Reference!$C$27, IF(L106=Reference!$A$26, Reference!$C$26, IF(L106=Reference!$A$25, Reference!$C$25, 0))))</f>
        <v>0</v>
      </c>
      <c r="AB106" s="12">
        <f>IF(N106=Reference!$A$36, Reference!$C$36, IF(N106=Reference!$A$35, Reference!$C$35, IF(N106=Reference!$A$34, Reference!$C$34, IF(N106=Reference!$A$33, Reference!$C$33, 0))))</f>
        <v>0</v>
      </c>
      <c r="AC106" s="12">
        <f>(Reference!$B$2*Y106 + Reference!$B$3*AA106 + Reference!$B$4*Z106 + Reference!$B$5 * AB106)/4</f>
        <v>0</v>
      </c>
      <c r="AD106" s="12">
        <f>IF(Q106=Reference!$C$41, Reference!$D$41, IF(Q106=Reference!$C$42, Reference!$D$42, IF(Q106=Reference!$C$43, Reference!$D$43, IF(Q106=Reference!$C$44, Reference!$D$44, 0))))</f>
        <v>0</v>
      </c>
      <c r="AE106" s="12">
        <f t="shared" si="26"/>
        <v>1</v>
      </c>
    </row>
    <row r="107" spans="1:31" ht="13.15">
      <c r="A107" s="81"/>
      <c r="B107" s="16"/>
      <c r="C107" s="16"/>
      <c r="D107" s="124"/>
      <c r="E107" s="24"/>
      <c r="F107" s="16"/>
      <c r="G107" s="16"/>
      <c r="H107" s="16"/>
      <c r="I107" s="125"/>
      <c r="J107" s="16"/>
      <c r="K107" s="15"/>
      <c r="L107" s="16"/>
      <c r="M107" s="16"/>
      <c r="N107" s="16"/>
      <c r="O107" s="15"/>
      <c r="P107" s="115" t="str">
        <f>IF(AC107&gt;=Reference!$H$2, Reference!$G$2, IF(AC107&gt;=Reference!$H$3, Reference!$G$3, IF(AC107&gt;=Reference!$H$4, Reference!$G$4, IF(AC107&gt;=Reference!$H$5, Reference!$G$5, ""))))</f>
        <v/>
      </c>
      <c r="Q107" s="115" t="str">
        <f t="shared" si="25"/>
        <v/>
      </c>
      <c r="R107" s="115" t="str">
        <f>IF(AE107&gt;=Reference!$D$2, Reference!$G$2, IF(AE107&gt;=Reference!$D$3, Reference!$E$3, IF(AE107&gt;=Reference!$D$4, Reference!$E$4, IF(AE107&gt;=Reference!$D$5, Reference!$E$5, ""))))</f>
        <v>Low</v>
      </c>
      <c r="S107" s="79"/>
      <c r="T107" s="23"/>
      <c r="U107" s="16"/>
      <c r="V107" s="16"/>
      <c r="W107" s="16"/>
      <c r="Y107" s="12">
        <f>IF(H107=Reference!$A$12, Reference!$C$12, IF(H107=Reference!$A$11, Reference!$C$11, IF(H107=Reference!$A$10, Reference!$C$10, IF(H107=Reference!$A$9, Reference!$C$9, 0))))</f>
        <v>0</v>
      </c>
      <c r="Z107" s="12">
        <f>IF(J107=Reference!$A$20, Reference!$C$20, IF(J107=Reference!$A$19, Reference!$C$19, IF(J107=Reference!$A$18, Reference!$C$18, IF(J107=Reference!$A$17, Reference!$C$17, 0))))</f>
        <v>0</v>
      </c>
      <c r="AA107" s="12">
        <f>IF(L107=Reference!$A$28, Reference!$C$28, IF(L107=Reference!$A$27, Reference!$C$27, IF(L107=Reference!$A$26, Reference!$C$26, IF(L107=Reference!$A$25, Reference!$C$25, 0))))</f>
        <v>0</v>
      </c>
      <c r="AB107" s="12">
        <f>IF(N107=Reference!$A$36, Reference!$C$36, IF(N107=Reference!$A$35, Reference!$C$35, IF(N107=Reference!$A$34, Reference!$C$34, IF(N107=Reference!$A$33, Reference!$C$33, 0))))</f>
        <v>0</v>
      </c>
      <c r="AC107" s="12">
        <f>(Reference!$B$2*Y107 + Reference!$B$3*AA107 + Reference!$B$4*Z107 + Reference!$B$5 * AB107)/4</f>
        <v>0</v>
      </c>
      <c r="AD107" s="12">
        <f>IF(Q107=Reference!$C$41, Reference!$D$41, IF(Q107=Reference!$C$42, Reference!$D$42, IF(Q107=Reference!$C$43, Reference!$D$43, IF(Q107=Reference!$C$44, Reference!$D$44, 0))))</f>
        <v>0</v>
      </c>
      <c r="AE107" s="12">
        <f t="shared" si="26"/>
        <v>1</v>
      </c>
    </row>
    <row r="108" spans="1:31" ht="13.15">
      <c r="A108" s="81"/>
      <c r="B108" s="16"/>
      <c r="C108" s="16"/>
      <c r="D108" s="24"/>
      <c r="E108" s="24"/>
      <c r="F108" s="16"/>
      <c r="G108" s="16"/>
      <c r="H108" s="16"/>
      <c r="I108" s="16"/>
      <c r="J108" s="16"/>
      <c r="K108" s="16"/>
      <c r="L108" s="16"/>
      <c r="M108" s="16"/>
      <c r="N108" s="16"/>
      <c r="O108" s="16"/>
      <c r="P108" s="115" t="str">
        <f>IF(AC108&gt;=Reference!$H$2, Reference!$G$2, IF(AC108&gt;=Reference!$H$3, Reference!$G$3, IF(AC108&gt;=Reference!$H$4, Reference!$G$4, IF(AC108&gt;=Reference!$H$5, Reference!$G$5, ""))))</f>
        <v/>
      </c>
      <c r="Q108" s="115" t="str">
        <f t="shared" si="25"/>
        <v/>
      </c>
      <c r="R108" s="115" t="str">
        <f>IF(AE108&gt;=Reference!$D$2, Reference!$G$2, IF(AE108&gt;=Reference!$D$3, Reference!$E$3, IF(AE108&gt;=Reference!$D$4, Reference!$E$4, IF(AE108&gt;=Reference!$D$5, Reference!$E$5, ""))))</f>
        <v>Low</v>
      </c>
      <c r="S108" s="79"/>
      <c r="T108" s="23"/>
      <c r="U108" s="16"/>
      <c r="V108" s="16"/>
      <c r="W108" s="16"/>
      <c r="Y108" s="12">
        <f>IF(H108=Reference!$A$12, Reference!$C$12, IF(H108=Reference!$A$11, Reference!$C$11, IF(H108=Reference!$A$10, Reference!$C$10, IF(H108=Reference!$A$9, Reference!$C$9, 0))))</f>
        <v>0</v>
      </c>
      <c r="Z108" s="12">
        <f>IF(J108=Reference!$A$20, Reference!$C$20, IF(J108=Reference!$A$19, Reference!$C$19, IF(J108=Reference!$A$18, Reference!$C$18, IF(J108=Reference!$A$17, Reference!$C$17, 0))))</f>
        <v>0</v>
      </c>
      <c r="AA108" s="12">
        <f>IF(L108=Reference!$A$28, Reference!$C$28, IF(L108=Reference!$A$27, Reference!$C$27, IF(L108=Reference!$A$26, Reference!$C$26, IF(L108=Reference!$A$25, Reference!$C$25, 0))))</f>
        <v>0</v>
      </c>
      <c r="AB108" s="12">
        <f>IF(N108=Reference!$A$36, Reference!$C$36, IF(N108=Reference!$A$35, Reference!$C$35, IF(N108=Reference!$A$34, Reference!$C$34, IF(N108=Reference!$A$33, Reference!$C$33, 0))))</f>
        <v>0</v>
      </c>
      <c r="AC108" s="12">
        <f>(Reference!$B$2*Y108 + Reference!$B$3*AA108 + Reference!$B$4*Z108 + Reference!$B$5 * AB108)/4</f>
        <v>0</v>
      </c>
      <c r="AD108" s="12">
        <f>IF(Q108=Reference!$C$41, Reference!$D$41, IF(Q108=Reference!$C$42, Reference!$D$42, IF(Q108=Reference!$C$43, Reference!$D$43, IF(Q108=Reference!$C$44, Reference!$D$44, 0))))</f>
        <v>0</v>
      </c>
      <c r="AE108" s="12">
        <f t="shared" si="26"/>
        <v>1</v>
      </c>
    </row>
    <row r="109" spans="1:31" ht="13.15">
      <c r="A109" s="81"/>
      <c r="B109" s="16"/>
      <c r="C109" s="16"/>
      <c r="D109" s="24"/>
      <c r="E109" s="24"/>
      <c r="F109" s="16"/>
      <c r="G109" s="16"/>
      <c r="H109" s="16"/>
      <c r="I109" s="16"/>
      <c r="J109" s="16"/>
      <c r="K109" s="16"/>
      <c r="L109" s="16"/>
      <c r="M109" s="16"/>
      <c r="N109" s="16"/>
      <c r="O109" s="16"/>
      <c r="P109" s="115" t="str">
        <f>IF(AC109&gt;=Reference!$H$2, Reference!$G$2, IF(AC109&gt;=Reference!$H$3, Reference!$G$3, IF(AC109&gt;=Reference!$H$4, Reference!$G$4, IF(AC109&gt;=Reference!$H$5, Reference!$G$5, ""))))</f>
        <v/>
      </c>
      <c r="Q109" s="115" t="str">
        <f t="shared" si="25"/>
        <v/>
      </c>
      <c r="R109" s="115" t="str">
        <f>IF(AE109&gt;=Reference!$D$2, Reference!$G$2, IF(AE109&gt;=Reference!$D$3, Reference!$E$3, IF(AE109&gt;=Reference!$D$4, Reference!$E$4, IF(AE109&gt;=Reference!$D$5, Reference!$E$5, ""))))</f>
        <v>Low</v>
      </c>
      <c r="S109" s="79"/>
      <c r="T109" s="23"/>
      <c r="U109" s="16"/>
      <c r="V109" s="16"/>
      <c r="W109" s="16"/>
      <c r="Y109" s="12">
        <f>IF(H109=Reference!$A$12, Reference!$C$12, IF(H109=Reference!$A$11, Reference!$C$11, IF(H109=Reference!$A$10, Reference!$C$10, IF(H109=Reference!$A$9, Reference!$C$9, 0))))</f>
        <v>0</v>
      </c>
      <c r="Z109" s="12">
        <f>IF(J109=Reference!$A$20, Reference!$C$20, IF(J109=Reference!$A$19, Reference!$C$19, IF(J109=Reference!$A$18, Reference!$C$18, IF(J109=Reference!$A$17, Reference!$C$17, 0))))</f>
        <v>0</v>
      </c>
      <c r="AA109" s="12">
        <f>IF(L109=Reference!$A$28, Reference!$C$28, IF(L109=Reference!$A$27, Reference!$C$27, IF(L109=Reference!$A$26, Reference!$C$26, IF(L109=Reference!$A$25, Reference!$C$25, 0))))</f>
        <v>0</v>
      </c>
      <c r="AB109" s="12">
        <f>IF(N109=Reference!$A$36, Reference!$C$36, IF(N109=Reference!$A$35, Reference!$C$35, IF(N109=Reference!$A$34, Reference!$C$34, IF(N109=Reference!$A$33, Reference!$C$33, 0))))</f>
        <v>0</v>
      </c>
      <c r="AC109" s="12">
        <f>(Reference!$B$2*Y109 + Reference!$B$3*AA109 + Reference!$B$4*Z109 + Reference!$B$5 * AB109)/4</f>
        <v>0</v>
      </c>
      <c r="AD109" s="12">
        <f>IF(Q109=Reference!$C$41, Reference!$D$41, IF(Q109=Reference!$C$42, Reference!$D$42, IF(Q109=Reference!$C$43, Reference!$D$43, IF(Q109=Reference!$C$44, Reference!$D$44, 0))))</f>
        <v>0</v>
      </c>
      <c r="AE109" s="12">
        <f t="shared" si="26"/>
        <v>1</v>
      </c>
    </row>
    <row r="110" spans="1:31" ht="13.15">
      <c r="A110" s="81"/>
      <c r="B110" s="16"/>
      <c r="C110" s="16"/>
      <c r="D110" s="24"/>
      <c r="E110" s="24"/>
      <c r="F110" s="16"/>
      <c r="G110" s="16"/>
      <c r="H110" s="16"/>
      <c r="I110" s="16"/>
      <c r="J110" s="16"/>
      <c r="K110" s="16"/>
      <c r="L110" s="16"/>
      <c r="M110" s="16"/>
      <c r="N110" s="16"/>
      <c r="O110" s="16"/>
      <c r="P110" s="115" t="str">
        <f>IF(AC110&gt;=Reference!$H$2, Reference!$G$2, IF(AC110&gt;=Reference!$H$3, Reference!$G$3, IF(AC110&gt;=Reference!$H$4, Reference!$G$4, IF(AC110&gt;=Reference!$H$5, Reference!$G$5, ""))))</f>
        <v/>
      </c>
      <c r="Q110" s="115" t="str">
        <f t="shared" si="25"/>
        <v/>
      </c>
      <c r="R110" s="115" t="str">
        <f>IF(AE110&gt;=Reference!$D$2, Reference!$G$2, IF(AE110&gt;=Reference!$D$3, Reference!$E$3, IF(AE110&gt;=Reference!$D$4, Reference!$E$4, IF(AE110&gt;=Reference!$D$5, Reference!$E$5, ""))))</f>
        <v>Low</v>
      </c>
      <c r="S110" s="79"/>
      <c r="T110" s="15"/>
      <c r="U110" s="16"/>
      <c r="V110" s="16"/>
      <c r="W110" s="16"/>
      <c r="Y110" s="12">
        <f>IF(H110=Reference!$A$12, Reference!$C$12, IF(H110=Reference!$A$11, Reference!$C$11, IF(H110=Reference!$A$10, Reference!$C$10, IF(H110=Reference!$A$9, Reference!$C$9, 0))))</f>
        <v>0</v>
      </c>
      <c r="Z110" s="12">
        <f>IF(J110=Reference!$A$20, Reference!$C$20, IF(J110=Reference!$A$19, Reference!$C$19, IF(J110=Reference!$A$18, Reference!$C$18, IF(J110=Reference!$A$17, Reference!$C$17, 0))))</f>
        <v>0</v>
      </c>
      <c r="AA110" s="12">
        <f>IF(L110=Reference!$A$28, Reference!$C$28, IF(L110=Reference!$A$27, Reference!$C$27, IF(L110=Reference!$A$26, Reference!$C$26, IF(L110=Reference!$A$25, Reference!$C$25, 0))))</f>
        <v>0</v>
      </c>
      <c r="AB110" s="12">
        <f>IF(N110=Reference!$A$36, Reference!$C$36, IF(N110=Reference!$A$35, Reference!$C$35, IF(N110=Reference!$A$34, Reference!$C$34, IF(N110=Reference!$A$33, Reference!$C$33, 0))))</f>
        <v>0</v>
      </c>
      <c r="AC110" s="12">
        <f>(Reference!$B$2*Y110 + Reference!$B$3*AA110 + Reference!$B$4*Z110 + Reference!$B$5 * AB110)/4</f>
        <v>0</v>
      </c>
      <c r="AD110" s="12">
        <f>IF(Q110=Reference!$C$41, Reference!$D$41, IF(Q110=Reference!$C$42, Reference!$D$42, IF(Q110=Reference!$C$43, Reference!$D$43, IF(Q110=Reference!$C$44, Reference!$D$44, 0))))</f>
        <v>0</v>
      </c>
      <c r="AE110" s="12">
        <f t="shared" si="26"/>
        <v>1</v>
      </c>
    </row>
    <row r="111" spans="1:31" ht="13.15">
      <c r="A111" s="81"/>
      <c r="B111" s="16"/>
      <c r="C111" s="16"/>
      <c r="D111" s="24"/>
      <c r="E111" s="24"/>
      <c r="F111" s="16"/>
      <c r="G111" s="16"/>
      <c r="H111" s="16"/>
      <c r="I111" s="16"/>
      <c r="J111" s="16"/>
      <c r="K111" s="16"/>
      <c r="L111" s="16"/>
      <c r="M111" s="16"/>
      <c r="N111" s="16"/>
      <c r="O111" s="16"/>
      <c r="P111" s="115" t="str">
        <f>IF(AC111&gt;=Reference!$H$2, Reference!$G$2, IF(AC111&gt;=Reference!$H$3, Reference!$G$3, IF(AC111&gt;=Reference!$H$4, Reference!$G$4, IF(AC111&gt;=Reference!$H$5, Reference!$G$5, ""))))</f>
        <v/>
      </c>
      <c r="Q111" s="115" t="str">
        <f t="shared" si="25"/>
        <v/>
      </c>
      <c r="R111" s="115" t="str">
        <f>IF(AE111&gt;=Reference!$D$2, Reference!$G$2, IF(AE111&gt;=Reference!$D$3, Reference!$E$3, IF(AE111&gt;=Reference!$D$4, Reference!$E$4, IF(AE111&gt;=Reference!$D$5, Reference!$E$5, ""))))</f>
        <v>Low</v>
      </c>
      <c r="S111" s="79"/>
      <c r="T111" s="23"/>
      <c r="U111" s="16"/>
      <c r="V111" s="16"/>
      <c r="W111" s="16"/>
      <c r="Y111" s="12">
        <f>IF(H111=Reference!$A$12, Reference!$C$12, IF(H111=Reference!$A$11, Reference!$C$11, IF(H111=Reference!$A$10, Reference!$C$10, IF(H111=Reference!$A$9, Reference!$C$9, 0))))</f>
        <v>0</v>
      </c>
      <c r="Z111" s="12">
        <f>IF(J111=Reference!$A$20, Reference!$C$20, IF(J111=Reference!$A$19, Reference!$C$19, IF(J111=Reference!$A$18, Reference!$C$18, IF(J111=Reference!$A$17, Reference!$C$17, 0))))</f>
        <v>0</v>
      </c>
      <c r="AA111" s="12">
        <f>IF(L111=Reference!$A$28, Reference!$C$28, IF(L111=Reference!$A$27, Reference!$C$27, IF(L111=Reference!$A$26, Reference!$C$26, IF(L111=Reference!$A$25, Reference!$C$25, 0))))</f>
        <v>0</v>
      </c>
      <c r="AB111" s="12">
        <f>IF(N111=Reference!$A$36, Reference!$C$36, IF(N111=Reference!$A$35, Reference!$C$35, IF(N111=Reference!$A$34, Reference!$C$34, IF(N111=Reference!$A$33, Reference!$C$33, 0))))</f>
        <v>0</v>
      </c>
      <c r="AC111" s="12">
        <f>(Reference!$B$2*Y111 + Reference!$B$3*AA111 + Reference!$B$4*Z111 + Reference!$B$5 * AB111)/4</f>
        <v>0</v>
      </c>
      <c r="AD111" s="12">
        <f>IF(Q111=Reference!$C$41, Reference!$D$41, IF(Q111=Reference!$C$42, Reference!$D$42, IF(Q111=Reference!$C$43, Reference!$D$43, IF(Q111=Reference!$C$44, Reference!$D$44, 0))))</f>
        <v>0</v>
      </c>
      <c r="AE111" s="12">
        <f t="shared" si="26"/>
        <v>1</v>
      </c>
    </row>
    <row r="112" spans="1:31" ht="13.15">
      <c r="A112" s="8"/>
      <c r="B112" s="9"/>
      <c r="C112" s="9"/>
      <c r="D112" s="10"/>
      <c r="E112" s="17"/>
      <c r="F112" s="9"/>
      <c r="G112" s="9"/>
      <c r="H112" s="9"/>
      <c r="I112" s="9"/>
      <c r="J112" s="9"/>
      <c r="K112" s="9"/>
      <c r="L112" s="9"/>
      <c r="M112" s="25"/>
      <c r="N112" s="9"/>
      <c r="O112" s="9"/>
      <c r="P112" s="11" t="str">
        <f>IF(AC112&gt;=Reference!$H$2, Reference!$G$2, IF(AC112&gt;=Reference!$H$3, Reference!$G$3, IF(AC112&gt;=Reference!$H$4, Reference!$G$4, IF(AC112&gt;=Reference!$H$5, Reference!$G$5, ""))))</f>
        <v/>
      </c>
      <c r="Q112" s="11" t="str">
        <f t="shared" si="25"/>
        <v/>
      </c>
      <c r="R112" s="11" t="str">
        <f>IF(AE112&gt;=Reference!$D$2, Reference!$G$2, IF(AE112&gt;=Reference!$D$3, Reference!$E$3, IF(AE112&gt;=Reference!$D$4, Reference!$E$4, IF(AE112&gt;=Reference!$D$5, Reference!$E$5, ""))))</f>
        <v>Low</v>
      </c>
      <c r="S112" s="13"/>
      <c r="T112" s="12"/>
      <c r="U112" s="9"/>
      <c r="V112" s="9"/>
      <c r="W112" s="9"/>
      <c r="Y112" s="12">
        <f>IF(H112=Reference!$A$12, Reference!$C$12, IF(H112=Reference!$A$11, Reference!$C$11, IF(H112=Reference!$A$10, Reference!$C$10, IF(H112=Reference!$A$9, Reference!$C$9, 0))))</f>
        <v>0</v>
      </c>
      <c r="Z112" s="12">
        <f>IF(J112=Reference!$A$20, Reference!$C$20, IF(J112=Reference!$A$19, Reference!$C$19, IF(J112=Reference!$A$18, Reference!$C$18, IF(J112=Reference!$A$17, Reference!$C$17, 0))))</f>
        <v>0</v>
      </c>
      <c r="AA112" s="12">
        <f>IF(L112=Reference!$A$28, Reference!$C$28, IF(L112=Reference!$A$27, Reference!$C$27, IF(L112=Reference!$A$26, Reference!$C$26, IF(L112=Reference!$A$25, Reference!$C$25, 0))))</f>
        <v>0</v>
      </c>
      <c r="AB112" s="12">
        <f>IF(N112=Reference!$A$36, Reference!$C$36, IF(N112=Reference!$A$35, Reference!$C$35, IF(N112=Reference!$A$34, Reference!$C$34, IF(N112=Reference!$A$33, Reference!$C$33, 0))))</f>
        <v>0</v>
      </c>
      <c r="AC112" s="12">
        <f>(Reference!$B$2*Y112 + Reference!$B$3*AA112 + Reference!$B$4*Z112 + Reference!$B$5 * AB112)/4</f>
        <v>0</v>
      </c>
      <c r="AD112" s="12">
        <f>IF(Q112=Reference!$C$41, Reference!$D$41, IF(Q112=Reference!$C$42, Reference!$D$42, IF(Q112=Reference!$C$43, Reference!$D$43, IF(Q112=Reference!$C$44, Reference!$D$44, 0))))</f>
        <v>0</v>
      </c>
      <c r="AE112" s="12">
        <f t="shared" si="26"/>
        <v>1</v>
      </c>
    </row>
    <row r="113" spans="1:31" ht="13.15">
      <c r="A113" s="8"/>
      <c r="B113" s="9"/>
      <c r="C113" s="9"/>
      <c r="D113" s="10"/>
      <c r="E113" s="17"/>
      <c r="F113" s="9"/>
      <c r="G113" s="9"/>
      <c r="H113" s="9"/>
      <c r="I113" s="9"/>
      <c r="J113" s="9"/>
      <c r="K113" s="9"/>
      <c r="L113" s="9"/>
      <c r="M113" s="25"/>
      <c r="N113" s="9"/>
      <c r="O113" s="9"/>
      <c r="P113" s="11" t="str">
        <f>IF(AC113&gt;=Reference!$H$2, Reference!$G$2, IF(AC113&gt;=Reference!$H$3, Reference!$G$3, IF(AC113&gt;=Reference!$H$4, Reference!$G$4, IF(AC113&gt;=Reference!$H$5, Reference!$G$5, ""))))</f>
        <v/>
      </c>
      <c r="Q113" s="11" t="str">
        <f t="shared" si="25"/>
        <v/>
      </c>
      <c r="R113" s="11" t="str">
        <f>IF(AE113&gt;=Reference!$D$2, Reference!$G$2, IF(AE113&gt;=Reference!$D$3, Reference!$E$3, IF(AE113&gt;=Reference!$D$4, Reference!$E$4, IF(AE113&gt;=Reference!$D$5, Reference!$E$5, ""))))</f>
        <v>Low</v>
      </c>
      <c r="S113" s="13"/>
      <c r="T113" s="9"/>
      <c r="U113" s="9"/>
      <c r="V113" s="14"/>
      <c r="W113" s="9"/>
      <c r="Y113" s="12">
        <f>IF(H113=Reference!$A$12, Reference!$C$12, IF(H113=Reference!$A$11, Reference!$C$11, IF(H113=Reference!$A$10, Reference!$C$10, IF(H113=Reference!$A$9, Reference!$C$9, 0))))</f>
        <v>0</v>
      </c>
      <c r="Z113" s="12">
        <f>IF(J113=Reference!$A$20, Reference!$C$20, IF(J113=Reference!$A$19, Reference!$C$19, IF(J113=Reference!$A$18, Reference!$C$18, IF(J113=Reference!$A$17, Reference!$C$17, 0))))</f>
        <v>0</v>
      </c>
      <c r="AA113" s="12">
        <f>IF(L113=Reference!$A$28, Reference!$C$28, IF(L113=Reference!$A$27, Reference!$C$27, IF(L113=Reference!$A$26, Reference!$C$26, IF(L113=Reference!$A$25, Reference!$C$25, 0))))</f>
        <v>0</v>
      </c>
      <c r="AB113" s="12">
        <f>IF(N113=Reference!$A$36, Reference!$C$36, IF(N113=Reference!$A$35, Reference!$C$35, IF(N113=Reference!$A$34, Reference!$C$34, IF(N113=Reference!$A$33, Reference!$C$33, 0))))</f>
        <v>0</v>
      </c>
      <c r="AC113" s="12">
        <f>(Reference!$B$2*Y113 + Reference!$B$3*AA113 + Reference!$B$4*Z113 + Reference!$B$5 * AB113)/4</f>
        <v>0</v>
      </c>
      <c r="AD113" s="12">
        <f>IF(Q113=Reference!$C$41, Reference!$D$41, IF(Q113=Reference!$C$42, Reference!$D$42, IF(Q113=Reference!$C$43, Reference!$D$43, IF(Q113=Reference!$C$44, Reference!$D$44, 0))))</f>
        <v>0</v>
      </c>
      <c r="AE113" s="12">
        <f t="shared" si="26"/>
        <v>1</v>
      </c>
    </row>
    <row r="114" spans="1:31" ht="13.15">
      <c r="A114" s="8"/>
      <c r="B114" s="9"/>
      <c r="C114" s="9"/>
      <c r="D114" s="10"/>
      <c r="E114" s="10"/>
      <c r="F114" s="9"/>
      <c r="G114" s="9"/>
      <c r="H114" s="9"/>
      <c r="I114" s="9"/>
      <c r="J114" s="9"/>
      <c r="K114" s="9"/>
      <c r="L114" s="9"/>
      <c r="M114" s="9"/>
      <c r="N114" s="9"/>
      <c r="O114" s="9"/>
      <c r="P114" s="11" t="str">
        <f>IF(AC114&gt;=Reference!$H$2, Reference!$G$2, IF(AC114&gt;=Reference!$H$3, Reference!$G$3, IF(AC114&gt;=Reference!$H$4, Reference!$G$4, IF(AC114&gt;=Reference!$H$5, Reference!$G$5, ""))))</f>
        <v/>
      </c>
      <c r="Q114" s="11" t="str">
        <f t="shared" si="25"/>
        <v/>
      </c>
      <c r="R114" s="11" t="str">
        <f>IF(AE114&gt;=Reference!$D$2, Reference!$G$2, IF(AE114&gt;=Reference!$D$3, Reference!$E$3, IF(AE114&gt;=Reference!$D$4, Reference!$E$4, IF(AE114&gt;=Reference!$D$5, Reference!$E$5, ""))))</f>
        <v>Low</v>
      </c>
      <c r="S114" s="13"/>
      <c r="T114" s="26"/>
      <c r="U114" s="9"/>
      <c r="V114" s="9"/>
      <c r="W114" s="9"/>
      <c r="Y114" s="12">
        <f>IF(H114=Reference!$A$12, Reference!$C$12, IF(H114=Reference!$A$11, Reference!$C$11, IF(H114=Reference!$A$10, Reference!$C$10, IF(H114=Reference!$A$9, Reference!$C$9, 0))))</f>
        <v>0</v>
      </c>
      <c r="Z114" s="12">
        <f>IF(J114=Reference!$A$20, Reference!$C$20, IF(J114=Reference!$A$19, Reference!$C$19, IF(J114=Reference!$A$18, Reference!$C$18, IF(J114=Reference!$A$17, Reference!$C$17, 0))))</f>
        <v>0</v>
      </c>
      <c r="AA114" s="12">
        <f>IF(L114=Reference!$A$28, Reference!$C$28, IF(L114=Reference!$A$27, Reference!$C$27, IF(L114=Reference!$A$26, Reference!$C$26, IF(L114=Reference!$A$25, Reference!$C$25, 0))))</f>
        <v>0</v>
      </c>
      <c r="AB114" s="12">
        <f>IF(N114=Reference!$A$36, Reference!$C$36, IF(N114=Reference!$A$35, Reference!$C$35, IF(N114=Reference!$A$34, Reference!$C$34, IF(N114=Reference!$A$33, Reference!$C$33, 0))))</f>
        <v>0</v>
      </c>
      <c r="AC114" s="12">
        <f>(Reference!$B$2*Y114 + Reference!$B$3*AA114 + Reference!$B$4*Z114 + Reference!$B$5 * AB114)/4</f>
        <v>0</v>
      </c>
      <c r="AD114" s="12">
        <f>IF(Q114=Reference!$C$41, Reference!$D$41, IF(Q114=Reference!$C$42, Reference!$D$42, IF(Q114=Reference!$C$43, Reference!$D$43, IF(Q114=Reference!$C$44, Reference!$D$44, 0))))</f>
        <v>0</v>
      </c>
      <c r="AE114" s="12">
        <f t="shared" si="26"/>
        <v>1</v>
      </c>
    </row>
    <row r="115" spans="1:31" ht="13.15">
      <c r="A115" s="8"/>
      <c r="B115" s="9"/>
      <c r="C115" s="9"/>
      <c r="D115" s="10"/>
      <c r="E115" s="10"/>
      <c r="F115" s="9"/>
      <c r="G115" s="9"/>
      <c r="H115" s="9"/>
      <c r="I115" s="9"/>
      <c r="J115" s="9"/>
      <c r="K115" s="9"/>
      <c r="L115" s="9"/>
      <c r="M115" s="9"/>
      <c r="N115" s="9"/>
      <c r="O115" s="9"/>
      <c r="P115" s="11" t="str">
        <f>IF(AC115&gt;=Reference!$H$2, Reference!$G$2, IF(AC115&gt;=Reference!$H$3, Reference!$G$3, IF(AC115&gt;=Reference!$H$4, Reference!$G$4, IF(AC115&gt;=Reference!$H$5, Reference!$G$5, ""))))</f>
        <v/>
      </c>
      <c r="Q115" s="11" t="str">
        <f t="shared" si="25"/>
        <v/>
      </c>
      <c r="R115" s="11" t="str">
        <f>IF(AE115&gt;=Reference!$D$2, Reference!$G$2, IF(AE115&gt;=Reference!$D$3, Reference!$E$3, IF(AE115&gt;=Reference!$D$4, Reference!$E$4, IF(AE115&gt;=Reference!$D$5, Reference!$E$5, ""))))</f>
        <v>Low</v>
      </c>
      <c r="S115" s="13"/>
      <c r="T115" s="12"/>
      <c r="U115" s="9"/>
      <c r="V115" s="9"/>
      <c r="W115" s="9"/>
      <c r="Y115" s="12">
        <f>IF(H115=Reference!$A$12, Reference!$C$12, IF(H115=Reference!$A$11, Reference!$C$11, IF(H115=Reference!$A$10, Reference!$C$10, IF(H115=Reference!$A$9, Reference!$C$9, 0))))</f>
        <v>0</v>
      </c>
      <c r="Z115" s="12">
        <f>IF(J115=Reference!$A$20, Reference!$C$20, IF(J115=Reference!$A$19, Reference!$C$19, IF(J115=Reference!$A$18, Reference!$C$18, IF(J115=Reference!$A$17, Reference!$C$17, 0))))</f>
        <v>0</v>
      </c>
      <c r="AA115" s="12">
        <f>IF(L115=Reference!$A$28, Reference!$C$28, IF(L115=Reference!$A$27, Reference!$C$27, IF(L115=Reference!$A$26, Reference!$C$26, IF(L115=Reference!$A$25, Reference!$C$25, 0))))</f>
        <v>0</v>
      </c>
      <c r="AB115" s="12">
        <f>IF(N115=Reference!$A$36, Reference!$C$36, IF(N115=Reference!$A$35, Reference!$C$35, IF(N115=Reference!$A$34, Reference!$C$34, IF(N115=Reference!$A$33, Reference!$C$33, 0))))</f>
        <v>0</v>
      </c>
      <c r="AC115" s="12">
        <f>(Reference!$B$2*Y115 + Reference!$B$3*AA115 + Reference!$B$4*Z115 + Reference!$B$5 * AB115)/4</f>
        <v>0</v>
      </c>
      <c r="AD115" s="12">
        <f>IF(Q115=Reference!$C$41, Reference!$D$41, IF(Q115=Reference!$C$42, Reference!$D$42, IF(Q115=Reference!$C$43, Reference!$D$43, IF(Q115=Reference!$C$44, Reference!$D$44, 0))))</f>
        <v>0</v>
      </c>
      <c r="AE115" s="12">
        <f t="shared" si="26"/>
        <v>1</v>
      </c>
    </row>
    <row r="116" spans="1:31" ht="13.15">
      <c r="A116" s="8"/>
      <c r="B116" s="9"/>
      <c r="C116" s="9"/>
      <c r="D116" s="10"/>
      <c r="E116" s="10"/>
      <c r="F116" s="9"/>
      <c r="G116" s="9"/>
      <c r="H116" s="9"/>
      <c r="I116" s="9"/>
      <c r="J116" s="9"/>
      <c r="K116" s="9"/>
      <c r="L116" s="9"/>
      <c r="M116" s="9"/>
      <c r="N116" s="9"/>
      <c r="O116" s="9"/>
      <c r="P116" s="11" t="str">
        <f>IF(AC116&gt;=Reference!$H$2, Reference!$G$2, IF(AC116&gt;=Reference!$H$3, Reference!$G$3, IF(AC116&gt;=Reference!$H$4, Reference!$G$4, IF(AC116&gt;=Reference!$H$5, Reference!$G$5, ""))))</f>
        <v/>
      </c>
      <c r="Q116" s="11" t="str">
        <f t="shared" si="25"/>
        <v/>
      </c>
      <c r="R116" s="11" t="str">
        <f>IF(AE116&gt;=Reference!$D$2, Reference!$G$2, IF(AE116&gt;=Reference!$D$3, Reference!$E$3, IF(AE116&gt;=Reference!$D$4, Reference!$E$4, IF(AE116&gt;=Reference!$D$5, Reference!$E$5, ""))))</f>
        <v>Low</v>
      </c>
      <c r="S116" s="13"/>
      <c r="T116" s="12"/>
      <c r="U116" s="9"/>
      <c r="V116" s="9"/>
      <c r="W116" s="9"/>
      <c r="Y116" s="12">
        <f>IF(H116=Reference!$A$12, Reference!$C$12, IF(H116=Reference!$A$11, Reference!$C$11, IF(H116=Reference!$A$10, Reference!$C$10, IF(H116=Reference!$A$9, Reference!$C$9, 0))))</f>
        <v>0</v>
      </c>
      <c r="Z116" s="12">
        <f>IF(J116=Reference!$A$20, Reference!$C$20, IF(J116=Reference!$A$19, Reference!$C$19, IF(J116=Reference!$A$18, Reference!$C$18, IF(J116=Reference!$A$17, Reference!$C$17, 0))))</f>
        <v>0</v>
      </c>
      <c r="AA116" s="12">
        <f>IF(L116=Reference!$A$28, Reference!$C$28, IF(L116=Reference!$A$27, Reference!$C$27, IF(L116=Reference!$A$26, Reference!$C$26, IF(L116=Reference!$A$25, Reference!$C$25, 0))))</f>
        <v>0</v>
      </c>
      <c r="AB116" s="12">
        <f>IF(N116=Reference!$A$36, Reference!$C$36, IF(N116=Reference!$A$35, Reference!$C$35, IF(N116=Reference!$A$34, Reference!$C$34, IF(N116=Reference!$A$33, Reference!$C$33, 0))))</f>
        <v>0</v>
      </c>
      <c r="AC116" s="12">
        <f>(Reference!$B$2*Y116 + Reference!$B$3*AA116 + Reference!$B$4*Z116 + Reference!$B$5 * AB116)/4</f>
        <v>0</v>
      </c>
      <c r="AD116" s="12">
        <f>IF(Q116=Reference!$C$41, Reference!$D$41, IF(Q116=Reference!$C$42, Reference!$D$42, IF(Q116=Reference!$C$43, Reference!$D$43, IF(Q116=Reference!$C$44, Reference!$D$44, 0))))</f>
        <v>0</v>
      </c>
      <c r="AE116" s="12">
        <f t="shared" si="26"/>
        <v>1</v>
      </c>
    </row>
    <row r="117" spans="1:31" ht="13.15">
      <c r="A117" s="8"/>
      <c r="B117" s="9"/>
      <c r="C117" s="9"/>
      <c r="D117" s="10"/>
      <c r="E117" s="10"/>
      <c r="F117" s="9"/>
      <c r="G117" s="9"/>
      <c r="H117" s="9"/>
      <c r="I117" s="19"/>
      <c r="J117" s="9"/>
      <c r="K117" s="19"/>
      <c r="L117" s="9"/>
      <c r="M117" s="19"/>
      <c r="N117" s="9"/>
      <c r="O117" s="19"/>
      <c r="P117" s="11" t="str">
        <f>IF(AC117&gt;=Reference!$H$2, Reference!$G$2, IF(AC117&gt;=Reference!$H$3, Reference!$G$3, IF(AC117&gt;=Reference!$H$4, Reference!$G$4, IF(AC117&gt;=Reference!$H$5, Reference!$G$5, ""))))</f>
        <v/>
      </c>
      <c r="Q117" s="11" t="str">
        <f t="shared" si="25"/>
        <v/>
      </c>
      <c r="R117" s="11" t="str">
        <f>IF(AE117&gt;=Reference!$D$2, Reference!$G$2, IF(AE117&gt;=Reference!$D$3, Reference!$E$3, IF(AE117&gt;=Reference!$D$4, Reference!$E$4, IF(AE117&gt;=Reference!$D$5, Reference!$E$5, ""))))</f>
        <v>Low</v>
      </c>
      <c r="S117" s="13"/>
      <c r="T117" s="12"/>
      <c r="U117" s="9"/>
      <c r="V117" s="9"/>
      <c r="W117" s="9"/>
      <c r="Y117" s="12">
        <f>IF(H117=Reference!$A$12, Reference!$C$12, IF(H117=Reference!$A$11, Reference!$C$11, IF(H117=Reference!$A$10, Reference!$C$10, IF(H117=Reference!$A$9, Reference!$C$9, 0))))</f>
        <v>0</v>
      </c>
      <c r="Z117" s="12">
        <f>IF(J117=Reference!$A$20, Reference!$C$20, IF(J117=Reference!$A$19, Reference!$C$19, IF(J117=Reference!$A$18, Reference!$C$18, IF(J117=Reference!$A$17, Reference!$C$17, 0))))</f>
        <v>0</v>
      </c>
      <c r="AA117" s="12">
        <f>IF(L117=Reference!$A$28, Reference!$C$28, IF(L117=Reference!$A$27, Reference!$C$27, IF(L117=Reference!$A$26, Reference!$C$26, IF(L117=Reference!$A$25, Reference!$C$25, 0))))</f>
        <v>0</v>
      </c>
      <c r="AB117" s="12">
        <f>IF(N117=Reference!$A$36, Reference!$C$36, IF(N117=Reference!$A$35, Reference!$C$35, IF(N117=Reference!$A$34, Reference!$C$34, IF(N117=Reference!$A$33, Reference!$C$33, 0))))</f>
        <v>0</v>
      </c>
      <c r="AC117" s="12">
        <f>(Reference!$B$2*Y117 + Reference!$B$3*AA117 + Reference!$B$4*Z117 + Reference!$B$5 * AB117)/4</f>
        <v>0</v>
      </c>
      <c r="AD117" s="12">
        <f>IF(Q117=Reference!$C$41, Reference!$D$41, IF(Q117=Reference!$C$42, Reference!$D$42, IF(Q117=Reference!$C$43, Reference!$D$43, IF(Q117=Reference!$C$44, Reference!$D$44, 0))))</f>
        <v>0</v>
      </c>
      <c r="AE117" s="12">
        <f t="shared" si="26"/>
        <v>1</v>
      </c>
    </row>
    <row r="118" spans="1:31" ht="13.15">
      <c r="A118" s="8"/>
      <c r="B118" s="9"/>
      <c r="C118" s="9"/>
      <c r="D118" s="10"/>
      <c r="E118" s="10"/>
      <c r="F118" s="9"/>
      <c r="G118" s="9"/>
      <c r="H118" s="9"/>
      <c r="I118" s="9"/>
      <c r="J118" s="9"/>
      <c r="K118" s="9"/>
      <c r="L118" s="9"/>
      <c r="M118" s="9"/>
      <c r="N118" s="9"/>
      <c r="O118" s="9"/>
      <c r="P118" s="11" t="str">
        <f>IF(AC118&gt;=Reference!$H$2, Reference!$G$2, IF(AC118&gt;=Reference!$H$3, Reference!$G$3, IF(AC118&gt;=Reference!$H$4, Reference!$G$4, IF(AC118&gt;=Reference!$H$5, Reference!$G$5, ""))))</f>
        <v/>
      </c>
      <c r="Q118" s="11" t="str">
        <f t="shared" si="25"/>
        <v/>
      </c>
      <c r="R118" s="11" t="str">
        <f>IF(AE118&gt;=Reference!$D$2, Reference!$G$2, IF(AE118&gt;=Reference!$D$3, Reference!$E$3, IF(AE118&gt;=Reference!$D$4, Reference!$E$4, IF(AE118&gt;=Reference!$D$5, Reference!$E$5, ""))))</f>
        <v>Low</v>
      </c>
      <c r="S118" s="13"/>
      <c r="T118" s="12"/>
      <c r="U118" s="9"/>
      <c r="V118" s="9"/>
      <c r="W118" s="9"/>
      <c r="Y118" s="12">
        <f>IF(H118=Reference!$A$12, Reference!$C$12, IF(H118=Reference!$A$11, Reference!$C$11, IF(H118=Reference!$A$10, Reference!$C$10, IF(H118=Reference!$A$9, Reference!$C$9, 0))))</f>
        <v>0</v>
      </c>
      <c r="Z118" s="12">
        <f>IF(J118=Reference!$A$20, Reference!$C$20, IF(J118=Reference!$A$19, Reference!$C$19, IF(J118=Reference!$A$18, Reference!$C$18, IF(J118=Reference!$A$17, Reference!$C$17, 0))))</f>
        <v>0</v>
      </c>
      <c r="AA118" s="12">
        <f>IF(L118=Reference!$A$28, Reference!$C$28, IF(L118=Reference!$A$27, Reference!$C$27, IF(L118=Reference!$A$26, Reference!$C$26, IF(L118=Reference!$A$25, Reference!$C$25, 0))))</f>
        <v>0</v>
      </c>
      <c r="AB118" s="12">
        <f>IF(N118=Reference!$A$36, Reference!$C$36, IF(N118=Reference!$A$35, Reference!$C$35, IF(N118=Reference!$A$34, Reference!$C$34, IF(N118=Reference!$A$33, Reference!$C$33, 0))))</f>
        <v>0</v>
      </c>
      <c r="AC118" s="12">
        <f>(Reference!$B$2*Y118 + Reference!$B$3*AA118 + Reference!$B$4*Z118 + Reference!$B$5 * AB118)/4</f>
        <v>0</v>
      </c>
      <c r="AD118" s="12">
        <f>IF(Q118=Reference!$C$41, Reference!$D$41, IF(Q118=Reference!$C$42, Reference!$D$42, IF(Q118=Reference!$C$43, Reference!$D$43, IF(Q118=Reference!$C$44, Reference!$D$44, 0))))</f>
        <v>0</v>
      </c>
      <c r="AE118" s="12">
        <f t="shared" si="26"/>
        <v>1</v>
      </c>
    </row>
    <row r="119" spans="1:31" ht="13.15">
      <c r="A119" s="8"/>
      <c r="B119" s="9"/>
      <c r="C119" s="9"/>
      <c r="D119" s="10"/>
      <c r="E119" s="10"/>
      <c r="F119" s="9"/>
      <c r="G119" s="9"/>
      <c r="H119" s="9"/>
      <c r="I119" s="9"/>
      <c r="J119" s="9"/>
      <c r="K119" s="9"/>
      <c r="L119" s="9"/>
      <c r="M119" s="9"/>
      <c r="N119" s="9"/>
      <c r="O119" s="9"/>
      <c r="P119" s="11" t="str">
        <f>IF(AC119&gt;=Reference!$H$2, Reference!$G$2, IF(AC119&gt;=Reference!$H$3, Reference!$G$3, IF(AC119&gt;=Reference!$H$4, Reference!$G$4, IF(AC119&gt;=Reference!$H$5, Reference!$G$5, ""))))</f>
        <v/>
      </c>
      <c r="Q119" s="11" t="str">
        <f t="shared" si="25"/>
        <v/>
      </c>
      <c r="R119" s="11" t="str">
        <f>IF(AE119&gt;=Reference!$D$2, Reference!$G$2, IF(AE119&gt;=Reference!$D$3, Reference!$E$3, IF(AE119&gt;=Reference!$D$4, Reference!$E$4, IF(AE119&gt;=Reference!$D$5, Reference!$E$5, ""))))</f>
        <v>Low</v>
      </c>
      <c r="S119" s="13"/>
      <c r="T119" s="12"/>
      <c r="U119" s="9"/>
      <c r="V119" s="9"/>
      <c r="W119" s="9"/>
      <c r="Y119" s="12">
        <f>IF(H119=Reference!$A$12, Reference!$C$12, IF(H119=Reference!$A$11, Reference!$C$11, IF(H119=Reference!$A$10, Reference!$C$10, IF(H119=Reference!$A$9, Reference!$C$9, 0))))</f>
        <v>0</v>
      </c>
      <c r="Z119" s="12">
        <f>IF(J119=Reference!$A$20, Reference!$C$20, IF(J119=Reference!$A$19, Reference!$C$19, IF(J119=Reference!$A$18, Reference!$C$18, IF(J119=Reference!$A$17, Reference!$C$17, 0))))</f>
        <v>0</v>
      </c>
      <c r="AA119" s="12">
        <f>IF(L119=Reference!$A$28, Reference!$C$28, IF(L119=Reference!$A$27, Reference!$C$27, IF(L119=Reference!$A$26, Reference!$C$26, IF(L119=Reference!$A$25, Reference!$C$25, 0))))</f>
        <v>0</v>
      </c>
      <c r="AB119" s="12">
        <f>IF(N119=Reference!$A$36, Reference!$C$36, IF(N119=Reference!$A$35, Reference!$C$35, IF(N119=Reference!$A$34, Reference!$C$34, IF(N119=Reference!$A$33, Reference!$C$33, 0))))</f>
        <v>0</v>
      </c>
      <c r="AC119" s="12">
        <f>(Reference!$B$2*Y119 + Reference!$B$3*AA119 + Reference!$B$4*Z119 + Reference!$B$5 * AB119)/4</f>
        <v>0</v>
      </c>
      <c r="AD119" s="12">
        <f>IF(Q119=Reference!$C$41, Reference!$D$41, IF(Q119=Reference!$C$42, Reference!$D$42, IF(Q119=Reference!$C$43, Reference!$D$43, IF(Q119=Reference!$C$44, Reference!$D$44, 0))))</f>
        <v>0</v>
      </c>
      <c r="AE119" s="12">
        <f t="shared" si="26"/>
        <v>1</v>
      </c>
    </row>
    <row r="120" spans="1:31" ht="13.15">
      <c r="A120" s="8"/>
      <c r="B120" s="9"/>
      <c r="C120" s="9"/>
      <c r="D120" s="10"/>
      <c r="E120" s="10"/>
      <c r="F120" s="9"/>
      <c r="G120" s="9"/>
      <c r="H120" s="9"/>
      <c r="I120" s="9"/>
      <c r="J120" s="9"/>
      <c r="K120" s="9"/>
      <c r="L120" s="9"/>
      <c r="M120" s="9"/>
      <c r="N120" s="9"/>
      <c r="O120" s="9"/>
      <c r="P120" s="11" t="str">
        <f>IF(AC120&gt;=Reference!$H$2, Reference!$G$2, IF(AC120&gt;=Reference!$H$3, Reference!$G$3, IF(AC120&gt;=Reference!$H$4, Reference!$G$4, IF(AC120&gt;=Reference!$H$5, Reference!$G$5, ""))))</f>
        <v/>
      </c>
      <c r="Q120" s="11" t="str">
        <f t="shared" si="25"/>
        <v/>
      </c>
      <c r="R120" s="11" t="str">
        <f>IF(AE120&gt;=Reference!$D$2, Reference!$G$2, IF(AE120&gt;=Reference!$D$3, Reference!$E$3, IF(AE120&gt;=Reference!$D$4, Reference!$E$4, IF(AE120&gt;=Reference!$D$5, Reference!$E$5, ""))))</f>
        <v>Low</v>
      </c>
      <c r="S120" s="13"/>
      <c r="T120" s="12"/>
      <c r="U120" s="9"/>
      <c r="V120" s="9"/>
      <c r="W120" s="9"/>
      <c r="Y120" s="12">
        <f>IF(H120=Reference!$A$12, Reference!$C$12, IF(H120=Reference!$A$11, Reference!$C$11, IF(H120=Reference!$A$10, Reference!$C$10, IF(H120=Reference!$A$9, Reference!$C$9, 0))))</f>
        <v>0</v>
      </c>
      <c r="Z120" s="12">
        <f>IF(J120=Reference!$A$20, Reference!$C$20, IF(J120=Reference!$A$19, Reference!$C$19, IF(J120=Reference!$A$18, Reference!$C$18, IF(J120=Reference!$A$17, Reference!$C$17, 0))))</f>
        <v>0</v>
      </c>
      <c r="AA120" s="12">
        <f>IF(L120=Reference!$A$28, Reference!$C$28, IF(L120=Reference!$A$27, Reference!$C$27, IF(L120=Reference!$A$26, Reference!$C$26, IF(L120=Reference!$A$25, Reference!$C$25, 0))))</f>
        <v>0</v>
      </c>
      <c r="AB120" s="12">
        <f>IF(N120=Reference!$A$36, Reference!$C$36, IF(N120=Reference!$A$35, Reference!$C$35, IF(N120=Reference!$A$34, Reference!$C$34, IF(N120=Reference!$A$33, Reference!$C$33, 0))))</f>
        <v>0</v>
      </c>
      <c r="AC120" s="12">
        <f>(Reference!$B$2*Y120 + Reference!$B$3*AA120 + Reference!$B$4*Z120 + Reference!$B$5 * AB120)/4</f>
        <v>0</v>
      </c>
      <c r="AD120" s="12">
        <f>IF(Q120=Reference!$C$41, Reference!$D$41, IF(Q120=Reference!$C$42, Reference!$D$42, IF(Q120=Reference!$C$43, Reference!$D$43, IF(Q120=Reference!$C$44, Reference!$D$44, 0))))</f>
        <v>0</v>
      </c>
      <c r="AE120" s="12">
        <f t="shared" si="26"/>
        <v>1</v>
      </c>
    </row>
    <row r="121" spans="1:31" ht="13.15">
      <c r="A121" s="8"/>
      <c r="B121" s="9"/>
      <c r="C121" s="9"/>
      <c r="D121" s="10"/>
      <c r="E121" s="10"/>
      <c r="F121" s="9"/>
      <c r="G121" s="9"/>
      <c r="H121" s="9"/>
      <c r="I121" s="9"/>
      <c r="J121" s="9"/>
      <c r="K121" s="9"/>
      <c r="L121" s="9"/>
      <c r="M121" s="9"/>
      <c r="N121" s="9"/>
      <c r="O121" s="9"/>
      <c r="P121" s="11" t="str">
        <f>IF(AC121&gt;=Reference!$H$2, Reference!$G$2, IF(AC121&gt;=Reference!$H$3, Reference!$G$3, IF(AC121&gt;=Reference!$H$4, Reference!$G$4, IF(AC121&gt;=Reference!$H$5, Reference!$G$5, ""))))</f>
        <v/>
      </c>
      <c r="Q121" s="11" t="str">
        <f t="shared" si="25"/>
        <v/>
      </c>
      <c r="R121" s="11" t="str">
        <f>IF(AE121&gt;=Reference!$D$2, Reference!$G$2, IF(AE121&gt;=Reference!$D$3, Reference!$E$3, IF(AE121&gt;=Reference!$D$4, Reference!$E$4, IF(AE121&gt;=Reference!$D$5, Reference!$E$5, ""))))</f>
        <v>Low</v>
      </c>
      <c r="S121" s="13"/>
      <c r="T121" s="12"/>
      <c r="U121" s="9"/>
      <c r="V121" s="9"/>
      <c r="W121" s="9"/>
      <c r="Y121" s="12">
        <f>IF(H121=Reference!$A$12, Reference!$C$12, IF(H121=Reference!$A$11, Reference!$C$11, IF(H121=Reference!$A$10, Reference!$C$10, IF(H121=Reference!$A$9, Reference!$C$9, 0))))</f>
        <v>0</v>
      </c>
      <c r="Z121" s="12">
        <f>IF(J121=Reference!$A$20, Reference!$C$20, IF(J121=Reference!$A$19, Reference!$C$19, IF(J121=Reference!$A$18, Reference!$C$18, IF(J121=Reference!$A$17, Reference!$C$17, 0))))</f>
        <v>0</v>
      </c>
      <c r="AA121" s="12">
        <f>IF(L121=Reference!$A$28, Reference!$C$28, IF(L121=Reference!$A$27, Reference!$C$27, IF(L121=Reference!$A$26, Reference!$C$26, IF(L121=Reference!$A$25, Reference!$C$25, 0))))</f>
        <v>0</v>
      </c>
      <c r="AB121" s="12">
        <f>IF(N121=Reference!$A$36, Reference!$C$36, IF(N121=Reference!$A$35, Reference!$C$35, IF(N121=Reference!$A$34, Reference!$C$34, IF(N121=Reference!$A$33, Reference!$C$33, 0))))</f>
        <v>0</v>
      </c>
      <c r="AC121" s="12">
        <f>(Reference!$B$2*Y121 + Reference!$B$3*AA121 + Reference!$B$4*Z121 + Reference!$B$5 * AB121)/4</f>
        <v>0</v>
      </c>
      <c r="AD121" s="12">
        <f>IF(Q121=Reference!$C$41, Reference!$D$41, IF(Q121=Reference!$C$42, Reference!$D$42, IF(Q121=Reference!$C$43, Reference!$D$43, IF(Q121=Reference!$C$44, Reference!$D$44, 0))))</f>
        <v>0</v>
      </c>
      <c r="AE121" s="12">
        <f t="shared" si="26"/>
        <v>1</v>
      </c>
    </row>
    <row r="122" spans="1:31" ht="13.15">
      <c r="A122" s="8"/>
      <c r="B122" s="9"/>
      <c r="C122" s="9"/>
      <c r="D122" s="10"/>
      <c r="E122" s="10"/>
      <c r="F122" s="9"/>
      <c r="G122" s="19"/>
      <c r="H122" s="9"/>
      <c r="I122" s="9"/>
      <c r="J122" s="9"/>
      <c r="K122" s="19"/>
      <c r="L122" s="9"/>
      <c r="M122" s="19"/>
      <c r="N122" s="9"/>
      <c r="O122" s="9"/>
      <c r="P122" s="11" t="str">
        <f>IF(AC122&gt;=Reference!$H$2, Reference!$G$2, IF(AC122&gt;=Reference!$H$3, Reference!$G$3, IF(AC122&gt;=Reference!$H$4, Reference!$G$4, IF(AC122&gt;=Reference!$H$5, Reference!$G$5, ""))))</f>
        <v/>
      </c>
      <c r="Q122" s="11" t="str">
        <f t="shared" si="25"/>
        <v/>
      </c>
      <c r="R122" s="11" t="str">
        <f>IF(AE122&gt;=Reference!$D$2, Reference!$G$2, IF(AE122&gt;=Reference!$D$3, Reference!$E$3, IF(AE122&gt;=Reference!$D$4, Reference!$E$4, IF(AE122&gt;=Reference!$D$5, Reference!$E$5, ""))))</f>
        <v>Low</v>
      </c>
      <c r="S122" s="13"/>
      <c r="T122" s="23"/>
      <c r="U122" s="9"/>
      <c r="V122" s="15"/>
      <c r="W122" s="9"/>
      <c r="Y122" s="12">
        <f>IF(H122=Reference!$A$12, Reference!$C$12, IF(H122=Reference!$A$11, Reference!$C$11, IF(H122=Reference!$A$10, Reference!$C$10, IF(H122=Reference!$A$9, Reference!$C$9, 0))))</f>
        <v>0</v>
      </c>
      <c r="Z122" s="12">
        <f>IF(J122=Reference!$A$20, Reference!$C$20, IF(J122=Reference!$A$19, Reference!$C$19, IF(J122=Reference!$A$18, Reference!$C$18, IF(J122=Reference!$A$17, Reference!$C$17, 0))))</f>
        <v>0</v>
      </c>
      <c r="AA122" s="12">
        <f>IF(L122=Reference!$A$28, Reference!$C$28, IF(L122=Reference!$A$27, Reference!$C$27, IF(L122=Reference!$A$26, Reference!$C$26, IF(L122=Reference!$A$25, Reference!$C$25, 0))))</f>
        <v>0</v>
      </c>
      <c r="AB122" s="12">
        <f>IF(N122=Reference!$A$36, Reference!$C$36, IF(N122=Reference!$A$35, Reference!$C$35, IF(N122=Reference!$A$34, Reference!$C$34, IF(N122=Reference!$A$33, Reference!$C$33, 0))))</f>
        <v>0</v>
      </c>
      <c r="AC122" s="12">
        <f>(Reference!$B$2*Y122 + Reference!$B$3*AA122 + Reference!$B$4*Z122 + Reference!$B$5 * AB122)/4</f>
        <v>0</v>
      </c>
      <c r="AD122" s="12">
        <f>IF(Q122=Reference!$C$41, Reference!$D$41, IF(Q122=Reference!$C$42, Reference!$D$42, IF(Q122=Reference!$C$43, Reference!$D$43, IF(Q122=Reference!$C$44, Reference!$D$44, 0))))</f>
        <v>0</v>
      </c>
      <c r="AE122" s="12">
        <f t="shared" si="26"/>
        <v>1</v>
      </c>
    </row>
    <row r="123" spans="1:31" ht="13.15">
      <c r="A123" s="8"/>
      <c r="B123" s="9"/>
      <c r="C123" s="9"/>
      <c r="D123" s="10"/>
      <c r="E123" s="17"/>
      <c r="F123" s="9"/>
      <c r="G123" s="9"/>
      <c r="H123" s="9"/>
      <c r="I123" s="9"/>
      <c r="J123" s="9"/>
      <c r="K123" s="9"/>
      <c r="L123" s="9"/>
      <c r="M123" s="25"/>
      <c r="N123" s="9"/>
      <c r="O123" s="9"/>
      <c r="P123" s="11" t="str">
        <f>IF(AC123&gt;=Reference!$H$2, Reference!$G$2, IF(AC123&gt;=Reference!$H$3, Reference!$G$3, IF(AC123&gt;=Reference!$H$4, Reference!$G$4, IF(AC123&gt;=Reference!$H$5, Reference!$G$5, ""))))</f>
        <v/>
      </c>
      <c r="Q123" s="11" t="str">
        <f t="shared" si="25"/>
        <v/>
      </c>
      <c r="R123" s="11" t="str">
        <f>IF(AE123&gt;=Reference!$D$2, Reference!$G$2, IF(AE123&gt;=Reference!$D$3, Reference!$E$3, IF(AE123&gt;=Reference!$D$4, Reference!$E$4, IF(AE123&gt;=Reference!$D$5, Reference!$E$5, ""))))</f>
        <v>Low</v>
      </c>
      <c r="S123" s="13"/>
      <c r="T123" s="9"/>
      <c r="U123" s="9"/>
      <c r="V123" s="14"/>
      <c r="W123" s="9"/>
      <c r="Y123" s="12">
        <f>IF(H123=Reference!$A$12, Reference!$C$12, IF(H123=Reference!$A$11, Reference!$C$11, IF(H123=Reference!$A$10, Reference!$C$10, IF(H123=Reference!$A$9, Reference!$C$9, 0))))</f>
        <v>0</v>
      </c>
      <c r="Z123" s="12">
        <f>IF(J123=Reference!$A$20, Reference!$C$20, IF(J123=Reference!$A$19, Reference!$C$19, IF(J123=Reference!$A$18, Reference!$C$18, IF(J123=Reference!$A$17, Reference!$C$17, 0))))</f>
        <v>0</v>
      </c>
      <c r="AA123" s="12">
        <f>IF(L123=Reference!$A$28, Reference!$C$28, IF(L123=Reference!$A$27, Reference!$C$27, IF(L123=Reference!$A$26, Reference!$C$26, IF(L123=Reference!$A$25, Reference!$C$25, 0))))</f>
        <v>0</v>
      </c>
      <c r="AB123" s="12">
        <f>IF(N123=Reference!$A$36, Reference!$C$36, IF(N123=Reference!$A$35, Reference!$C$35, IF(N123=Reference!$A$34, Reference!$C$34, IF(N123=Reference!$A$33, Reference!$C$33, 0))))</f>
        <v>0</v>
      </c>
      <c r="AC123" s="12">
        <f>(Reference!$B$2*Y123 + Reference!$B$3*AA123 + Reference!$B$4*Z123 + Reference!$B$5 * AB123)/4</f>
        <v>0</v>
      </c>
      <c r="AD123" s="12">
        <f>IF(Q123=Reference!$C$41, Reference!$D$41, IF(Q123=Reference!$C$42, Reference!$D$42, IF(Q123=Reference!$C$43, Reference!$D$43, IF(Q123=Reference!$C$44, Reference!$D$44, 0))))</f>
        <v>0</v>
      </c>
      <c r="AE123" s="12">
        <f t="shared" si="26"/>
        <v>1</v>
      </c>
    </row>
    <row r="124" spans="1:31" ht="13.15">
      <c r="A124" s="8"/>
      <c r="B124" s="9"/>
      <c r="C124" s="9"/>
      <c r="D124" s="10"/>
      <c r="E124" s="10"/>
      <c r="F124" s="9"/>
      <c r="G124" s="9"/>
      <c r="H124" s="9"/>
      <c r="I124" s="9"/>
      <c r="J124" s="9"/>
      <c r="K124" s="9"/>
      <c r="L124" s="9"/>
      <c r="M124" s="9"/>
      <c r="N124" s="9"/>
      <c r="O124" s="9"/>
      <c r="P124" s="11" t="str">
        <f>IF(AC124&gt;=Reference!$H$2, Reference!$G$2, IF(AC124&gt;=Reference!$H$3, Reference!$G$3, IF(AC124&gt;=Reference!$H$4, Reference!$G$4, IF(AC124&gt;=Reference!$H$5, Reference!$G$5, ""))))</f>
        <v/>
      </c>
      <c r="Q124" s="11" t="str">
        <f t="shared" si="25"/>
        <v/>
      </c>
      <c r="R124" s="11" t="str">
        <f>IF(AE124&gt;=Reference!$D$2, Reference!$G$2, IF(AE124&gt;=Reference!$D$3, Reference!$E$3, IF(AE124&gt;=Reference!$D$4, Reference!$E$4, IF(AE124&gt;=Reference!$D$5, Reference!$E$5, ""))))</f>
        <v>Low</v>
      </c>
      <c r="S124" s="13"/>
      <c r="T124" s="12"/>
      <c r="U124" s="9"/>
      <c r="V124" s="9"/>
      <c r="W124" s="9"/>
      <c r="X124" s="1"/>
      <c r="Y124" s="12">
        <f>IF(H124=Reference!$A$12, Reference!$C$12, IF(H124=Reference!$A$11, Reference!$C$11, IF(H124=Reference!$A$10, Reference!$C$10, IF(H124=Reference!$A$9, Reference!$C$9, 0))))</f>
        <v>0</v>
      </c>
      <c r="Z124" s="12">
        <f>IF(J124=Reference!$A$20, Reference!$C$20, IF(J124=Reference!$A$19, Reference!$C$19, IF(J124=Reference!$A$18, Reference!$C$18, IF(J124=Reference!$A$17, Reference!$C$17, 0))))</f>
        <v>0</v>
      </c>
      <c r="AA124" s="12">
        <f>IF(L124=Reference!$A$28, Reference!$C$28, IF(L124=Reference!$A$27, Reference!$C$27, IF(L124=Reference!$A$26, Reference!$C$26, IF(L124=Reference!$A$25, Reference!$C$25, 0))))</f>
        <v>0</v>
      </c>
      <c r="AB124" s="12">
        <f>IF(N124=Reference!$A$36, Reference!$C$36, IF(N124=Reference!$A$35, Reference!$C$35, IF(N124=Reference!$A$34, Reference!$C$34, IF(N124=Reference!$A$33, Reference!$C$33, 0))))</f>
        <v>0</v>
      </c>
      <c r="AC124" s="12">
        <f>(Reference!$B$2*Y124 + Reference!$B$3*AA124 + Reference!$B$4*Z124 + Reference!$B$5 * AB124)/4</f>
        <v>0</v>
      </c>
      <c r="AD124" s="12">
        <f>IF(Q124=Reference!$C$41, Reference!$D$41, IF(Q124=Reference!$C$42, Reference!$D$42, IF(Q124=Reference!$C$43, Reference!$D$43, IF(Q124=Reference!$C$44, Reference!$D$44, 0))))</f>
        <v>0</v>
      </c>
      <c r="AE124" s="12">
        <f t="shared" si="26"/>
        <v>1</v>
      </c>
    </row>
    <row r="125" spans="1:31" ht="13.15">
      <c r="A125" s="8"/>
      <c r="B125" s="9"/>
      <c r="C125" s="9"/>
      <c r="D125" s="10"/>
      <c r="E125" s="10"/>
      <c r="F125" s="9"/>
      <c r="G125" s="9"/>
      <c r="H125" s="9"/>
      <c r="I125" s="9"/>
      <c r="J125" s="9"/>
      <c r="K125" s="19"/>
      <c r="L125" s="9"/>
      <c r="M125" s="9"/>
      <c r="N125" s="9"/>
      <c r="O125" s="9"/>
      <c r="P125" s="11" t="str">
        <f>IF(AC125&gt;=Reference!$H$2, Reference!$G$2, IF(AC125&gt;=Reference!$H$3, Reference!$G$3, IF(AC125&gt;=Reference!$H$4, Reference!$G$4, IF(AC125&gt;=Reference!$H$5, Reference!$G$5, ""))))</f>
        <v/>
      </c>
      <c r="Q125" s="11" t="str">
        <f t="shared" si="25"/>
        <v/>
      </c>
      <c r="R125" s="11" t="str">
        <f>IF(AE125&gt;=Reference!$D$2, Reference!$G$2, IF(AE125&gt;=Reference!$D$3, Reference!$E$3, IF(AE125&gt;=Reference!$D$4, Reference!$E$4, IF(AE125&gt;=Reference!$D$5, Reference!$E$5, ""))))</f>
        <v>Low</v>
      </c>
      <c r="S125" s="13"/>
      <c r="T125" s="12"/>
      <c r="U125" s="9"/>
      <c r="V125" s="9"/>
      <c r="W125" s="9"/>
      <c r="Y125" s="12">
        <f>IF(H125=Reference!$A$12, Reference!$C$12, IF(H125=Reference!$A$11, Reference!$C$11, IF(H125=Reference!$A$10, Reference!$C$10, IF(H125=Reference!$A$9, Reference!$C$9, 0))))</f>
        <v>0</v>
      </c>
      <c r="Z125" s="12">
        <f>IF(J125=Reference!$A$20, Reference!$C$20, IF(J125=Reference!$A$19, Reference!$C$19, IF(J125=Reference!$A$18, Reference!$C$18, IF(J125=Reference!$A$17, Reference!$C$17, 0))))</f>
        <v>0</v>
      </c>
      <c r="AA125" s="12">
        <f>IF(L125=Reference!$A$28, Reference!$C$28, IF(L125=Reference!$A$27, Reference!$C$27, IF(L125=Reference!$A$26, Reference!$C$26, IF(L125=Reference!$A$25, Reference!$C$25, 0))))</f>
        <v>0</v>
      </c>
      <c r="AB125" s="12">
        <f>IF(N125=Reference!$A$36, Reference!$C$36, IF(N125=Reference!$A$35, Reference!$C$35, IF(N125=Reference!$A$34, Reference!$C$34, IF(N125=Reference!$A$33, Reference!$C$33, 0))))</f>
        <v>0</v>
      </c>
      <c r="AC125" s="12">
        <f>(Reference!$B$2*Y125 + Reference!$B$3*AA125 + Reference!$B$4*Z125 + Reference!$B$5 * AB125)/4</f>
        <v>0</v>
      </c>
      <c r="AD125" s="12">
        <f>IF(Q125=Reference!$C$41, Reference!$D$41, IF(Q125=Reference!$C$42, Reference!$D$42, IF(Q125=Reference!$C$43, Reference!$D$43, IF(Q125=Reference!$C$44, Reference!$D$44, 0))))</f>
        <v>0</v>
      </c>
      <c r="AE125" s="12">
        <f t="shared" si="26"/>
        <v>1</v>
      </c>
    </row>
    <row r="126" spans="1:31" ht="13.15">
      <c r="A126" s="8"/>
      <c r="B126" s="9"/>
      <c r="C126" s="9"/>
      <c r="D126" s="18"/>
      <c r="E126" s="18"/>
      <c r="F126" s="9"/>
      <c r="G126" s="9"/>
      <c r="H126" s="9"/>
      <c r="I126" s="9"/>
      <c r="J126" s="9"/>
      <c r="K126" s="9"/>
      <c r="L126" s="9"/>
      <c r="M126" s="19"/>
      <c r="N126" s="9"/>
      <c r="O126" s="9"/>
      <c r="P126" s="11" t="str">
        <f>IF(AC126&gt;=Reference!$H$2, Reference!$G$2, IF(AC126&gt;=Reference!$H$3, Reference!$G$3, IF(AC126&gt;=Reference!$H$4, Reference!$G$4, IF(AC126&gt;=Reference!$H$5, Reference!$G$5, ""))))</f>
        <v/>
      </c>
      <c r="Q126" s="11" t="str">
        <f t="shared" si="25"/>
        <v/>
      </c>
      <c r="R126" s="11" t="str">
        <f>IF(AE126&gt;=Reference!$D$2, Reference!$G$2, IF(AE126&gt;=Reference!$D$3, Reference!$E$3, IF(AE126&gt;=Reference!$D$4, Reference!$E$4, IF(AE126&gt;=Reference!$D$5, Reference!$E$5, ""))))</f>
        <v>Low</v>
      </c>
      <c r="S126" s="13"/>
      <c r="T126" s="23"/>
      <c r="U126" s="19"/>
      <c r="V126" s="15"/>
      <c r="W126" s="9"/>
      <c r="Y126" s="12">
        <f>IF(H126=Reference!$A$12, Reference!$C$12, IF(H126=Reference!$A$11, Reference!$C$11, IF(H126=Reference!$A$10, Reference!$C$10, IF(H126=Reference!$A$9, Reference!$C$9, 0))))</f>
        <v>0</v>
      </c>
      <c r="Z126" s="12">
        <f>IF(J126=Reference!$A$20, Reference!$C$20, IF(J126=Reference!$A$19, Reference!$C$19, IF(J126=Reference!$A$18, Reference!$C$18, IF(J126=Reference!$A$17, Reference!$C$17, 0))))</f>
        <v>0</v>
      </c>
      <c r="AA126" s="12">
        <f>IF(L126=Reference!$A$28, Reference!$C$28, IF(L126=Reference!$A$27, Reference!$C$27, IF(L126=Reference!$A$26, Reference!$C$26, IF(L126=Reference!$A$25, Reference!$C$25, 0))))</f>
        <v>0</v>
      </c>
      <c r="AB126" s="12">
        <f>IF(N126=Reference!$A$36, Reference!$C$36, IF(N126=Reference!$A$35, Reference!$C$35, IF(N126=Reference!$A$34, Reference!$C$34, IF(N126=Reference!$A$33, Reference!$C$33, 0))))</f>
        <v>0</v>
      </c>
      <c r="AC126" s="12">
        <f>(Reference!$B$2*Y126 + Reference!$B$3*AA126 + Reference!$B$4*Z126 + Reference!$B$5 * AB126)/4</f>
        <v>0</v>
      </c>
      <c r="AD126" s="12">
        <f>IF(Q126=Reference!$C$41, Reference!$D$41, IF(Q126=Reference!$C$42, Reference!$D$42, IF(Q126=Reference!$C$43, Reference!$D$43, IF(Q126=Reference!$C$44, Reference!$D$44, 0))))</f>
        <v>0</v>
      </c>
      <c r="AE126" s="12">
        <f t="shared" si="26"/>
        <v>1</v>
      </c>
    </row>
    <row r="127" spans="1:31" ht="13.15">
      <c r="A127" s="8"/>
      <c r="B127" s="9"/>
      <c r="C127" s="9"/>
      <c r="D127" s="18"/>
      <c r="E127" s="10"/>
      <c r="F127" s="9"/>
      <c r="G127" s="19"/>
      <c r="H127" s="9"/>
      <c r="I127" s="19"/>
      <c r="J127" s="9"/>
      <c r="K127" s="9"/>
      <c r="L127" s="9"/>
      <c r="M127" s="19"/>
      <c r="N127" s="9"/>
      <c r="O127" s="9"/>
      <c r="P127" s="11" t="str">
        <f>IF(AC127&gt;=Reference!$H$2, Reference!$G$2, IF(AC127&gt;=Reference!$H$3, Reference!$G$3, IF(AC127&gt;=Reference!$H$4, Reference!$G$4, IF(AC127&gt;=Reference!$H$5, Reference!$G$5, ""))))</f>
        <v/>
      </c>
      <c r="Q127" s="11" t="str">
        <f t="shared" si="25"/>
        <v/>
      </c>
      <c r="R127" s="11" t="str">
        <f>IF(AE127&gt;=Reference!$D$2, Reference!$G$2, IF(AE127&gt;=Reference!$D$3, Reference!$E$3, IF(AE127&gt;=Reference!$D$4, Reference!$E$4, IF(AE127&gt;=Reference!$D$5, Reference!$E$5, ""))))</f>
        <v>Low</v>
      </c>
      <c r="S127" s="13"/>
      <c r="T127" s="23"/>
      <c r="U127" s="9"/>
      <c r="V127" s="15"/>
      <c r="W127" s="9"/>
      <c r="Y127" s="12">
        <f>IF(H127=Reference!$A$12, Reference!$C$12, IF(H127=Reference!$A$11, Reference!$C$11, IF(H127=Reference!$A$10, Reference!$C$10, IF(H127=Reference!$A$9, Reference!$C$9, 0))))</f>
        <v>0</v>
      </c>
      <c r="Z127" s="12">
        <f>IF(J127=Reference!$A$20, Reference!$C$20, IF(J127=Reference!$A$19, Reference!$C$19, IF(J127=Reference!$A$18, Reference!$C$18, IF(J127=Reference!$A$17, Reference!$C$17, 0))))</f>
        <v>0</v>
      </c>
      <c r="AA127" s="12">
        <f>IF(L127=Reference!$A$28, Reference!$C$28, IF(L127=Reference!$A$27, Reference!$C$27, IF(L127=Reference!$A$26, Reference!$C$26, IF(L127=Reference!$A$25, Reference!$C$25, 0))))</f>
        <v>0</v>
      </c>
      <c r="AB127" s="12">
        <f>IF(N127=Reference!$A$36, Reference!$C$36, IF(N127=Reference!$A$35, Reference!$C$35, IF(N127=Reference!$A$34, Reference!$C$34, IF(N127=Reference!$A$33, Reference!$C$33, 0))))</f>
        <v>0</v>
      </c>
      <c r="AC127" s="12">
        <f>(Reference!$B$2*Y127 + Reference!$B$3*AA127 + Reference!$B$4*Z127 + Reference!$B$5 * AB127)/4</f>
        <v>0</v>
      </c>
      <c r="AD127" s="12">
        <f>IF(Q127=Reference!$C$41, Reference!$D$41, IF(Q127=Reference!$C$42, Reference!$D$42, IF(Q127=Reference!$C$43, Reference!$D$43, IF(Q127=Reference!$C$44, Reference!$D$44, 0))))</f>
        <v>0</v>
      </c>
      <c r="AE127" s="12">
        <f t="shared" si="26"/>
        <v>1</v>
      </c>
    </row>
    <row r="128" spans="1:31" ht="13.15">
      <c r="A128" s="8"/>
      <c r="B128" s="9"/>
      <c r="C128" s="9"/>
      <c r="D128" s="10"/>
      <c r="E128" s="10"/>
      <c r="F128" s="9"/>
      <c r="G128" s="9"/>
      <c r="H128" s="9"/>
      <c r="I128" s="9"/>
      <c r="J128" s="9"/>
      <c r="K128" s="9"/>
      <c r="L128" s="9"/>
      <c r="M128" s="9"/>
      <c r="N128" s="9"/>
      <c r="O128" s="9"/>
      <c r="P128" s="11" t="str">
        <f>IF(AC128&gt;=Reference!$H$2, Reference!$G$2, IF(AC128&gt;=Reference!$H$3, Reference!$G$3, IF(AC128&gt;=Reference!$H$4, Reference!$G$4, IF(AC128&gt;=Reference!$H$5, Reference!$G$5, ""))))</f>
        <v/>
      </c>
      <c r="Q128" s="11" t="str">
        <f t="shared" si="25"/>
        <v/>
      </c>
      <c r="R128" s="11" t="str">
        <f>IF(AE128&gt;=Reference!$D$2, Reference!$G$2, IF(AE128&gt;=Reference!$D$3, Reference!$E$3, IF(AE128&gt;=Reference!$D$4, Reference!$E$4, IF(AE128&gt;=Reference!$D$5, Reference!$E$5, ""))))</f>
        <v>Low</v>
      </c>
      <c r="S128" s="13"/>
      <c r="T128" s="12"/>
      <c r="U128" s="9"/>
      <c r="V128" s="9"/>
      <c r="W128" s="9"/>
      <c r="Y128" s="12">
        <f>IF(H128=Reference!$A$12, Reference!$C$12, IF(H128=Reference!$A$11, Reference!$C$11, IF(H128=Reference!$A$10, Reference!$C$10, IF(H128=Reference!$A$9, Reference!$C$9, 0))))</f>
        <v>0</v>
      </c>
      <c r="Z128" s="12">
        <f>IF(J128=Reference!$A$20, Reference!$C$20, IF(J128=Reference!$A$19, Reference!$C$19, IF(J128=Reference!$A$18, Reference!$C$18, IF(J128=Reference!$A$17, Reference!$C$17, 0))))</f>
        <v>0</v>
      </c>
      <c r="AA128" s="12">
        <f>IF(L128=Reference!$A$28, Reference!$C$28, IF(L128=Reference!$A$27, Reference!$C$27, IF(L128=Reference!$A$26, Reference!$C$26, IF(L128=Reference!$A$25, Reference!$C$25, 0))))</f>
        <v>0</v>
      </c>
      <c r="AB128" s="12">
        <f>IF(N128=Reference!$A$36, Reference!$C$36, IF(N128=Reference!$A$35, Reference!$C$35, IF(N128=Reference!$A$34, Reference!$C$34, IF(N128=Reference!$A$33, Reference!$C$33, 0))))</f>
        <v>0</v>
      </c>
      <c r="AC128" s="12">
        <f>(Reference!$B$2*Y128 + Reference!$B$3*AA128 + Reference!$B$4*Z128 + Reference!$B$5 * AB128)/4</f>
        <v>0</v>
      </c>
      <c r="AD128" s="12">
        <f>IF(Q128=Reference!$C$41, Reference!$D$41, IF(Q128=Reference!$C$42, Reference!$D$42, IF(Q128=Reference!$C$43, Reference!$D$43, IF(Q128=Reference!$C$44, Reference!$D$44, 0))))</f>
        <v>0</v>
      </c>
      <c r="AE128" s="12">
        <f t="shared" si="26"/>
        <v>1</v>
      </c>
    </row>
    <row r="129" spans="1:31" ht="13.15">
      <c r="A129" s="8"/>
      <c r="B129" s="9"/>
      <c r="C129" s="9"/>
      <c r="D129" s="18"/>
      <c r="E129" s="10"/>
      <c r="F129" s="9"/>
      <c r="G129" s="9"/>
      <c r="H129" s="9"/>
      <c r="I129" s="9"/>
      <c r="J129" s="9"/>
      <c r="K129" s="9"/>
      <c r="L129" s="9"/>
      <c r="M129" s="9"/>
      <c r="N129" s="9"/>
      <c r="O129" s="9"/>
      <c r="P129" s="11" t="str">
        <f>IF(AC129&gt;=Reference!$H$2, Reference!$G$2, IF(AC129&gt;=Reference!$H$3, Reference!$G$3, IF(AC129&gt;=Reference!$H$4, Reference!$G$4, IF(AC129&gt;=Reference!$H$5, Reference!$G$5, ""))))</f>
        <v/>
      </c>
      <c r="Q129" s="11" t="str">
        <f t="shared" si="25"/>
        <v/>
      </c>
      <c r="R129" s="11" t="str">
        <f>IF(AE129&gt;=Reference!$D$2, Reference!$G$2, IF(AE129&gt;=Reference!$D$3, Reference!$E$3, IF(AE129&gt;=Reference!$D$4, Reference!$E$4, IF(AE129&gt;=Reference!$D$5, Reference!$E$5, ""))))</f>
        <v>Low</v>
      </c>
      <c r="S129" s="13"/>
      <c r="T129" s="12"/>
      <c r="U129" s="9"/>
      <c r="V129" s="9"/>
      <c r="W129" s="9"/>
      <c r="X129" s="1"/>
      <c r="Y129" s="12">
        <f>IF(H129=Reference!$A$12, Reference!$C$12, IF(H129=Reference!$A$11, Reference!$C$11, IF(H129=Reference!$A$10, Reference!$C$10, IF(H129=Reference!$A$9, Reference!$C$9, 0))))</f>
        <v>0</v>
      </c>
      <c r="Z129" s="12">
        <f>IF(J129=Reference!$A$20, Reference!$C$20, IF(J129=Reference!$A$19, Reference!$C$19, IF(J129=Reference!$A$18, Reference!$C$18, IF(J129=Reference!$A$17, Reference!$C$17, 0))))</f>
        <v>0</v>
      </c>
      <c r="AA129" s="12">
        <f>IF(L129=Reference!$A$28, Reference!$C$28, IF(L129=Reference!$A$27, Reference!$C$27, IF(L129=Reference!$A$26, Reference!$C$26, IF(L129=Reference!$A$25, Reference!$C$25, 0))))</f>
        <v>0</v>
      </c>
      <c r="AB129" s="12">
        <f>IF(N129=Reference!$A$36, Reference!$C$36, IF(N129=Reference!$A$35, Reference!$C$35, IF(N129=Reference!$A$34, Reference!$C$34, IF(N129=Reference!$A$33, Reference!$C$33, 0))))</f>
        <v>0</v>
      </c>
      <c r="AC129" s="12">
        <f>(Reference!$B$2*Y129 + Reference!$B$3*AA129 + Reference!$B$4*Z129 + Reference!$B$5 * AB129)/4</f>
        <v>0</v>
      </c>
      <c r="AD129" s="12">
        <f>IF(Q129=Reference!$C$41, Reference!$D$41, IF(Q129=Reference!$C$42, Reference!$D$42, IF(Q129=Reference!$C$43, Reference!$D$43, IF(Q129=Reference!$C$44, Reference!$D$44, 0))))</f>
        <v>0</v>
      </c>
      <c r="AE129" s="12">
        <f t="shared" si="26"/>
        <v>1</v>
      </c>
    </row>
    <row r="130" spans="1:31" ht="13.15">
      <c r="A130" s="8"/>
      <c r="B130" s="9"/>
      <c r="C130" s="9"/>
      <c r="D130" s="18"/>
      <c r="E130" s="10"/>
      <c r="F130" s="9"/>
      <c r="G130" s="19"/>
      <c r="H130" s="9"/>
      <c r="I130" s="9"/>
      <c r="J130" s="9"/>
      <c r="K130" s="9"/>
      <c r="L130" s="9"/>
      <c r="M130" s="19"/>
      <c r="N130" s="9"/>
      <c r="O130" s="9"/>
      <c r="P130" s="11" t="str">
        <f>IF(AC130&gt;=Reference!$H$2, Reference!$G$2, IF(AC130&gt;=Reference!$H$3, Reference!$G$3, IF(AC130&gt;=Reference!$H$4, Reference!$G$4, IF(AC130&gt;=Reference!$H$5, Reference!$G$5, ""))))</f>
        <v/>
      </c>
      <c r="Q130" s="11" t="str">
        <f t="shared" si="25"/>
        <v/>
      </c>
      <c r="R130" s="11" t="str">
        <f>IF(AE130&gt;=Reference!$D$2, Reference!$G$2, IF(AE130&gt;=Reference!$D$3, Reference!$E$3, IF(AE130&gt;=Reference!$D$4, Reference!$E$4, IF(AE130&gt;=Reference!$D$5, Reference!$E$5, ""))))</f>
        <v>Low</v>
      </c>
      <c r="S130" s="13"/>
      <c r="T130" s="23"/>
      <c r="U130" s="19"/>
      <c r="V130" s="19"/>
      <c r="W130" s="9"/>
      <c r="Y130" s="12">
        <f>IF(H130=Reference!$A$12, Reference!$C$12, IF(H130=Reference!$A$11, Reference!$C$11, IF(H130=Reference!$A$10, Reference!$C$10, IF(H130=Reference!$A$9, Reference!$C$9, 0))))</f>
        <v>0</v>
      </c>
      <c r="Z130" s="12">
        <f>IF(J130=Reference!$A$20, Reference!$C$20, IF(J130=Reference!$A$19, Reference!$C$19, IF(J130=Reference!$A$18, Reference!$C$18, IF(J130=Reference!$A$17, Reference!$C$17, 0))))</f>
        <v>0</v>
      </c>
      <c r="AA130" s="12">
        <f>IF(L130=Reference!$A$28, Reference!$C$28, IF(L130=Reference!$A$27, Reference!$C$27, IF(L130=Reference!$A$26, Reference!$C$26, IF(L130=Reference!$A$25, Reference!$C$25, 0))))</f>
        <v>0</v>
      </c>
      <c r="AB130" s="12">
        <f>IF(N130=Reference!$A$36, Reference!$C$36, IF(N130=Reference!$A$35, Reference!$C$35, IF(N130=Reference!$A$34, Reference!$C$34, IF(N130=Reference!$A$33, Reference!$C$33, 0))))</f>
        <v>0</v>
      </c>
      <c r="AC130" s="12">
        <f>(Reference!$B$2*Y130 + Reference!$B$3*AA130 + Reference!$B$4*Z130 + Reference!$B$5 * AB130)/4</f>
        <v>0</v>
      </c>
      <c r="AD130" s="12">
        <f>IF(Q130=Reference!$C$41, Reference!$D$41, IF(Q130=Reference!$C$42, Reference!$D$42, IF(Q130=Reference!$C$43, Reference!$D$43, IF(Q130=Reference!$C$44, Reference!$D$44, 0))))</f>
        <v>0</v>
      </c>
      <c r="AE130" s="12">
        <f t="shared" si="26"/>
        <v>1</v>
      </c>
    </row>
    <row r="131" spans="1:31" ht="13.15">
      <c r="A131" s="8"/>
      <c r="B131" s="9"/>
      <c r="C131" s="9"/>
      <c r="D131" s="10"/>
      <c r="E131" s="10"/>
      <c r="F131" s="9"/>
      <c r="G131" s="9"/>
      <c r="H131" s="9"/>
      <c r="I131" s="9"/>
      <c r="J131" s="9"/>
      <c r="K131" s="9"/>
      <c r="L131" s="9"/>
      <c r="M131" s="9"/>
      <c r="N131" s="9"/>
      <c r="O131" s="9"/>
      <c r="P131" s="11" t="str">
        <f>IF(AC131&gt;=Reference!$H$2, Reference!$G$2, IF(AC131&gt;=Reference!$H$3, Reference!$G$3, IF(AC131&gt;=Reference!$H$4, Reference!$G$4, IF(AC131&gt;=Reference!$H$5, Reference!$G$5, ""))))</f>
        <v/>
      </c>
      <c r="Q131" s="11" t="str">
        <f t="shared" si="25"/>
        <v/>
      </c>
      <c r="R131" s="11" t="str">
        <f>IF(AE131&gt;=Reference!$D$2, Reference!$G$2, IF(AE131&gt;=Reference!$D$3, Reference!$E$3, IF(AE131&gt;=Reference!$D$4, Reference!$E$4, IF(AE131&gt;=Reference!$D$5, Reference!$E$5, ""))))</f>
        <v>Low</v>
      </c>
      <c r="S131" s="13"/>
      <c r="T131" s="12"/>
      <c r="U131" s="9"/>
      <c r="V131" s="9"/>
      <c r="W131" s="9"/>
      <c r="Y131" s="12">
        <f>IF(H131=Reference!$A$12, Reference!$C$12, IF(H131=Reference!$A$11, Reference!$C$11, IF(H131=Reference!$A$10, Reference!$C$10, IF(H131=Reference!$A$9, Reference!$C$9, 0))))</f>
        <v>0</v>
      </c>
      <c r="Z131" s="12">
        <f>IF(J131=Reference!$A$20, Reference!$C$20, IF(J131=Reference!$A$19, Reference!$C$19, IF(J131=Reference!$A$18, Reference!$C$18, IF(J131=Reference!$A$17, Reference!$C$17, 0))))</f>
        <v>0</v>
      </c>
      <c r="AA131" s="12">
        <f>IF(L131=Reference!$A$28, Reference!$C$28, IF(L131=Reference!$A$27, Reference!$C$27, IF(L131=Reference!$A$26, Reference!$C$26, IF(L131=Reference!$A$25, Reference!$C$25, 0))))</f>
        <v>0</v>
      </c>
      <c r="AB131" s="12">
        <f>IF(N131=Reference!$A$36, Reference!$C$36, IF(N131=Reference!$A$35, Reference!$C$35, IF(N131=Reference!$A$34, Reference!$C$34, IF(N131=Reference!$A$33, Reference!$C$33, 0))))</f>
        <v>0</v>
      </c>
      <c r="AC131" s="12">
        <f>(Reference!$B$2*Y131 + Reference!$B$3*AA131 + Reference!$B$4*Z131 + Reference!$B$5 * AB131)/4</f>
        <v>0</v>
      </c>
      <c r="AD131" s="12">
        <f>IF(Q131=Reference!$C$41, Reference!$D$41, IF(Q131=Reference!$C$42, Reference!$D$42, IF(Q131=Reference!$C$43, Reference!$D$43, IF(Q131=Reference!$C$44, Reference!$D$44, 0))))</f>
        <v>0</v>
      </c>
      <c r="AE131" s="12">
        <f t="shared" si="26"/>
        <v>1</v>
      </c>
    </row>
    <row r="132" spans="1:31" ht="13.15">
      <c r="A132" s="8"/>
      <c r="B132" s="9"/>
      <c r="C132" s="9"/>
      <c r="D132" s="10"/>
      <c r="E132" s="10"/>
      <c r="F132" s="9"/>
      <c r="G132" s="9"/>
      <c r="H132" s="9"/>
      <c r="I132" s="9"/>
      <c r="J132" s="9"/>
      <c r="K132" s="9"/>
      <c r="L132" s="9"/>
      <c r="M132" s="9"/>
      <c r="N132" s="9"/>
      <c r="O132" s="9"/>
      <c r="P132" s="11" t="str">
        <f>IF(AC132&gt;=Reference!$H$2, Reference!$G$2, IF(AC132&gt;=Reference!$H$3, Reference!$G$3, IF(AC132&gt;=Reference!$H$4, Reference!$G$4, IF(AC132&gt;=Reference!$H$5, Reference!$G$5, ""))))</f>
        <v/>
      </c>
      <c r="Q132" s="11" t="str">
        <f t="shared" si="25"/>
        <v/>
      </c>
      <c r="R132" s="11" t="str">
        <f>IF(AE132&gt;=Reference!$D$2, Reference!$G$2, IF(AE132&gt;=Reference!$D$3, Reference!$E$3, IF(AE132&gt;=Reference!$D$4, Reference!$E$4, IF(AE132&gt;=Reference!$D$5, Reference!$E$5, ""))))</f>
        <v>Low</v>
      </c>
      <c r="S132" s="13"/>
      <c r="T132" s="12"/>
      <c r="U132" s="9"/>
      <c r="V132" s="9"/>
      <c r="W132" s="9"/>
      <c r="X132" s="1"/>
      <c r="Y132" s="12">
        <f>IF(H132=Reference!$A$12, Reference!$C$12, IF(H132=Reference!$A$11, Reference!$C$11, IF(H132=Reference!$A$10, Reference!$C$10, IF(H132=Reference!$A$9, Reference!$C$9, 0))))</f>
        <v>0</v>
      </c>
      <c r="Z132" s="12">
        <f>IF(J132=Reference!$A$20, Reference!$C$20, IF(J132=Reference!$A$19, Reference!$C$19, IF(J132=Reference!$A$18, Reference!$C$18, IF(J132=Reference!$A$17, Reference!$C$17, 0))))</f>
        <v>0</v>
      </c>
      <c r="AA132" s="12">
        <f>IF(L132=Reference!$A$28, Reference!$C$28, IF(L132=Reference!$A$27, Reference!$C$27, IF(L132=Reference!$A$26, Reference!$C$26, IF(L132=Reference!$A$25, Reference!$C$25, 0))))</f>
        <v>0</v>
      </c>
      <c r="AB132" s="12">
        <f>IF(N132=Reference!$A$36, Reference!$C$36, IF(N132=Reference!$A$35, Reference!$C$35, IF(N132=Reference!$A$34, Reference!$C$34, IF(N132=Reference!$A$33, Reference!$C$33, 0))))</f>
        <v>0</v>
      </c>
      <c r="AC132" s="12">
        <f>(Reference!$B$2*Y132 + Reference!$B$3*AA132 + Reference!$B$4*Z132 + Reference!$B$5 * AB132)/4</f>
        <v>0</v>
      </c>
      <c r="AD132" s="12">
        <f>IF(Q132=Reference!$C$41, Reference!$D$41, IF(Q132=Reference!$C$42, Reference!$D$42, IF(Q132=Reference!$C$43, Reference!$D$43, IF(Q132=Reference!$C$44, Reference!$D$44, 0))))</f>
        <v>0</v>
      </c>
      <c r="AE132" s="12">
        <f t="shared" si="26"/>
        <v>1</v>
      </c>
    </row>
    <row r="133" spans="1:31" ht="13.15">
      <c r="A133" s="8"/>
      <c r="B133" s="9"/>
      <c r="C133" s="9"/>
      <c r="D133" s="10"/>
      <c r="E133" s="10"/>
      <c r="F133" s="9"/>
      <c r="G133" s="9"/>
      <c r="H133" s="9"/>
      <c r="I133" s="9"/>
      <c r="J133" s="9"/>
      <c r="K133" s="9"/>
      <c r="L133" s="9"/>
      <c r="M133" s="9"/>
      <c r="N133" s="9"/>
      <c r="O133" s="9"/>
      <c r="P133" s="11" t="str">
        <f>IF(AC133&gt;=Reference!$H$2, Reference!$G$2, IF(AC133&gt;=Reference!$H$3, Reference!$G$3, IF(AC133&gt;=Reference!$H$4, Reference!$G$4, IF(AC133&gt;=Reference!$H$5, Reference!$G$5, ""))))</f>
        <v/>
      </c>
      <c r="Q133" s="11" t="str">
        <f t="shared" si="25"/>
        <v/>
      </c>
      <c r="R133" s="11" t="str">
        <f>IF(AE133&gt;=Reference!$D$2, Reference!$G$2, IF(AE133&gt;=Reference!$D$3, Reference!$E$3, IF(AE133&gt;=Reference!$D$4, Reference!$E$4, IF(AE133&gt;=Reference!$D$5, Reference!$E$5, ""))))</f>
        <v>Low</v>
      </c>
      <c r="S133" s="13"/>
      <c r="T133" s="12"/>
      <c r="U133" s="9"/>
      <c r="V133" s="9"/>
      <c r="W133" s="9"/>
      <c r="Y133" s="12">
        <f>IF(H133=Reference!$A$12, Reference!$C$12, IF(H133=Reference!$A$11, Reference!$C$11, IF(H133=Reference!$A$10, Reference!$C$10, IF(H133=Reference!$A$9, Reference!$C$9, 0))))</f>
        <v>0</v>
      </c>
      <c r="Z133" s="12">
        <f>IF(J133=Reference!$A$20, Reference!$C$20, IF(J133=Reference!$A$19, Reference!$C$19, IF(J133=Reference!$A$18, Reference!$C$18, IF(J133=Reference!$A$17, Reference!$C$17, 0))))</f>
        <v>0</v>
      </c>
      <c r="AA133" s="12">
        <f>IF(L133=Reference!$A$28, Reference!$C$28, IF(L133=Reference!$A$27, Reference!$C$27, IF(L133=Reference!$A$26, Reference!$C$26, IF(L133=Reference!$A$25, Reference!$C$25, 0))))</f>
        <v>0</v>
      </c>
      <c r="AB133" s="12">
        <f>IF(N133=Reference!$A$36, Reference!$C$36, IF(N133=Reference!$A$35, Reference!$C$35, IF(N133=Reference!$A$34, Reference!$C$34, IF(N133=Reference!$A$33, Reference!$C$33, 0))))</f>
        <v>0</v>
      </c>
      <c r="AC133" s="12">
        <f>(Reference!$B$2*Y133 + Reference!$B$3*AA133 + Reference!$B$4*Z133 + Reference!$B$5 * AB133)/4</f>
        <v>0</v>
      </c>
      <c r="AD133" s="12">
        <f>IF(Q133=Reference!$C$41, Reference!$D$41, IF(Q133=Reference!$C$42, Reference!$D$42, IF(Q133=Reference!$C$43, Reference!$D$43, IF(Q133=Reference!$C$44, Reference!$D$44, 0))))</f>
        <v>0</v>
      </c>
      <c r="AE133" s="12">
        <f t="shared" si="26"/>
        <v>1</v>
      </c>
    </row>
    <row r="134" spans="1:31" ht="13.15">
      <c r="A134" s="8"/>
      <c r="B134" s="9"/>
      <c r="C134" s="9"/>
      <c r="D134" s="10"/>
      <c r="E134" s="10"/>
      <c r="F134" s="9"/>
      <c r="G134" s="9"/>
      <c r="H134" s="9"/>
      <c r="I134" s="9"/>
      <c r="J134" s="9"/>
      <c r="K134" s="9"/>
      <c r="L134" s="9"/>
      <c r="M134" s="9"/>
      <c r="N134" s="9"/>
      <c r="O134" s="9"/>
      <c r="P134" s="11" t="str">
        <f>IF(AC134&gt;=Reference!$H$2, Reference!$G$2, IF(AC134&gt;=Reference!$H$3, Reference!$G$3, IF(AC134&gt;=Reference!$H$4, Reference!$G$4, IF(AC134&gt;=Reference!$H$5, Reference!$G$5, ""))))</f>
        <v/>
      </c>
      <c r="Q134" s="11" t="str">
        <f t="shared" si="25"/>
        <v/>
      </c>
      <c r="R134" s="11" t="str">
        <f>IF(AE134&gt;=Reference!$D$2, Reference!$G$2, IF(AE134&gt;=Reference!$D$3, Reference!$E$3, IF(AE134&gt;=Reference!$D$4, Reference!$E$4, IF(AE134&gt;=Reference!$D$5, Reference!$E$5, ""))))</f>
        <v>Low</v>
      </c>
      <c r="S134" s="13"/>
      <c r="T134" s="19"/>
      <c r="U134" s="9"/>
      <c r="V134" s="9"/>
      <c r="W134" s="9"/>
      <c r="Y134" s="12">
        <f>IF(H134=Reference!$A$12, Reference!$C$12, IF(H134=Reference!$A$11, Reference!$C$11, IF(H134=Reference!$A$10, Reference!$C$10, IF(H134=Reference!$A$9, Reference!$C$9, 0))))</f>
        <v>0</v>
      </c>
      <c r="Z134" s="12">
        <f>IF(J134=Reference!$A$20, Reference!$C$20, IF(J134=Reference!$A$19, Reference!$C$19, IF(J134=Reference!$A$18, Reference!$C$18, IF(J134=Reference!$A$17, Reference!$C$17, 0))))</f>
        <v>0</v>
      </c>
      <c r="AA134" s="12">
        <f>IF(L134=Reference!$A$28, Reference!$C$28, IF(L134=Reference!$A$27, Reference!$C$27, IF(L134=Reference!$A$26, Reference!$C$26, IF(L134=Reference!$A$25, Reference!$C$25, 0))))</f>
        <v>0</v>
      </c>
      <c r="AB134" s="12">
        <f>IF(N134=Reference!$A$36, Reference!$C$36, IF(N134=Reference!$A$35, Reference!$C$35, IF(N134=Reference!$A$34, Reference!$C$34, IF(N134=Reference!$A$33, Reference!$C$33, 0))))</f>
        <v>0</v>
      </c>
      <c r="AC134" s="12">
        <f>(Reference!$B$2*Y134 + Reference!$B$3*AA134 + Reference!$B$4*Z134 + Reference!$B$5 * AB134)/4</f>
        <v>0</v>
      </c>
      <c r="AD134" s="12">
        <f>IF(Q134=Reference!$C$41, Reference!$D$41, IF(Q134=Reference!$C$42, Reference!$D$42, IF(Q134=Reference!$C$43, Reference!$D$43, IF(Q134=Reference!$C$44, Reference!$D$44, 0))))</f>
        <v>0</v>
      </c>
      <c r="AE134" s="12">
        <f t="shared" si="26"/>
        <v>1</v>
      </c>
    </row>
    <row r="135" spans="1:31" ht="13.15">
      <c r="A135" s="8"/>
      <c r="B135" s="9"/>
      <c r="C135" s="9"/>
      <c r="D135" s="10"/>
      <c r="E135" s="10"/>
      <c r="F135" s="9"/>
      <c r="G135" s="9"/>
      <c r="H135" s="9"/>
      <c r="I135" s="9"/>
      <c r="J135" s="9"/>
      <c r="K135" s="19"/>
      <c r="L135" s="9"/>
      <c r="M135" s="9"/>
      <c r="N135" s="9"/>
      <c r="O135" s="19"/>
      <c r="P135" s="11" t="str">
        <f>IF(AC135&gt;=Reference!$H$2, Reference!$G$2, IF(AC135&gt;=Reference!$H$3, Reference!$G$3, IF(AC135&gt;=Reference!$H$4, Reference!$G$4, IF(AC135&gt;=Reference!$H$5, Reference!$G$5, ""))))</f>
        <v/>
      </c>
      <c r="Q135" s="11" t="str">
        <f t="shared" si="25"/>
        <v/>
      </c>
      <c r="R135" s="11" t="str">
        <f>IF(AE135&gt;=Reference!$D$2, Reference!$G$2, IF(AE135&gt;=Reference!$D$3, Reference!$E$3, IF(AE135&gt;=Reference!$D$4, Reference!$E$4, IF(AE135&gt;=Reference!$D$5, Reference!$E$5, ""))))</f>
        <v>Low</v>
      </c>
      <c r="S135" s="13"/>
      <c r="T135" s="12"/>
      <c r="U135" s="9"/>
      <c r="V135" s="9"/>
      <c r="W135" s="9"/>
      <c r="Y135" s="12">
        <f>IF(H135=Reference!$A$12, Reference!$C$12, IF(H135=Reference!$A$11, Reference!$C$11, IF(H135=Reference!$A$10, Reference!$C$10, IF(H135=Reference!$A$9, Reference!$C$9, 0))))</f>
        <v>0</v>
      </c>
      <c r="Z135" s="12">
        <f>IF(J135=Reference!$A$20, Reference!$C$20, IF(J135=Reference!$A$19, Reference!$C$19, IF(J135=Reference!$A$18, Reference!$C$18, IF(J135=Reference!$A$17, Reference!$C$17, 0))))</f>
        <v>0</v>
      </c>
      <c r="AA135" s="12">
        <f>IF(L135=Reference!$A$28, Reference!$C$28, IF(L135=Reference!$A$27, Reference!$C$27, IF(L135=Reference!$A$26, Reference!$C$26, IF(L135=Reference!$A$25, Reference!$C$25, 0))))</f>
        <v>0</v>
      </c>
      <c r="AB135" s="12">
        <f>IF(N135=Reference!$A$36, Reference!$C$36, IF(N135=Reference!$A$35, Reference!$C$35, IF(N135=Reference!$A$34, Reference!$C$34, IF(N135=Reference!$A$33, Reference!$C$33, 0))))</f>
        <v>0</v>
      </c>
      <c r="AC135" s="12">
        <f>(Reference!$B$2*Y135 + Reference!$B$3*AA135 + Reference!$B$4*Z135 + Reference!$B$5 * AB135)/4</f>
        <v>0</v>
      </c>
      <c r="AD135" s="12">
        <f>IF(Q135=Reference!$C$41, Reference!$D$41, IF(Q135=Reference!$C$42, Reference!$D$42, IF(Q135=Reference!$C$43, Reference!$D$43, IF(Q135=Reference!$C$44, Reference!$D$44, 0))))</f>
        <v>0</v>
      </c>
      <c r="AE135" s="12">
        <f t="shared" si="26"/>
        <v>1</v>
      </c>
    </row>
    <row r="136" spans="1:31" ht="13.15">
      <c r="A136" s="8"/>
      <c r="B136" s="9"/>
      <c r="C136" s="9"/>
      <c r="D136" s="10"/>
      <c r="E136" s="10"/>
      <c r="F136" s="9"/>
      <c r="G136" s="9"/>
      <c r="H136" s="9"/>
      <c r="I136" s="9"/>
      <c r="J136" s="9"/>
      <c r="K136" s="19"/>
      <c r="L136" s="9"/>
      <c r="M136" s="9"/>
      <c r="N136" s="9"/>
      <c r="O136" s="9"/>
      <c r="P136" s="11" t="str">
        <f>IF(AC136&gt;=Reference!$H$2, Reference!$G$2, IF(AC136&gt;=Reference!$H$3, Reference!$G$3, IF(AC136&gt;=Reference!$H$4, Reference!$G$4, IF(AC136&gt;=Reference!$H$5, Reference!$G$5, ""))))</f>
        <v/>
      </c>
      <c r="Q136" s="11" t="str">
        <f t="shared" si="25"/>
        <v/>
      </c>
      <c r="R136" s="11" t="str">
        <f>IF(AE136&gt;=Reference!$D$2, Reference!$G$2, IF(AE136&gt;=Reference!$D$3, Reference!$E$3, IF(AE136&gt;=Reference!$D$4, Reference!$E$4, IF(AE136&gt;=Reference!$D$5, Reference!$E$5, ""))))</f>
        <v>Low</v>
      </c>
      <c r="S136" s="13"/>
      <c r="T136" s="12"/>
      <c r="U136" s="9"/>
      <c r="V136" s="9"/>
      <c r="W136" s="9"/>
      <c r="Y136" s="12">
        <f>IF(H136=Reference!$A$12, Reference!$C$12, IF(H136=Reference!$A$11, Reference!$C$11, IF(H136=Reference!$A$10, Reference!$C$10, IF(H136=Reference!$A$9, Reference!$C$9, 0))))</f>
        <v>0</v>
      </c>
      <c r="Z136" s="12">
        <f>IF(J136=Reference!$A$20, Reference!$C$20, IF(J136=Reference!$A$19, Reference!$C$19, IF(J136=Reference!$A$18, Reference!$C$18, IF(J136=Reference!$A$17, Reference!$C$17, 0))))</f>
        <v>0</v>
      </c>
      <c r="AA136" s="12">
        <f>IF(L136=Reference!$A$28, Reference!$C$28, IF(L136=Reference!$A$27, Reference!$C$27, IF(L136=Reference!$A$26, Reference!$C$26, IF(L136=Reference!$A$25, Reference!$C$25, 0))))</f>
        <v>0</v>
      </c>
      <c r="AB136" s="12">
        <f>IF(N136=Reference!$A$36, Reference!$C$36, IF(N136=Reference!$A$35, Reference!$C$35, IF(N136=Reference!$A$34, Reference!$C$34, IF(N136=Reference!$A$33, Reference!$C$33, 0))))</f>
        <v>0</v>
      </c>
      <c r="AC136" s="12">
        <f>(Reference!$B$2*Y136 + Reference!$B$3*AA136 + Reference!$B$4*Z136 + Reference!$B$5 * AB136)/4</f>
        <v>0</v>
      </c>
      <c r="AD136" s="12">
        <f>IF(Q136=Reference!$C$41, Reference!$D$41, IF(Q136=Reference!$C$42, Reference!$D$42, IF(Q136=Reference!$C$43, Reference!$D$43, IF(Q136=Reference!$C$44, Reference!$D$44, 0))))</f>
        <v>0</v>
      </c>
      <c r="AE136" s="12">
        <f t="shared" si="26"/>
        <v>1</v>
      </c>
    </row>
    <row r="137" spans="1:31" ht="13.15">
      <c r="A137" s="8"/>
      <c r="B137" s="9"/>
      <c r="C137" s="9"/>
      <c r="D137" s="10"/>
      <c r="E137" s="10"/>
      <c r="F137" s="9"/>
      <c r="G137" s="9"/>
      <c r="H137" s="9"/>
      <c r="I137" s="9"/>
      <c r="J137" s="9"/>
      <c r="K137" s="19"/>
      <c r="L137" s="9"/>
      <c r="M137" s="9"/>
      <c r="N137" s="9"/>
      <c r="O137" s="9"/>
      <c r="P137" s="11" t="str">
        <f>IF(AC137&gt;=Reference!$H$2, Reference!$G$2, IF(AC137&gt;=Reference!$H$3, Reference!$G$3, IF(AC137&gt;=Reference!$H$4, Reference!$G$4, IF(AC137&gt;=Reference!$H$5, Reference!$G$5, ""))))</f>
        <v/>
      </c>
      <c r="Q137" s="11" t="str">
        <f t="shared" si="25"/>
        <v/>
      </c>
      <c r="R137" s="11" t="str">
        <f>IF(AE137&gt;=Reference!$D$2, Reference!$G$2, IF(AE137&gt;=Reference!$D$3, Reference!$E$3, IF(AE137&gt;=Reference!$D$4, Reference!$E$4, IF(AE137&gt;=Reference!$D$5, Reference!$E$5, ""))))</f>
        <v>Low</v>
      </c>
      <c r="S137" s="13"/>
      <c r="T137" s="12"/>
      <c r="U137" s="9"/>
      <c r="V137" s="9"/>
      <c r="W137" s="9"/>
      <c r="Y137" s="12">
        <f>IF(H137=Reference!$A$12, Reference!$C$12, IF(H137=Reference!$A$11, Reference!$C$11, IF(H137=Reference!$A$10, Reference!$C$10, IF(H137=Reference!$A$9, Reference!$C$9, 0))))</f>
        <v>0</v>
      </c>
      <c r="Z137" s="12">
        <f>IF(J137=Reference!$A$20, Reference!$C$20, IF(J137=Reference!$A$19, Reference!$C$19, IF(J137=Reference!$A$18, Reference!$C$18, IF(J137=Reference!$A$17, Reference!$C$17, 0))))</f>
        <v>0</v>
      </c>
      <c r="AA137" s="12">
        <f>IF(L137=Reference!$A$28, Reference!$C$28, IF(L137=Reference!$A$27, Reference!$C$27, IF(L137=Reference!$A$26, Reference!$C$26, IF(L137=Reference!$A$25, Reference!$C$25, 0))))</f>
        <v>0</v>
      </c>
      <c r="AB137" s="12">
        <f>IF(N137=Reference!$A$36, Reference!$C$36, IF(N137=Reference!$A$35, Reference!$C$35, IF(N137=Reference!$A$34, Reference!$C$34, IF(N137=Reference!$A$33, Reference!$C$33, 0))))</f>
        <v>0</v>
      </c>
      <c r="AC137" s="12">
        <f>(Reference!$B$2*Y137 + Reference!$B$3*AA137 + Reference!$B$4*Z137 + Reference!$B$5 * AB137)/4</f>
        <v>0</v>
      </c>
      <c r="AD137" s="12">
        <f>IF(Q137=Reference!$C$41, Reference!$D$41, IF(Q137=Reference!$C$42, Reference!$D$42, IF(Q137=Reference!$C$43, Reference!$D$43, IF(Q137=Reference!$C$44, Reference!$D$44, 0))))</f>
        <v>0</v>
      </c>
      <c r="AE137" s="12">
        <f t="shared" si="26"/>
        <v>1</v>
      </c>
    </row>
    <row r="138" spans="1:31" ht="13.15">
      <c r="A138" s="8"/>
      <c r="B138" s="9"/>
      <c r="C138" s="9"/>
      <c r="D138" s="10"/>
      <c r="E138" s="10"/>
      <c r="F138" s="9"/>
      <c r="G138" s="9"/>
      <c r="H138" s="9"/>
      <c r="I138" s="9"/>
      <c r="J138" s="9"/>
      <c r="K138" s="9"/>
      <c r="L138" s="9"/>
      <c r="M138" s="9"/>
      <c r="N138" s="9"/>
      <c r="O138" s="9"/>
      <c r="P138" s="11" t="str">
        <f>IF(AC138&gt;=Reference!$H$2, Reference!$G$2, IF(AC138&gt;=Reference!$H$3, Reference!$G$3, IF(AC138&gt;=Reference!$H$4, Reference!$G$4, IF(AC138&gt;=Reference!$H$5, Reference!$G$5, ""))))</f>
        <v/>
      </c>
      <c r="Q138" s="11" t="str">
        <f t="shared" si="25"/>
        <v/>
      </c>
      <c r="R138" s="11" t="str">
        <f>IF(AE138&gt;=Reference!$D$2, Reference!$G$2, IF(AE138&gt;=Reference!$D$3, Reference!$E$3, IF(AE138&gt;=Reference!$D$4, Reference!$E$4, IF(AE138&gt;=Reference!$D$5, Reference!$E$5, ""))))</f>
        <v>Low</v>
      </c>
      <c r="S138" s="13"/>
      <c r="T138" s="12"/>
      <c r="U138" s="9"/>
      <c r="V138" s="9"/>
      <c r="W138" s="9"/>
      <c r="Y138" s="12">
        <f>IF(H138=Reference!$A$12, Reference!$C$12, IF(H138=Reference!$A$11, Reference!$C$11, IF(H138=Reference!$A$10, Reference!$C$10, IF(H138=Reference!$A$9, Reference!$C$9, 0))))</f>
        <v>0</v>
      </c>
      <c r="Z138" s="12">
        <f>IF(J138=Reference!$A$20, Reference!$C$20, IF(J138=Reference!$A$19, Reference!$C$19, IF(J138=Reference!$A$18, Reference!$C$18, IF(J138=Reference!$A$17, Reference!$C$17, 0))))</f>
        <v>0</v>
      </c>
      <c r="AA138" s="12">
        <f>IF(L138=Reference!$A$28, Reference!$C$28, IF(L138=Reference!$A$27, Reference!$C$27, IF(L138=Reference!$A$26, Reference!$C$26, IF(L138=Reference!$A$25, Reference!$C$25, 0))))</f>
        <v>0</v>
      </c>
      <c r="AB138" s="12">
        <f>IF(N138=Reference!$A$36, Reference!$C$36, IF(N138=Reference!$A$35, Reference!$C$35, IF(N138=Reference!$A$34, Reference!$C$34, IF(N138=Reference!$A$33, Reference!$C$33, 0))))</f>
        <v>0</v>
      </c>
      <c r="AC138" s="12">
        <f>(Reference!$B$2*Y138 + Reference!$B$3*AA138 + Reference!$B$4*Z138 + Reference!$B$5 * AB138)/4</f>
        <v>0</v>
      </c>
      <c r="AD138" s="12">
        <f>IF(Q138=Reference!$C$41, Reference!$D$41, IF(Q138=Reference!$C$42, Reference!$D$42, IF(Q138=Reference!$C$43, Reference!$D$43, IF(Q138=Reference!$C$44, Reference!$D$44, 0))))</f>
        <v>0</v>
      </c>
      <c r="AE138" s="12">
        <f t="shared" si="26"/>
        <v>1</v>
      </c>
    </row>
    <row r="139" spans="1:31" ht="13.15">
      <c r="A139" s="8"/>
      <c r="B139" s="9"/>
      <c r="C139" s="9"/>
      <c r="D139" s="10"/>
      <c r="E139" s="10"/>
      <c r="F139" s="9"/>
      <c r="G139" s="9"/>
      <c r="H139" s="9"/>
      <c r="I139" s="9"/>
      <c r="J139" s="9"/>
      <c r="K139" s="9"/>
      <c r="L139" s="9"/>
      <c r="M139" s="9"/>
      <c r="N139" s="9"/>
      <c r="O139" s="9"/>
      <c r="P139" s="11" t="str">
        <f>IF(AC139&gt;=Reference!$H$2, Reference!$G$2, IF(AC139&gt;=Reference!$H$3, Reference!$G$3, IF(AC139&gt;=Reference!$H$4, Reference!$G$4, IF(AC139&gt;=Reference!$H$5, Reference!$G$5, ""))))</f>
        <v/>
      </c>
      <c r="Q139" s="11" t="str">
        <f t="shared" si="25"/>
        <v/>
      </c>
      <c r="R139" s="11" t="str">
        <f>IF(AE139&gt;=Reference!$D$2, Reference!$G$2, IF(AE139&gt;=Reference!$D$3, Reference!$E$3, IF(AE139&gt;=Reference!$D$4, Reference!$E$4, IF(AE139&gt;=Reference!$D$5, Reference!$E$5, ""))))</f>
        <v>Low</v>
      </c>
      <c r="S139" s="13"/>
      <c r="T139" s="12"/>
      <c r="U139" s="9"/>
      <c r="V139" s="9"/>
      <c r="W139" s="9"/>
      <c r="Y139" s="12">
        <f>IF(H139=Reference!$A$12, Reference!$C$12, IF(H139=Reference!$A$11, Reference!$C$11, IF(H139=Reference!$A$10, Reference!$C$10, IF(H139=Reference!$A$9, Reference!$C$9, 0))))</f>
        <v>0</v>
      </c>
      <c r="Z139" s="12">
        <f>IF(J139=Reference!$A$20, Reference!$C$20, IF(J139=Reference!$A$19, Reference!$C$19, IF(J139=Reference!$A$18, Reference!$C$18, IF(J139=Reference!$A$17, Reference!$C$17, 0))))</f>
        <v>0</v>
      </c>
      <c r="AA139" s="12">
        <f>IF(L139=Reference!$A$28, Reference!$C$28, IF(L139=Reference!$A$27, Reference!$C$27, IF(L139=Reference!$A$26, Reference!$C$26, IF(L139=Reference!$A$25, Reference!$C$25, 0))))</f>
        <v>0</v>
      </c>
      <c r="AB139" s="12">
        <f>IF(N139=Reference!$A$36, Reference!$C$36, IF(N139=Reference!$A$35, Reference!$C$35, IF(N139=Reference!$A$34, Reference!$C$34, IF(N139=Reference!$A$33, Reference!$C$33, 0))))</f>
        <v>0</v>
      </c>
      <c r="AC139" s="12">
        <f>(Reference!$B$2*Y139 + Reference!$B$3*AA139 + Reference!$B$4*Z139 + Reference!$B$5 * AB139)/4</f>
        <v>0</v>
      </c>
      <c r="AD139" s="12">
        <f>IF(Q139=Reference!$C$41, Reference!$D$41, IF(Q139=Reference!$C$42, Reference!$D$42, IF(Q139=Reference!$C$43, Reference!$D$43, IF(Q139=Reference!$C$44, Reference!$D$44, 0))))</f>
        <v>0</v>
      </c>
      <c r="AE139" s="12">
        <f t="shared" si="26"/>
        <v>1</v>
      </c>
    </row>
    <row r="140" spans="1:31" ht="13.15">
      <c r="A140" s="8"/>
      <c r="B140" s="9"/>
      <c r="C140" s="9"/>
      <c r="D140" s="10"/>
      <c r="E140" s="10"/>
      <c r="F140" s="9"/>
      <c r="G140" s="9"/>
      <c r="H140" s="9"/>
      <c r="I140" s="9"/>
      <c r="J140" s="9"/>
      <c r="K140" s="9"/>
      <c r="L140" s="9"/>
      <c r="M140" s="9"/>
      <c r="N140" s="9"/>
      <c r="O140" s="9"/>
      <c r="P140" s="11" t="str">
        <f>IF(AC140&gt;=Reference!$H$2, Reference!$G$2, IF(AC140&gt;=Reference!$H$3, Reference!$G$3, IF(AC140&gt;=Reference!$H$4, Reference!$G$4, IF(AC140&gt;=Reference!$H$5, Reference!$G$5, ""))))</f>
        <v/>
      </c>
      <c r="Q140" s="11" t="str">
        <f t="shared" si="25"/>
        <v/>
      </c>
      <c r="R140" s="11" t="str">
        <f>IF(AE140&gt;=Reference!$D$2, Reference!$G$2, IF(AE140&gt;=Reference!$D$3, Reference!$E$3, IF(AE140&gt;=Reference!$D$4, Reference!$E$4, IF(AE140&gt;=Reference!$D$5, Reference!$E$5, ""))))</f>
        <v>Low</v>
      </c>
      <c r="S140" s="13"/>
      <c r="T140" s="12"/>
      <c r="U140" s="9"/>
      <c r="V140" s="9"/>
      <c r="W140" s="9"/>
      <c r="Y140" s="12">
        <f>IF(H140=Reference!$A$12, Reference!$C$12, IF(H140=Reference!$A$11, Reference!$C$11, IF(H140=Reference!$A$10, Reference!$C$10, IF(H140=Reference!$A$9, Reference!$C$9, 0))))</f>
        <v>0</v>
      </c>
      <c r="Z140" s="12">
        <f>IF(J140=Reference!$A$20, Reference!$C$20, IF(J140=Reference!$A$19, Reference!$C$19, IF(J140=Reference!$A$18, Reference!$C$18, IF(J140=Reference!$A$17, Reference!$C$17, 0))))</f>
        <v>0</v>
      </c>
      <c r="AA140" s="12">
        <f>IF(L140=Reference!$A$28, Reference!$C$28, IF(L140=Reference!$A$27, Reference!$C$27, IF(L140=Reference!$A$26, Reference!$C$26, IF(L140=Reference!$A$25, Reference!$C$25, 0))))</f>
        <v>0</v>
      </c>
      <c r="AB140" s="12">
        <f>IF(N140=Reference!$A$36, Reference!$C$36, IF(N140=Reference!$A$35, Reference!$C$35, IF(N140=Reference!$A$34, Reference!$C$34, IF(N140=Reference!$A$33, Reference!$C$33, 0))))</f>
        <v>0</v>
      </c>
      <c r="AC140" s="12">
        <f>(Reference!$B$2*Y140 + Reference!$B$3*AA140 + Reference!$B$4*Z140 + Reference!$B$5 * AB140)/4</f>
        <v>0</v>
      </c>
      <c r="AD140" s="12">
        <f>IF(Q140=Reference!$C$41, Reference!$D$41, IF(Q140=Reference!$C$42, Reference!$D$42, IF(Q140=Reference!$C$43, Reference!$D$43, IF(Q140=Reference!$C$44, Reference!$D$44, 0))))</f>
        <v>0</v>
      </c>
      <c r="AE140" s="12">
        <f t="shared" si="26"/>
        <v>1</v>
      </c>
    </row>
    <row r="141" spans="1:31" ht="13.15">
      <c r="A141" s="8"/>
      <c r="B141" s="9"/>
      <c r="C141" s="9"/>
      <c r="D141" s="10"/>
      <c r="E141" s="10"/>
      <c r="F141" s="9"/>
      <c r="G141" s="9"/>
      <c r="H141" s="9"/>
      <c r="I141" s="9"/>
      <c r="J141" s="9"/>
      <c r="K141" s="9"/>
      <c r="L141" s="9"/>
      <c r="M141" s="9"/>
      <c r="N141" s="9"/>
      <c r="O141" s="9"/>
      <c r="P141" s="11" t="str">
        <f>IF(AC141&gt;=Reference!$H$2, Reference!$G$2, IF(AC141&gt;=Reference!$H$3, Reference!$G$3, IF(AC141&gt;=Reference!$H$4, Reference!$G$4, IF(AC141&gt;=Reference!$H$5, Reference!$G$5, ""))))</f>
        <v/>
      </c>
      <c r="Q141" s="11" t="str">
        <f t="shared" si="25"/>
        <v/>
      </c>
      <c r="R141" s="11" t="str">
        <f>IF(AE141&gt;=Reference!$D$2, Reference!$G$2, IF(AE141&gt;=Reference!$D$3, Reference!$E$3, IF(AE141&gt;=Reference!$D$4, Reference!$E$4, IF(AE141&gt;=Reference!$D$5, Reference!$E$5, ""))))</f>
        <v>Low</v>
      </c>
      <c r="S141" s="13"/>
      <c r="T141" s="12"/>
      <c r="U141" s="9"/>
      <c r="V141" s="9"/>
      <c r="W141" s="9"/>
      <c r="Y141" s="12">
        <f>IF(H141=Reference!$A$12, Reference!$C$12, IF(H141=Reference!$A$11, Reference!$C$11, IF(H141=Reference!$A$10, Reference!$C$10, IF(H141=Reference!$A$9, Reference!$C$9, 0))))</f>
        <v>0</v>
      </c>
      <c r="Z141" s="12">
        <f>IF(J141=Reference!$A$20, Reference!$C$20, IF(J141=Reference!$A$19, Reference!$C$19, IF(J141=Reference!$A$18, Reference!$C$18, IF(J141=Reference!$A$17, Reference!$C$17, 0))))</f>
        <v>0</v>
      </c>
      <c r="AA141" s="12">
        <f>IF(L141=Reference!$A$28, Reference!$C$28, IF(L141=Reference!$A$27, Reference!$C$27, IF(L141=Reference!$A$26, Reference!$C$26, IF(L141=Reference!$A$25, Reference!$C$25, 0))))</f>
        <v>0</v>
      </c>
      <c r="AB141" s="12">
        <f>IF(N141=Reference!$A$36, Reference!$C$36, IF(N141=Reference!$A$35, Reference!$C$35, IF(N141=Reference!$A$34, Reference!$C$34, IF(N141=Reference!$A$33, Reference!$C$33, 0))))</f>
        <v>0</v>
      </c>
      <c r="AC141" s="12">
        <f>(Reference!$B$2*Y141 + Reference!$B$3*AA141 + Reference!$B$4*Z141 + Reference!$B$5 * AB141)/4</f>
        <v>0</v>
      </c>
      <c r="AD141" s="12">
        <f>IF(Q141=Reference!$C$41, Reference!$D$41, IF(Q141=Reference!$C$42, Reference!$D$42, IF(Q141=Reference!$C$43, Reference!$D$43, IF(Q141=Reference!$C$44, Reference!$D$44, 0))))</f>
        <v>0</v>
      </c>
      <c r="AE141" s="12">
        <f t="shared" si="26"/>
        <v>1</v>
      </c>
    </row>
    <row r="142" spans="1:31" ht="13.15">
      <c r="A142" s="8"/>
      <c r="B142" s="9"/>
      <c r="C142" s="9"/>
      <c r="D142" s="10"/>
      <c r="E142" s="10"/>
      <c r="F142" s="9"/>
      <c r="G142" s="9"/>
      <c r="H142" s="9"/>
      <c r="I142" s="9"/>
      <c r="J142" s="9"/>
      <c r="K142" s="9"/>
      <c r="L142" s="9"/>
      <c r="M142" s="9"/>
      <c r="N142" s="9"/>
      <c r="O142" s="9"/>
      <c r="P142" s="11" t="str">
        <f>IF(AC142&gt;=Reference!$H$2, Reference!$G$2, IF(AC142&gt;=Reference!$H$3, Reference!$G$3, IF(AC142&gt;=Reference!$H$4, Reference!$G$4, IF(AC142&gt;=Reference!$H$5, Reference!$G$5, ""))))</f>
        <v/>
      </c>
      <c r="Q142" s="11" t="str">
        <f t="shared" si="25"/>
        <v/>
      </c>
      <c r="R142" s="11" t="str">
        <f>IF(AE142&gt;=Reference!$D$2, Reference!$G$2, IF(AE142&gt;=Reference!$D$3, Reference!$E$3, IF(AE142&gt;=Reference!$D$4, Reference!$E$4, IF(AE142&gt;=Reference!$D$5, Reference!$E$5, ""))))</f>
        <v>Low</v>
      </c>
      <c r="S142" s="13"/>
      <c r="T142" s="12"/>
      <c r="U142" s="9"/>
      <c r="V142" s="9"/>
      <c r="W142" s="9"/>
      <c r="Y142" s="12">
        <f>IF(H142=Reference!$A$12, Reference!$C$12, IF(H142=Reference!$A$11, Reference!$C$11, IF(H142=Reference!$A$10, Reference!$C$10, IF(H142=Reference!$A$9, Reference!$C$9, 0))))</f>
        <v>0</v>
      </c>
      <c r="Z142" s="12">
        <f>IF(J142=Reference!$A$20, Reference!$C$20, IF(J142=Reference!$A$19, Reference!$C$19, IF(J142=Reference!$A$18, Reference!$C$18, IF(J142=Reference!$A$17, Reference!$C$17, 0))))</f>
        <v>0</v>
      </c>
      <c r="AA142" s="12">
        <f>IF(L142=Reference!$A$28, Reference!$C$28, IF(L142=Reference!$A$27, Reference!$C$27, IF(L142=Reference!$A$26, Reference!$C$26, IF(L142=Reference!$A$25, Reference!$C$25, 0))))</f>
        <v>0</v>
      </c>
      <c r="AB142" s="12">
        <f>IF(N142=Reference!$A$36, Reference!$C$36, IF(N142=Reference!$A$35, Reference!$C$35, IF(N142=Reference!$A$34, Reference!$C$34, IF(N142=Reference!$A$33, Reference!$C$33, 0))))</f>
        <v>0</v>
      </c>
      <c r="AC142" s="12">
        <f>(Reference!$B$2*Y142 + Reference!$B$3*AA142 + Reference!$B$4*Z142 + Reference!$B$5 * AB142)/4</f>
        <v>0</v>
      </c>
      <c r="AD142" s="12">
        <f>IF(Q142=Reference!$C$41, Reference!$D$41, IF(Q142=Reference!$C$42, Reference!$D$42, IF(Q142=Reference!$C$43, Reference!$D$43, IF(Q142=Reference!$C$44, Reference!$D$44, 0))))</f>
        <v>0</v>
      </c>
      <c r="AE142" s="12">
        <f t="shared" si="26"/>
        <v>1</v>
      </c>
    </row>
    <row r="143" spans="1:31" ht="13.15">
      <c r="A143" s="8"/>
      <c r="B143" s="9"/>
      <c r="C143" s="9"/>
      <c r="D143" s="10"/>
      <c r="E143" s="10"/>
      <c r="F143" s="9"/>
      <c r="G143" s="9"/>
      <c r="H143" s="9"/>
      <c r="I143" s="9"/>
      <c r="J143" s="9"/>
      <c r="K143" s="19"/>
      <c r="L143" s="9"/>
      <c r="M143" s="9"/>
      <c r="N143" s="9"/>
      <c r="O143" s="9"/>
      <c r="P143" s="11" t="str">
        <f>IF(AC143&gt;=Reference!$H$2, Reference!$G$2, IF(AC143&gt;=Reference!$H$3, Reference!$G$3, IF(AC143&gt;=Reference!$H$4, Reference!$G$4, IF(AC143&gt;=Reference!$H$5, Reference!$G$5, ""))))</f>
        <v/>
      </c>
      <c r="Q143" s="11" t="str">
        <f t="shared" si="25"/>
        <v/>
      </c>
      <c r="R143" s="11" t="str">
        <f>IF(AE143&gt;=Reference!$D$2, Reference!$G$2, IF(AE143&gt;=Reference!$D$3, Reference!$E$3, IF(AE143&gt;=Reference!$D$4, Reference!$E$4, IF(AE143&gt;=Reference!$D$5, Reference!$E$5, ""))))</f>
        <v>Low</v>
      </c>
      <c r="S143" s="13"/>
      <c r="T143" s="12"/>
      <c r="U143" s="9"/>
      <c r="V143" s="9"/>
      <c r="W143" s="9"/>
      <c r="Y143" s="12">
        <f>IF(H143=Reference!$A$12, Reference!$C$12, IF(H143=Reference!$A$11, Reference!$C$11, IF(H143=Reference!$A$10, Reference!$C$10, IF(H143=Reference!$A$9, Reference!$C$9, 0))))</f>
        <v>0</v>
      </c>
      <c r="Z143" s="12">
        <f>IF(J143=Reference!$A$20, Reference!$C$20, IF(J143=Reference!$A$19, Reference!$C$19, IF(J143=Reference!$A$18, Reference!$C$18, IF(J143=Reference!$A$17, Reference!$C$17, 0))))</f>
        <v>0</v>
      </c>
      <c r="AA143" s="12">
        <f>IF(L143=Reference!$A$28, Reference!$C$28, IF(L143=Reference!$A$27, Reference!$C$27, IF(L143=Reference!$A$26, Reference!$C$26, IF(L143=Reference!$A$25, Reference!$C$25, 0))))</f>
        <v>0</v>
      </c>
      <c r="AB143" s="12">
        <f>IF(N143=Reference!$A$36, Reference!$C$36, IF(N143=Reference!$A$35, Reference!$C$35, IF(N143=Reference!$A$34, Reference!$C$34, IF(N143=Reference!$A$33, Reference!$C$33, 0))))</f>
        <v>0</v>
      </c>
      <c r="AC143" s="12">
        <f>(Reference!$B$2*Y143 + Reference!$B$3*AA143 + Reference!$B$4*Z143 + Reference!$B$5 * AB143)/4</f>
        <v>0</v>
      </c>
      <c r="AD143" s="12">
        <f>IF(Q143=Reference!$C$41, Reference!$D$41, IF(Q143=Reference!$C$42, Reference!$D$42, IF(Q143=Reference!$C$43, Reference!$D$43, IF(Q143=Reference!$C$44, Reference!$D$44, 0))))</f>
        <v>0</v>
      </c>
      <c r="AE143" s="12">
        <f t="shared" si="26"/>
        <v>1</v>
      </c>
    </row>
    <row r="144" spans="1:31" ht="13.15">
      <c r="A144" s="8"/>
      <c r="B144" s="9"/>
      <c r="C144" s="9"/>
      <c r="D144" s="10"/>
      <c r="E144" s="10"/>
      <c r="F144" s="9"/>
      <c r="G144" s="9"/>
      <c r="H144" s="9"/>
      <c r="I144" s="9"/>
      <c r="J144" s="9"/>
      <c r="K144" s="9"/>
      <c r="L144" s="9"/>
      <c r="M144" s="9"/>
      <c r="N144" s="9"/>
      <c r="O144" s="9"/>
      <c r="P144" s="11" t="str">
        <f>IF(AC144&gt;=Reference!$H$2, Reference!$G$2, IF(AC144&gt;=Reference!$H$3, Reference!$G$3, IF(AC144&gt;=Reference!$H$4, Reference!$G$4, IF(AC144&gt;=Reference!$H$5, Reference!$G$5, ""))))</f>
        <v/>
      </c>
      <c r="Q144" s="11" t="str">
        <f t="shared" si="25"/>
        <v/>
      </c>
      <c r="R144" s="11" t="str">
        <f>IF(AE144&gt;=Reference!$D$2, Reference!$G$2, IF(AE144&gt;=Reference!$D$3, Reference!$E$3, IF(AE144&gt;=Reference!$D$4, Reference!$E$4, IF(AE144&gt;=Reference!$D$5, Reference!$E$5, ""))))</f>
        <v>Low</v>
      </c>
      <c r="S144" s="13"/>
      <c r="T144" s="12"/>
      <c r="U144" s="9"/>
      <c r="V144" s="9"/>
      <c r="W144" s="9"/>
      <c r="Y144" s="12">
        <f>IF(H144=Reference!$A$12, Reference!$C$12, IF(H144=Reference!$A$11, Reference!$C$11, IF(H144=Reference!$A$10, Reference!$C$10, IF(H144=Reference!$A$9, Reference!$C$9, 0))))</f>
        <v>0</v>
      </c>
      <c r="Z144" s="12">
        <f>IF(J144=Reference!$A$20, Reference!$C$20, IF(J144=Reference!$A$19, Reference!$C$19, IF(J144=Reference!$A$18, Reference!$C$18, IF(J144=Reference!$A$17, Reference!$C$17, 0))))</f>
        <v>0</v>
      </c>
      <c r="AA144" s="12">
        <f>IF(L144=Reference!$A$28, Reference!$C$28, IF(L144=Reference!$A$27, Reference!$C$27, IF(L144=Reference!$A$26, Reference!$C$26, IF(L144=Reference!$A$25, Reference!$C$25, 0))))</f>
        <v>0</v>
      </c>
      <c r="AB144" s="12">
        <f>IF(N144=Reference!$A$36, Reference!$C$36, IF(N144=Reference!$A$35, Reference!$C$35, IF(N144=Reference!$A$34, Reference!$C$34, IF(N144=Reference!$A$33, Reference!$C$33, 0))))</f>
        <v>0</v>
      </c>
      <c r="AC144" s="12">
        <f>(Reference!$B$2*Y144 + Reference!$B$3*AA144 + Reference!$B$4*Z144 + Reference!$B$5 * AB144)/4</f>
        <v>0</v>
      </c>
      <c r="AD144" s="12">
        <f>IF(Q144=Reference!$C$41, Reference!$D$41, IF(Q144=Reference!$C$42, Reference!$D$42, IF(Q144=Reference!$C$43, Reference!$D$43, IF(Q144=Reference!$C$44, Reference!$D$44, 0))))</f>
        <v>0</v>
      </c>
      <c r="AE144" s="12">
        <f t="shared" si="26"/>
        <v>1</v>
      </c>
    </row>
    <row r="145" spans="1:31" ht="13.15">
      <c r="A145" s="8"/>
      <c r="B145" s="9"/>
      <c r="C145" s="9"/>
      <c r="D145" s="10"/>
      <c r="E145" s="10"/>
      <c r="F145" s="9"/>
      <c r="G145" s="9"/>
      <c r="H145" s="9"/>
      <c r="I145" s="9"/>
      <c r="J145" s="9"/>
      <c r="K145" s="9"/>
      <c r="L145" s="9"/>
      <c r="M145" s="9"/>
      <c r="N145" s="9"/>
      <c r="O145" s="9"/>
      <c r="P145" s="11" t="str">
        <f>IF(AC145&gt;=Reference!$H$2, Reference!$G$2, IF(AC145&gt;=Reference!$H$3, Reference!$G$3, IF(AC145&gt;=Reference!$H$4, Reference!$G$4, IF(AC145&gt;=Reference!$H$5, Reference!$G$5, ""))))</f>
        <v/>
      </c>
      <c r="Q145" s="11" t="str">
        <f t="shared" ref="Q145:Q208" si="32">IF(F145="Physical", "Very Low", IF(F145="Local", "Low", IF(F145="Adjacent", "Medium", IF(F145="Network", "High", ""))))</f>
        <v/>
      </c>
      <c r="R145" s="11" t="str">
        <f>IF(AE145&gt;=Reference!$D$2, Reference!$G$2, IF(AE145&gt;=Reference!$D$3, Reference!$E$3, IF(AE145&gt;=Reference!$D$4, Reference!$E$4, IF(AE145&gt;=Reference!$D$5, Reference!$E$5, ""))))</f>
        <v>Low</v>
      </c>
      <c r="S145" s="13"/>
      <c r="T145" s="12"/>
      <c r="U145" s="9"/>
      <c r="V145" s="9"/>
      <c r="W145" s="9"/>
      <c r="Y145" s="12">
        <f>IF(H145=Reference!$A$12, Reference!$C$12, IF(H145=Reference!$A$11, Reference!$C$11, IF(H145=Reference!$A$10, Reference!$C$10, IF(H145=Reference!$A$9, Reference!$C$9, 0))))</f>
        <v>0</v>
      </c>
      <c r="Z145" s="12">
        <f>IF(J145=Reference!$A$20, Reference!$C$20, IF(J145=Reference!$A$19, Reference!$C$19, IF(J145=Reference!$A$18, Reference!$C$18, IF(J145=Reference!$A$17, Reference!$C$17, 0))))</f>
        <v>0</v>
      </c>
      <c r="AA145" s="12">
        <f>IF(L145=Reference!$A$28, Reference!$C$28, IF(L145=Reference!$A$27, Reference!$C$27, IF(L145=Reference!$A$26, Reference!$C$26, IF(L145=Reference!$A$25, Reference!$C$25, 0))))</f>
        <v>0</v>
      </c>
      <c r="AB145" s="12">
        <f>IF(N145=Reference!$A$36, Reference!$C$36, IF(N145=Reference!$A$35, Reference!$C$35, IF(N145=Reference!$A$34, Reference!$C$34, IF(N145=Reference!$A$33, Reference!$C$33, 0))))</f>
        <v>0</v>
      </c>
      <c r="AC145" s="12">
        <f>(Reference!$B$2*Y145 + Reference!$B$3*AA145 + Reference!$B$4*Z145 + Reference!$B$5 * AB145)/4</f>
        <v>0</v>
      </c>
      <c r="AD145" s="12">
        <f>IF(Q145=Reference!$C$41, Reference!$D$41, IF(Q145=Reference!$C$42, Reference!$D$42, IF(Q145=Reference!$C$43, Reference!$D$43, IF(Q145=Reference!$C$44, Reference!$D$44, 0))))</f>
        <v>0</v>
      </c>
      <c r="AE145" s="12">
        <f t="shared" ref="AE145:AE208" si="33">1 + (AC145 * AD145)</f>
        <v>1</v>
      </c>
    </row>
    <row r="146" spans="1:31" ht="13.15">
      <c r="A146" s="8"/>
      <c r="B146" s="9"/>
      <c r="C146" s="9"/>
      <c r="D146" s="10"/>
      <c r="E146" s="27"/>
      <c r="F146" s="9"/>
      <c r="G146" s="9"/>
      <c r="H146" s="9"/>
      <c r="I146" s="9"/>
      <c r="J146" s="9"/>
      <c r="K146" s="19"/>
      <c r="L146" s="9"/>
      <c r="M146" s="19"/>
      <c r="N146" s="9"/>
      <c r="O146" s="19"/>
      <c r="P146" s="11" t="str">
        <f>IF(AC146&gt;=Reference!$H$2, Reference!$G$2, IF(AC146&gt;=Reference!$H$3, Reference!$G$3, IF(AC146&gt;=Reference!$H$4, Reference!$G$4, IF(AC146&gt;=Reference!$H$5, Reference!$G$5, ""))))</f>
        <v/>
      </c>
      <c r="Q146" s="11" t="str">
        <f t="shared" si="32"/>
        <v/>
      </c>
      <c r="R146" s="11" t="str">
        <f>IF(AE146&gt;=Reference!$D$2, Reference!$G$2, IF(AE146&gt;=Reference!$D$3, Reference!$E$3, IF(AE146&gt;=Reference!$D$4, Reference!$E$4, IF(AE146&gt;=Reference!$D$5, Reference!$E$5, ""))))</f>
        <v>Low</v>
      </c>
      <c r="S146" s="13"/>
      <c r="T146" s="12"/>
      <c r="U146" s="9"/>
      <c r="V146" s="9"/>
      <c r="W146" s="9"/>
      <c r="Y146" s="12">
        <f>IF(H146=Reference!$A$12, Reference!$C$12, IF(H146=Reference!$A$11, Reference!$C$11, IF(H146=Reference!$A$10, Reference!$C$10, IF(H146=Reference!$A$9, Reference!$C$9, 0))))</f>
        <v>0</v>
      </c>
      <c r="Z146" s="12">
        <f>IF(J146=Reference!$A$20, Reference!$C$20, IF(J146=Reference!$A$19, Reference!$C$19, IF(J146=Reference!$A$18, Reference!$C$18, IF(J146=Reference!$A$17, Reference!$C$17, 0))))</f>
        <v>0</v>
      </c>
      <c r="AA146" s="12">
        <f>IF(L146=Reference!$A$28, Reference!$C$28, IF(L146=Reference!$A$27, Reference!$C$27, IF(L146=Reference!$A$26, Reference!$C$26, IF(L146=Reference!$A$25, Reference!$C$25, 0))))</f>
        <v>0</v>
      </c>
      <c r="AB146" s="12">
        <f>IF(N146=Reference!$A$36, Reference!$C$36, IF(N146=Reference!$A$35, Reference!$C$35, IF(N146=Reference!$A$34, Reference!$C$34, IF(N146=Reference!$A$33, Reference!$C$33, 0))))</f>
        <v>0</v>
      </c>
      <c r="AC146" s="12">
        <f>(Reference!$B$2*Y146 + Reference!$B$3*AA146 + Reference!$B$4*Z146 + Reference!$B$5 * AB146)/4</f>
        <v>0</v>
      </c>
      <c r="AD146" s="12">
        <f>IF(Q146=Reference!$C$41, Reference!$D$41, IF(Q146=Reference!$C$42, Reference!$D$42, IF(Q146=Reference!$C$43, Reference!$D$43, IF(Q146=Reference!$C$44, Reference!$D$44, 0))))</f>
        <v>0</v>
      </c>
      <c r="AE146" s="12">
        <f t="shared" si="33"/>
        <v>1</v>
      </c>
    </row>
    <row r="147" spans="1:31" ht="13.15">
      <c r="A147" s="8"/>
      <c r="B147" s="9"/>
      <c r="C147" s="9"/>
      <c r="D147" s="10"/>
      <c r="E147" s="10"/>
      <c r="F147" s="9"/>
      <c r="G147" s="9"/>
      <c r="H147" s="9"/>
      <c r="I147" s="9"/>
      <c r="J147" s="9"/>
      <c r="K147" s="19"/>
      <c r="L147" s="9"/>
      <c r="M147" s="9"/>
      <c r="N147" s="9"/>
      <c r="O147" s="9"/>
      <c r="P147" s="11" t="str">
        <f>IF(AC147&gt;=Reference!$H$2, Reference!$G$2, IF(AC147&gt;=Reference!$H$3, Reference!$G$3, IF(AC147&gt;=Reference!$H$4, Reference!$G$4, IF(AC147&gt;=Reference!$H$5, Reference!$G$5, ""))))</f>
        <v/>
      </c>
      <c r="Q147" s="11" t="str">
        <f t="shared" si="32"/>
        <v/>
      </c>
      <c r="R147" s="11" t="str">
        <f>IF(AE147&gt;=Reference!$D$2, Reference!$G$2, IF(AE147&gt;=Reference!$D$3, Reference!$E$3, IF(AE147&gt;=Reference!$D$4, Reference!$E$4, IF(AE147&gt;=Reference!$D$5, Reference!$E$5, ""))))</f>
        <v>Low</v>
      </c>
      <c r="S147" s="13"/>
      <c r="T147" s="12"/>
      <c r="U147" s="9"/>
      <c r="V147" s="9"/>
      <c r="W147" s="9"/>
      <c r="Y147" s="12">
        <f>IF(H147=Reference!$A$12, Reference!$C$12, IF(H147=Reference!$A$11, Reference!$C$11, IF(H147=Reference!$A$10, Reference!$C$10, IF(H147=Reference!$A$9, Reference!$C$9, 0))))</f>
        <v>0</v>
      </c>
      <c r="Z147" s="12">
        <f>IF(J147=Reference!$A$20, Reference!$C$20, IF(J147=Reference!$A$19, Reference!$C$19, IF(J147=Reference!$A$18, Reference!$C$18, IF(J147=Reference!$A$17, Reference!$C$17, 0))))</f>
        <v>0</v>
      </c>
      <c r="AA147" s="12">
        <f>IF(L147=Reference!$A$28, Reference!$C$28, IF(L147=Reference!$A$27, Reference!$C$27, IF(L147=Reference!$A$26, Reference!$C$26, IF(L147=Reference!$A$25, Reference!$C$25, 0))))</f>
        <v>0</v>
      </c>
      <c r="AB147" s="12">
        <f>IF(N147=Reference!$A$36, Reference!$C$36, IF(N147=Reference!$A$35, Reference!$C$35, IF(N147=Reference!$A$34, Reference!$C$34, IF(N147=Reference!$A$33, Reference!$C$33, 0))))</f>
        <v>0</v>
      </c>
      <c r="AC147" s="12">
        <f>(Reference!$B$2*Y147 + Reference!$B$3*AA147 + Reference!$B$4*Z147 + Reference!$B$5 * AB147)/4</f>
        <v>0</v>
      </c>
      <c r="AD147" s="12">
        <f>IF(Q147=Reference!$C$41, Reference!$D$41, IF(Q147=Reference!$C$42, Reference!$D$42, IF(Q147=Reference!$C$43, Reference!$D$43, IF(Q147=Reference!$C$44, Reference!$D$44, 0))))</f>
        <v>0</v>
      </c>
      <c r="AE147" s="12">
        <f t="shared" si="33"/>
        <v>1</v>
      </c>
    </row>
    <row r="148" spans="1:31" ht="13.15">
      <c r="A148" s="8"/>
      <c r="B148" s="9"/>
      <c r="C148" s="9"/>
      <c r="D148" s="10"/>
      <c r="E148" s="10"/>
      <c r="F148" s="9"/>
      <c r="G148" s="9"/>
      <c r="H148" s="9"/>
      <c r="I148" s="9"/>
      <c r="J148" s="9"/>
      <c r="K148" s="19"/>
      <c r="L148" s="9"/>
      <c r="M148" s="19"/>
      <c r="N148" s="9"/>
      <c r="O148" s="9"/>
      <c r="P148" s="11" t="str">
        <f>IF(AC148&gt;=Reference!$H$2, Reference!$G$2, IF(AC148&gt;=Reference!$H$3, Reference!$G$3, IF(AC148&gt;=Reference!$H$4, Reference!$G$4, IF(AC148&gt;=Reference!$H$5, Reference!$G$5, ""))))</f>
        <v/>
      </c>
      <c r="Q148" s="11" t="str">
        <f t="shared" si="32"/>
        <v/>
      </c>
      <c r="R148" s="11" t="str">
        <f>IF(AE148&gt;=Reference!$D$2, Reference!$G$2, IF(AE148&gt;=Reference!$D$3, Reference!$E$3, IF(AE148&gt;=Reference!$D$4, Reference!$E$4, IF(AE148&gt;=Reference!$D$5, Reference!$E$5, ""))))</f>
        <v>Low</v>
      </c>
      <c r="S148" s="13"/>
      <c r="T148" s="12"/>
      <c r="U148" s="9"/>
      <c r="V148" s="9"/>
      <c r="W148" s="9"/>
      <c r="Y148" s="12">
        <f>IF(H148=Reference!$A$12, Reference!$C$12, IF(H148=Reference!$A$11, Reference!$C$11, IF(H148=Reference!$A$10, Reference!$C$10, IF(H148=Reference!$A$9, Reference!$C$9, 0))))</f>
        <v>0</v>
      </c>
      <c r="Z148" s="12">
        <f>IF(J148=Reference!$A$20, Reference!$C$20, IF(J148=Reference!$A$19, Reference!$C$19, IF(J148=Reference!$A$18, Reference!$C$18, IF(J148=Reference!$A$17, Reference!$C$17, 0))))</f>
        <v>0</v>
      </c>
      <c r="AA148" s="12">
        <f>IF(L148=Reference!$A$28, Reference!$C$28, IF(L148=Reference!$A$27, Reference!$C$27, IF(L148=Reference!$A$26, Reference!$C$26, IF(L148=Reference!$A$25, Reference!$C$25, 0))))</f>
        <v>0</v>
      </c>
      <c r="AB148" s="12">
        <f>IF(N148=Reference!$A$36, Reference!$C$36, IF(N148=Reference!$A$35, Reference!$C$35, IF(N148=Reference!$A$34, Reference!$C$34, IF(N148=Reference!$A$33, Reference!$C$33, 0))))</f>
        <v>0</v>
      </c>
      <c r="AC148" s="12">
        <f>(Reference!$B$2*Y148 + Reference!$B$3*AA148 + Reference!$B$4*Z148 + Reference!$B$5 * AB148)/4</f>
        <v>0</v>
      </c>
      <c r="AD148" s="12">
        <f>IF(Q148=Reference!$C$41, Reference!$D$41, IF(Q148=Reference!$C$42, Reference!$D$42, IF(Q148=Reference!$C$43, Reference!$D$43, IF(Q148=Reference!$C$44, Reference!$D$44, 0))))</f>
        <v>0</v>
      </c>
      <c r="AE148" s="12">
        <f t="shared" si="33"/>
        <v>1</v>
      </c>
    </row>
    <row r="149" spans="1:31" ht="13.15">
      <c r="A149" s="8"/>
      <c r="B149" s="9"/>
      <c r="C149" s="9"/>
      <c r="D149" s="10"/>
      <c r="E149" s="10"/>
      <c r="F149" s="9"/>
      <c r="G149" s="9"/>
      <c r="H149" s="9"/>
      <c r="I149" s="19"/>
      <c r="J149" s="9"/>
      <c r="K149" s="19"/>
      <c r="L149" s="9"/>
      <c r="M149" s="9"/>
      <c r="N149" s="9"/>
      <c r="O149" s="9"/>
      <c r="P149" s="11" t="str">
        <f>IF(AC149&gt;=Reference!$H$2, Reference!$G$2, IF(AC149&gt;=Reference!$H$3, Reference!$G$3, IF(AC149&gt;=Reference!$H$4, Reference!$G$4, IF(AC149&gt;=Reference!$H$5, Reference!$G$5, ""))))</f>
        <v/>
      </c>
      <c r="Q149" s="11" t="str">
        <f t="shared" si="32"/>
        <v/>
      </c>
      <c r="R149" s="11" t="str">
        <f>IF(AE149&gt;=Reference!$D$2, Reference!$G$2, IF(AE149&gt;=Reference!$D$3, Reference!$E$3, IF(AE149&gt;=Reference!$D$4, Reference!$E$4, IF(AE149&gt;=Reference!$D$5, Reference!$E$5, ""))))</f>
        <v>Low</v>
      </c>
      <c r="S149" s="13"/>
      <c r="T149" s="12"/>
      <c r="U149" s="9"/>
      <c r="V149" s="19"/>
      <c r="W149" s="9"/>
      <c r="Y149" s="12">
        <f>IF(H149=Reference!$A$12, Reference!$C$12, IF(H149=Reference!$A$11, Reference!$C$11, IF(H149=Reference!$A$10, Reference!$C$10, IF(H149=Reference!$A$9, Reference!$C$9, 0))))</f>
        <v>0</v>
      </c>
      <c r="Z149" s="12">
        <f>IF(J149=Reference!$A$20, Reference!$C$20, IF(J149=Reference!$A$19, Reference!$C$19, IF(J149=Reference!$A$18, Reference!$C$18, IF(J149=Reference!$A$17, Reference!$C$17, 0))))</f>
        <v>0</v>
      </c>
      <c r="AA149" s="12">
        <f>IF(L149=Reference!$A$28, Reference!$C$28, IF(L149=Reference!$A$27, Reference!$C$27, IF(L149=Reference!$A$26, Reference!$C$26, IF(L149=Reference!$A$25, Reference!$C$25, 0))))</f>
        <v>0</v>
      </c>
      <c r="AB149" s="12">
        <f>IF(N149=Reference!$A$36, Reference!$C$36, IF(N149=Reference!$A$35, Reference!$C$35, IF(N149=Reference!$A$34, Reference!$C$34, IF(N149=Reference!$A$33, Reference!$C$33, 0))))</f>
        <v>0</v>
      </c>
      <c r="AC149" s="12">
        <f>(Reference!$B$2*Y149 + Reference!$B$3*AA149 + Reference!$B$4*Z149 + Reference!$B$5 * AB149)/4</f>
        <v>0</v>
      </c>
      <c r="AD149" s="12">
        <f>IF(Q149=Reference!$C$41, Reference!$D$41, IF(Q149=Reference!$C$42, Reference!$D$42, IF(Q149=Reference!$C$43, Reference!$D$43, IF(Q149=Reference!$C$44, Reference!$D$44, 0))))</f>
        <v>0</v>
      </c>
      <c r="AE149" s="12">
        <f t="shared" si="33"/>
        <v>1</v>
      </c>
    </row>
    <row r="150" spans="1:31" ht="13.15">
      <c r="A150" s="8"/>
      <c r="B150" s="9"/>
      <c r="C150" s="9"/>
      <c r="D150" s="10"/>
      <c r="E150" s="27"/>
      <c r="F150" s="9"/>
      <c r="G150" s="9"/>
      <c r="H150" s="9"/>
      <c r="J150" s="9"/>
      <c r="K150" s="19"/>
      <c r="L150" s="9"/>
      <c r="M150" s="19"/>
      <c r="N150" s="9"/>
      <c r="O150" s="19"/>
      <c r="P150" s="11" t="str">
        <f>IF(AC150&gt;=Reference!$H$2, Reference!$G$2, IF(AC150&gt;=Reference!$H$3, Reference!$G$3, IF(AC150&gt;=Reference!$H$4, Reference!$G$4, IF(AC150&gt;=Reference!$H$5, Reference!$G$5, ""))))</f>
        <v/>
      </c>
      <c r="Q150" s="11" t="str">
        <f t="shared" si="32"/>
        <v/>
      </c>
      <c r="R150" s="11" t="str">
        <f>IF(AE150&gt;=Reference!$D$2, Reference!$G$2, IF(AE150&gt;=Reference!$D$3, Reference!$E$3, IF(AE150&gt;=Reference!$D$4, Reference!$E$4, IF(AE150&gt;=Reference!$D$5, Reference!$E$5, ""))))</f>
        <v>Low</v>
      </c>
      <c r="S150" s="13"/>
      <c r="T150" s="12"/>
      <c r="U150" s="9"/>
      <c r="V150" s="9"/>
      <c r="W150" s="9"/>
      <c r="Y150" s="12">
        <f>IF(H150=Reference!$A$12, Reference!$C$12, IF(H150=Reference!$A$11, Reference!$C$11, IF(H150=Reference!$A$10, Reference!$C$10, IF(H150=Reference!$A$9, Reference!$C$9, 0))))</f>
        <v>0</v>
      </c>
      <c r="Z150" s="12">
        <f>IF(J150=Reference!$A$20, Reference!$C$20, IF(J150=Reference!$A$19, Reference!$C$19, IF(J150=Reference!$A$18, Reference!$C$18, IF(J150=Reference!$A$17, Reference!$C$17, 0))))</f>
        <v>0</v>
      </c>
      <c r="AA150" s="12">
        <f>IF(L150=Reference!$A$28, Reference!$C$28, IF(L150=Reference!$A$27, Reference!$C$27, IF(L150=Reference!$A$26, Reference!$C$26, IF(L150=Reference!$A$25, Reference!$C$25, 0))))</f>
        <v>0</v>
      </c>
      <c r="AB150" s="12">
        <f>IF(N150=Reference!$A$36, Reference!$C$36, IF(N150=Reference!$A$35, Reference!$C$35, IF(N150=Reference!$A$34, Reference!$C$34, IF(N150=Reference!$A$33, Reference!$C$33, 0))))</f>
        <v>0</v>
      </c>
      <c r="AC150" s="12">
        <f>(Reference!$B$2*Y150 + Reference!$B$3*AA150 + Reference!$B$4*Z150 + Reference!$B$5 * AB150)/4</f>
        <v>0</v>
      </c>
      <c r="AD150" s="12">
        <f>IF(Q150=Reference!$C$41, Reference!$D$41, IF(Q150=Reference!$C$42, Reference!$D$42, IF(Q150=Reference!$C$43, Reference!$D$43, IF(Q150=Reference!$C$44, Reference!$D$44, 0))))</f>
        <v>0</v>
      </c>
      <c r="AE150" s="12">
        <f t="shared" si="33"/>
        <v>1</v>
      </c>
    </row>
    <row r="151" spans="1:31" ht="13.15">
      <c r="A151" s="8"/>
      <c r="B151" s="9"/>
      <c r="C151" s="9"/>
      <c r="D151" s="10"/>
      <c r="E151" s="10"/>
      <c r="F151" s="9"/>
      <c r="G151" s="9"/>
      <c r="H151" s="9"/>
      <c r="I151" s="9"/>
      <c r="J151" s="9"/>
      <c r="K151" s="9"/>
      <c r="L151" s="9"/>
      <c r="M151" s="9"/>
      <c r="N151" s="9"/>
      <c r="O151" s="9"/>
      <c r="P151" s="11" t="str">
        <f>IF(AC151&gt;=Reference!$H$2, Reference!$G$2, IF(AC151&gt;=Reference!$H$3, Reference!$G$3, IF(AC151&gt;=Reference!$H$4, Reference!$G$4, IF(AC151&gt;=Reference!$H$5, Reference!$G$5, ""))))</f>
        <v/>
      </c>
      <c r="Q151" s="11" t="str">
        <f t="shared" si="32"/>
        <v/>
      </c>
      <c r="R151" s="11" t="str">
        <f>IF(AE151&gt;=Reference!$D$2, Reference!$G$2, IF(AE151&gt;=Reference!$D$3, Reference!$E$3, IF(AE151&gt;=Reference!$D$4, Reference!$E$4, IF(AE151&gt;=Reference!$D$5, Reference!$E$5, ""))))</f>
        <v>Low</v>
      </c>
      <c r="S151" s="13"/>
      <c r="T151" s="12"/>
      <c r="U151" s="9"/>
      <c r="V151" s="9"/>
      <c r="W151" s="9"/>
      <c r="Y151" s="12">
        <f>IF(H151=Reference!$A$12, Reference!$C$12, IF(H151=Reference!$A$11, Reference!$C$11, IF(H151=Reference!$A$10, Reference!$C$10, IF(H151=Reference!$A$9, Reference!$C$9, 0))))</f>
        <v>0</v>
      </c>
      <c r="Z151" s="12">
        <f>IF(J151=Reference!$A$20, Reference!$C$20, IF(J151=Reference!$A$19, Reference!$C$19, IF(J151=Reference!$A$18, Reference!$C$18, IF(J151=Reference!$A$17, Reference!$C$17, 0))))</f>
        <v>0</v>
      </c>
      <c r="AA151" s="12">
        <f>IF(L151=Reference!$A$28, Reference!$C$28, IF(L151=Reference!$A$27, Reference!$C$27, IF(L151=Reference!$A$26, Reference!$C$26, IF(L151=Reference!$A$25, Reference!$C$25, 0))))</f>
        <v>0</v>
      </c>
      <c r="AB151" s="12">
        <f>IF(N151=Reference!$A$36, Reference!$C$36, IF(N151=Reference!$A$35, Reference!$C$35, IF(N151=Reference!$A$34, Reference!$C$34, IF(N151=Reference!$A$33, Reference!$C$33, 0))))</f>
        <v>0</v>
      </c>
      <c r="AC151" s="12">
        <f>(Reference!$B$2*Y151 + Reference!$B$3*AA151 + Reference!$B$4*Z151 + Reference!$B$5 * AB151)/4</f>
        <v>0</v>
      </c>
      <c r="AD151" s="12">
        <f>IF(Q151=Reference!$C$41, Reference!$D$41, IF(Q151=Reference!$C$42, Reference!$D$42, IF(Q151=Reference!$C$43, Reference!$D$43, IF(Q151=Reference!$C$44, Reference!$D$44, 0))))</f>
        <v>0</v>
      </c>
      <c r="AE151" s="12">
        <f t="shared" si="33"/>
        <v>1</v>
      </c>
    </row>
    <row r="152" spans="1:31" ht="13.15">
      <c r="A152" s="8"/>
      <c r="B152" s="9"/>
      <c r="C152" s="9"/>
      <c r="D152" s="10"/>
      <c r="E152" s="10"/>
      <c r="F152" s="9"/>
      <c r="H152" s="9"/>
      <c r="I152" s="9"/>
      <c r="J152" s="9"/>
      <c r="K152" s="9"/>
      <c r="L152" s="9"/>
      <c r="M152" s="9"/>
      <c r="N152" s="9"/>
      <c r="O152" s="9"/>
      <c r="P152" s="11" t="str">
        <f>IF(AC152&gt;=Reference!$H$2, Reference!$G$2, IF(AC152&gt;=Reference!$H$3, Reference!$G$3, IF(AC152&gt;=Reference!$H$4, Reference!$G$4, IF(AC152&gt;=Reference!$H$5, Reference!$G$5, ""))))</f>
        <v/>
      </c>
      <c r="Q152" s="11" t="str">
        <f t="shared" si="32"/>
        <v/>
      </c>
      <c r="R152" s="11" t="str">
        <f>IF(AE152&gt;=Reference!$D$2, Reference!$G$2, IF(AE152&gt;=Reference!$D$3, Reference!$E$3, IF(AE152&gt;=Reference!$D$4, Reference!$E$4, IF(AE152&gt;=Reference!$D$5, Reference!$E$5, ""))))</f>
        <v>Low</v>
      </c>
      <c r="S152" s="13"/>
      <c r="T152" s="12"/>
      <c r="U152" s="9"/>
      <c r="V152" s="9"/>
      <c r="W152" s="9"/>
      <c r="Y152" s="12">
        <f>IF(H152=Reference!$A$12, Reference!$C$12, IF(H152=Reference!$A$11, Reference!$C$11, IF(H152=Reference!$A$10, Reference!$C$10, IF(H152=Reference!$A$9, Reference!$C$9, 0))))</f>
        <v>0</v>
      </c>
      <c r="Z152" s="12">
        <f>IF(J152=Reference!$A$20, Reference!$C$20, IF(J152=Reference!$A$19, Reference!$C$19, IF(J152=Reference!$A$18, Reference!$C$18, IF(J152=Reference!$A$17, Reference!$C$17, 0))))</f>
        <v>0</v>
      </c>
      <c r="AA152" s="12">
        <f>IF(L152=Reference!$A$28, Reference!$C$28, IF(L152=Reference!$A$27, Reference!$C$27, IF(L152=Reference!$A$26, Reference!$C$26, IF(L152=Reference!$A$25, Reference!$C$25, 0))))</f>
        <v>0</v>
      </c>
      <c r="AB152" s="12">
        <f>IF(N152=Reference!$A$36, Reference!$C$36, IF(N152=Reference!$A$35, Reference!$C$35, IF(N152=Reference!$A$34, Reference!$C$34, IF(N152=Reference!$A$33, Reference!$C$33, 0))))</f>
        <v>0</v>
      </c>
      <c r="AC152" s="12">
        <f>(Reference!$B$2*Y152 + Reference!$B$3*AA152 + Reference!$B$4*Z152 + Reference!$B$5 * AB152)/4</f>
        <v>0</v>
      </c>
      <c r="AD152" s="12">
        <f>IF(Q152=Reference!$C$41, Reference!$D$41, IF(Q152=Reference!$C$42, Reference!$D$42, IF(Q152=Reference!$C$43, Reference!$D$43, IF(Q152=Reference!$C$44, Reference!$D$44, 0))))</f>
        <v>0</v>
      </c>
      <c r="AE152" s="12">
        <f t="shared" si="33"/>
        <v>1</v>
      </c>
    </row>
    <row r="153" spans="1:31" ht="13.15">
      <c r="A153" s="8"/>
      <c r="B153" s="9"/>
      <c r="C153" s="9"/>
      <c r="D153" s="10"/>
      <c r="E153" s="10"/>
      <c r="F153" s="9"/>
      <c r="G153" s="9"/>
      <c r="H153" s="9"/>
      <c r="I153" s="9"/>
      <c r="J153" s="9"/>
      <c r="K153" s="9"/>
      <c r="L153" s="9"/>
      <c r="M153" s="9"/>
      <c r="N153" s="9"/>
      <c r="O153" s="9"/>
      <c r="P153" s="11" t="str">
        <f>IF(AC153&gt;=Reference!$H$2, Reference!$G$2, IF(AC153&gt;=Reference!$H$3, Reference!$G$3, IF(AC153&gt;=Reference!$H$4, Reference!$G$4, IF(AC153&gt;=Reference!$H$5, Reference!$G$5, ""))))</f>
        <v/>
      </c>
      <c r="Q153" s="11" t="str">
        <f t="shared" si="32"/>
        <v/>
      </c>
      <c r="R153" s="11" t="str">
        <f>IF(AE153&gt;=Reference!$D$2, Reference!$G$2, IF(AE153&gt;=Reference!$D$3, Reference!$E$3, IF(AE153&gt;=Reference!$D$4, Reference!$E$4, IF(AE153&gt;=Reference!$D$5, Reference!$E$5, ""))))</f>
        <v>Low</v>
      </c>
      <c r="S153" s="13"/>
      <c r="T153" s="12"/>
      <c r="U153" s="9"/>
      <c r="V153" s="9"/>
      <c r="W153" s="9"/>
      <c r="Y153" s="12">
        <f>IF(H153=Reference!$A$12, Reference!$C$12, IF(H153=Reference!$A$11, Reference!$C$11, IF(H153=Reference!$A$10, Reference!$C$10, IF(H153=Reference!$A$9, Reference!$C$9, 0))))</f>
        <v>0</v>
      </c>
      <c r="Z153" s="12">
        <f>IF(J153=Reference!$A$20, Reference!$C$20, IF(J153=Reference!$A$19, Reference!$C$19, IF(J153=Reference!$A$18, Reference!$C$18, IF(J153=Reference!$A$17, Reference!$C$17, 0))))</f>
        <v>0</v>
      </c>
      <c r="AA153" s="12">
        <f>IF(L153=Reference!$A$28, Reference!$C$28, IF(L153=Reference!$A$27, Reference!$C$27, IF(L153=Reference!$A$26, Reference!$C$26, IF(L153=Reference!$A$25, Reference!$C$25, 0))))</f>
        <v>0</v>
      </c>
      <c r="AB153" s="12">
        <f>IF(N153=Reference!$A$36, Reference!$C$36, IF(N153=Reference!$A$35, Reference!$C$35, IF(N153=Reference!$A$34, Reference!$C$34, IF(N153=Reference!$A$33, Reference!$C$33, 0))))</f>
        <v>0</v>
      </c>
      <c r="AC153" s="12">
        <f>(Reference!$B$2*Y153 + Reference!$B$3*AA153 + Reference!$B$4*Z153 + Reference!$B$5 * AB153)/4</f>
        <v>0</v>
      </c>
      <c r="AD153" s="12">
        <f>IF(Q153=Reference!$C$41, Reference!$D$41, IF(Q153=Reference!$C$42, Reference!$D$42, IF(Q153=Reference!$C$43, Reference!$D$43, IF(Q153=Reference!$C$44, Reference!$D$44, 0))))</f>
        <v>0</v>
      </c>
      <c r="AE153" s="12">
        <f t="shared" si="33"/>
        <v>1</v>
      </c>
    </row>
    <row r="154" spans="1:31" ht="13.15">
      <c r="A154" s="8"/>
      <c r="B154" s="9"/>
      <c r="C154" s="9"/>
      <c r="D154" s="10"/>
      <c r="E154" s="10"/>
      <c r="F154" s="9"/>
      <c r="G154" s="9"/>
      <c r="H154" s="9"/>
      <c r="I154" s="9"/>
      <c r="J154" s="9"/>
      <c r="K154" s="9"/>
      <c r="L154" s="9"/>
      <c r="M154" s="9"/>
      <c r="N154" s="9"/>
      <c r="O154" s="9"/>
      <c r="P154" s="11" t="str">
        <f>IF(AC154&gt;=Reference!$H$2, Reference!$G$2, IF(AC154&gt;=Reference!$H$3, Reference!$G$3, IF(AC154&gt;=Reference!$H$4, Reference!$G$4, IF(AC154&gt;=Reference!$H$5, Reference!$G$5, ""))))</f>
        <v/>
      </c>
      <c r="Q154" s="11" t="str">
        <f t="shared" si="32"/>
        <v/>
      </c>
      <c r="R154" s="11" t="str">
        <f>IF(AE154&gt;=Reference!$D$2, Reference!$G$2, IF(AE154&gt;=Reference!$D$3, Reference!$E$3, IF(AE154&gt;=Reference!$D$4, Reference!$E$4, IF(AE154&gt;=Reference!$D$5, Reference!$E$5, ""))))</f>
        <v>Low</v>
      </c>
      <c r="S154" s="13"/>
      <c r="T154" s="12"/>
      <c r="U154" s="9"/>
      <c r="V154" s="9"/>
      <c r="W154" s="9"/>
      <c r="Y154" s="12">
        <f>IF(H154=Reference!$A$12, Reference!$C$12, IF(H154=Reference!$A$11, Reference!$C$11, IF(H154=Reference!$A$10, Reference!$C$10, IF(H154=Reference!$A$9, Reference!$C$9, 0))))</f>
        <v>0</v>
      </c>
      <c r="Z154" s="12">
        <f>IF(J154=Reference!$A$20, Reference!$C$20, IF(J154=Reference!$A$19, Reference!$C$19, IF(J154=Reference!$A$18, Reference!$C$18, IF(J154=Reference!$A$17, Reference!$C$17, 0))))</f>
        <v>0</v>
      </c>
      <c r="AA154" s="12">
        <f>IF(L154=Reference!$A$28, Reference!$C$28, IF(L154=Reference!$A$27, Reference!$C$27, IF(L154=Reference!$A$26, Reference!$C$26, IF(L154=Reference!$A$25, Reference!$C$25, 0))))</f>
        <v>0</v>
      </c>
      <c r="AB154" s="12">
        <f>IF(N154=Reference!$A$36, Reference!$C$36, IF(N154=Reference!$A$35, Reference!$C$35, IF(N154=Reference!$A$34, Reference!$C$34, IF(N154=Reference!$A$33, Reference!$C$33, 0))))</f>
        <v>0</v>
      </c>
      <c r="AC154" s="12">
        <f>(Reference!$B$2*Y154 + Reference!$B$3*AA154 + Reference!$B$4*Z154 + Reference!$B$5 * AB154)/4</f>
        <v>0</v>
      </c>
      <c r="AD154" s="12">
        <f>IF(Q154=Reference!$C$41, Reference!$D$41, IF(Q154=Reference!$C$42, Reference!$D$42, IF(Q154=Reference!$C$43, Reference!$D$43, IF(Q154=Reference!$C$44, Reference!$D$44, 0))))</f>
        <v>0</v>
      </c>
      <c r="AE154" s="12">
        <f t="shared" si="33"/>
        <v>1</v>
      </c>
    </row>
    <row r="155" spans="1:31" ht="14.45">
      <c r="A155" s="8"/>
      <c r="B155" s="9"/>
      <c r="C155" s="9"/>
      <c r="D155" s="10"/>
      <c r="E155" s="10"/>
      <c r="F155" s="9"/>
      <c r="G155" s="28"/>
      <c r="H155" s="9"/>
      <c r="I155" s="9"/>
      <c r="J155" s="9"/>
      <c r="K155" s="9"/>
      <c r="L155" s="9"/>
      <c r="M155" s="9"/>
      <c r="N155" s="9"/>
      <c r="O155" s="9"/>
      <c r="P155" s="11" t="str">
        <f>IF(AC155&gt;=Reference!$H$2, Reference!$G$2, IF(AC155&gt;=Reference!$H$3, Reference!$G$3, IF(AC155&gt;=Reference!$H$4, Reference!$G$4, IF(AC155&gt;=Reference!$H$5, Reference!$G$5, ""))))</f>
        <v/>
      </c>
      <c r="Q155" s="11" t="str">
        <f t="shared" si="32"/>
        <v/>
      </c>
      <c r="R155" s="11" t="str">
        <f>IF(AE155&gt;=Reference!$D$2, Reference!$G$2, IF(AE155&gt;=Reference!$D$3, Reference!$E$3, IF(AE155&gt;=Reference!$D$4, Reference!$E$4, IF(AE155&gt;=Reference!$D$5, Reference!$E$5, ""))))</f>
        <v>Low</v>
      </c>
      <c r="S155" s="13"/>
      <c r="T155" s="28"/>
      <c r="U155" s="9"/>
      <c r="V155" s="9"/>
      <c r="W155" s="9"/>
      <c r="Y155" s="12">
        <f>IF(H155=Reference!$A$12, Reference!$C$12, IF(H155=Reference!$A$11, Reference!$C$11, IF(H155=Reference!$A$10, Reference!$C$10, IF(H155=Reference!$A$9, Reference!$C$9, 0))))</f>
        <v>0</v>
      </c>
      <c r="Z155" s="12">
        <f>IF(J155=Reference!$A$20, Reference!$C$20, IF(J155=Reference!$A$19, Reference!$C$19, IF(J155=Reference!$A$18, Reference!$C$18, IF(J155=Reference!$A$17, Reference!$C$17, 0))))</f>
        <v>0</v>
      </c>
      <c r="AA155" s="12">
        <f>IF(L155=Reference!$A$28, Reference!$C$28, IF(L155=Reference!$A$27, Reference!$C$27, IF(L155=Reference!$A$26, Reference!$C$26, IF(L155=Reference!$A$25, Reference!$C$25, 0))))</f>
        <v>0</v>
      </c>
      <c r="AB155" s="12">
        <f>IF(N155=Reference!$A$36, Reference!$C$36, IF(N155=Reference!$A$35, Reference!$C$35, IF(N155=Reference!$A$34, Reference!$C$34, IF(N155=Reference!$A$33, Reference!$C$33, 0))))</f>
        <v>0</v>
      </c>
      <c r="AC155" s="12">
        <f>(Reference!$B$2*Y155 + Reference!$B$3*AA155 + Reference!$B$4*Z155 + Reference!$B$5 * AB155)/4</f>
        <v>0</v>
      </c>
      <c r="AD155" s="12">
        <f>IF(Q155=Reference!$C$41, Reference!$D$41, IF(Q155=Reference!$C$42, Reference!$D$42, IF(Q155=Reference!$C$43, Reference!$D$43, IF(Q155=Reference!$C$44, Reference!$D$44, 0))))</f>
        <v>0</v>
      </c>
      <c r="AE155" s="12">
        <f t="shared" si="33"/>
        <v>1</v>
      </c>
    </row>
    <row r="156" spans="1:31" ht="13.15">
      <c r="A156" s="8"/>
      <c r="B156" s="9"/>
      <c r="C156" s="9"/>
      <c r="D156" s="10"/>
      <c r="E156" s="10"/>
      <c r="F156" s="9"/>
      <c r="G156" s="9"/>
      <c r="H156" s="9"/>
      <c r="I156" s="9"/>
      <c r="J156" s="9"/>
      <c r="K156" s="19"/>
      <c r="L156" s="9"/>
      <c r="M156" s="9"/>
      <c r="N156" s="9"/>
      <c r="O156" s="9"/>
      <c r="P156" s="11" t="str">
        <f>IF(AC156&gt;=Reference!$H$2, Reference!$G$2, IF(AC156&gt;=Reference!$H$3, Reference!$G$3, IF(AC156&gt;=Reference!$H$4, Reference!$G$4, IF(AC156&gt;=Reference!$H$5, Reference!$G$5, ""))))</f>
        <v/>
      </c>
      <c r="Q156" s="11" t="str">
        <f t="shared" si="32"/>
        <v/>
      </c>
      <c r="R156" s="11" t="str">
        <f>IF(AE156&gt;=Reference!$D$2, Reference!$G$2, IF(AE156&gt;=Reference!$D$3, Reference!$E$3, IF(AE156&gt;=Reference!$D$4, Reference!$E$4, IF(AE156&gt;=Reference!$D$5, Reference!$E$5, ""))))</f>
        <v>Low</v>
      </c>
      <c r="S156" s="13"/>
      <c r="T156" s="12"/>
      <c r="U156" s="9"/>
      <c r="V156" s="9"/>
      <c r="W156" s="9"/>
      <c r="Y156" s="12">
        <f>IF(H156=Reference!$A$12, Reference!$C$12, IF(H156=Reference!$A$11, Reference!$C$11, IF(H156=Reference!$A$10, Reference!$C$10, IF(H156=Reference!$A$9, Reference!$C$9, 0))))</f>
        <v>0</v>
      </c>
      <c r="Z156" s="12">
        <f>IF(J156=Reference!$A$20, Reference!$C$20, IF(J156=Reference!$A$19, Reference!$C$19, IF(J156=Reference!$A$18, Reference!$C$18, IF(J156=Reference!$A$17, Reference!$C$17, 0))))</f>
        <v>0</v>
      </c>
      <c r="AA156" s="12">
        <f>IF(L156=Reference!$A$28, Reference!$C$28, IF(L156=Reference!$A$27, Reference!$C$27, IF(L156=Reference!$A$26, Reference!$C$26, IF(L156=Reference!$A$25, Reference!$C$25, 0))))</f>
        <v>0</v>
      </c>
      <c r="AB156" s="12">
        <f>IF(N156=Reference!$A$36, Reference!$C$36, IF(N156=Reference!$A$35, Reference!$C$35, IF(N156=Reference!$A$34, Reference!$C$34, IF(N156=Reference!$A$33, Reference!$C$33, 0))))</f>
        <v>0</v>
      </c>
      <c r="AC156" s="12">
        <f>(Reference!$B$2*Y156 + Reference!$B$3*AA156 + Reference!$B$4*Z156 + Reference!$B$5 * AB156)/4</f>
        <v>0</v>
      </c>
      <c r="AD156" s="12">
        <f>IF(Q156=Reference!$C$41, Reference!$D$41, IF(Q156=Reference!$C$42, Reference!$D$42, IF(Q156=Reference!$C$43, Reference!$D$43, IF(Q156=Reference!$C$44, Reference!$D$44, 0))))</f>
        <v>0</v>
      </c>
      <c r="AE156" s="12">
        <f t="shared" si="33"/>
        <v>1</v>
      </c>
    </row>
    <row r="157" spans="1:31" ht="13.15">
      <c r="A157" s="8"/>
      <c r="B157" s="9"/>
      <c r="C157" s="9"/>
      <c r="D157" s="10"/>
      <c r="E157" s="10"/>
      <c r="F157" s="9"/>
      <c r="G157" s="9"/>
      <c r="H157" s="9"/>
      <c r="I157" s="9"/>
      <c r="J157" s="9"/>
      <c r="K157" s="19"/>
      <c r="L157" s="9"/>
      <c r="M157" s="9"/>
      <c r="N157" s="9"/>
      <c r="O157" s="9"/>
      <c r="P157" s="11" t="str">
        <f>IF(AC157&gt;=Reference!$H$2, Reference!$G$2, IF(AC157&gt;=Reference!$H$3, Reference!$G$3, IF(AC157&gt;=Reference!$H$4, Reference!$G$4, IF(AC157&gt;=Reference!$H$5, Reference!$G$5, ""))))</f>
        <v/>
      </c>
      <c r="Q157" s="11" t="str">
        <f t="shared" si="32"/>
        <v/>
      </c>
      <c r="R157" s="11" t="str">
        <f>IF(AE157&gt;=Reference!$D$2, Reference!$G$2, IF(AE157&gt;=Reference!$D$3, Reference!$E$3, IF(AE157&gt;=Reference!$D$4, Reference!$E$4, IF(AE157&gt;=Reference!$D$5, Reference!$E$5, ""))))</f>
        <v>Low</v>
      </c>
      <c r="S157" s="13"/>
      <c r="T157" s="12"/>
      <c r="U157" s="9"/>
      <c r="V157" s="9"/>
      <c r="W157" s="9"/>
      <c r="Y157" s="12">
        <f>IF(H157=Reference!$A$12, Reference!$C$12, IF(H157=Reference!$A$11, Reference!$C$11, IF(H157=Reference!$A$10, Reference!$C$10, IF(H157=Reference!$A$9, Reference!$C$9, 0))))</f>
        <v>0</v>
      </c>
      <c r="Z157" s="12">
        <f>IF(J157=Reference!$A$20, Reference!$C$20, IF(J157=Reference!$A$19, Reference!$C$19, IF(J157=Reference!$A$18, Reference!$C$18, IF(J157=Reference!$A$17, Reference!$C$17, 0))))</f>
        <v>0</v>
      </c>
      <c r="AA157" s="12">
        <f>IF(L157=Reference!$A$28, Reference!$C$28, IF(L157=Reference!$A$27, Reference!$C$27, IF(L157=Reference!$A$26, Reference!$C$26, IF(L157=Reference!$A$25, Reference!$C$25, 0))))</f>
        <v>0</v>
      </c>
      <c r="AB157" s="12">
        <f>IF(N157=Reference!$A$36, Reference!$C$36, IF(N157=Reference!$A$35, Reference!$C$35, IF(N157=Reference!$A$34, Reference!$C$34, IF(N157=Reference!$A$33, Reference!$C$33, 0))))</f>
        <v>0</v>
      </c>
      <c r="AC157" s="12">
        <f>(Reference!$B$2*Y157 + Reference!$B$3*AA157 + Reference!$B$4*Z157 + Reference!$B$5 * AB157)/4</f>
        <v>0</v>
      </c>
      <c r="AD157" s="12">
        <f>IF(Q157=Reference!$C$41, Reference!$D$41, IF(Q157=Reference!$C$42, Reference!$D$42, IF(Q157=Reference!$C$43, Reference!$D$43, IF(Q157=Reference!$C$44, Reference!$D$44, 0))))</f>
        <v>0</v>
      </c>
      <c r="AE157" s="12">
        <f t="shared" si="33"/>
        <v>1</v>
      </c>
    </row>
    <row r="158" spans="1:31" ht="13.15">
      <c r="A158" s="8"/>
      <c r="B158" s="9"/>
      <c r="C158" s="9"/>
      <c r="D158" s="10"/>
      <c r="E158" s="10"/>
      <c r="F158" s="9"/>
      <c r="G158" s="9"/>
      <c r="H158" s="9"/>
      <c r="I158" s="9"/>
      <c r="J158" s="9"/>
      <c r="K158" s="9"/>
      <c r="L158" s="9"/>
      <c r="M158" s="9"/>
      <c r="N158" s="9"/>
      <c r="O158" s="9"/>
      <c r="P158" s="11" t="str">
        <f>IF(AC158&gt;=Reference!$H$2, Reference!$G$2, IF(AC158&gt;=Reference!$H$3, Reference!$G$3, IF(AC158&gt;=Reference!$H$4, Reference!$G$4, IF(AC158&gt;=Reference!$H$5, Reference!$G$5, ""))))</f>
        <v/>
      </c>
      <c r="Q158" s="11" t="str">
        <f t="shared" si="32"/>
        <v/>
      </c>
      <c r="R158" s="11" t="str">
        <f>IF(AE158&gt;=Reference!$D$2, Reference!$G$2, IF(AE158&gt;=Reference!$D$3, Reference!$E$3, IF(AE158&gt;=Reference!$D$4, Reference!$E$4, IF(AE158&gt;=Reference!$D$5, Reference!$E$5, ""))))</f>
        <v>Low</v>
      </c>
      <c r="S158" s="13"/>
      <c r="T158" s="12"/>
      <c r="U158" s="9"/>
      <c r="V158" s="9"/>
      <c r="W158" s="9"/>
      <c r="Y158" s="12">
        <f>IF(H158=Reference!$A$12, Reference!$C$12, IF(H158=Reference!$A$11, Reference!$C$11, IF(H158=Reference!$A$10, Reference!$C$10, IF(H158=Reference!$A$9, Reference!$C$9, 0))))</f>
        <v>0</v>
      </c>
      <c r="Z158" s="12">
        <f>IF(J158=Reference!$A$20, Reference!$C$20, IF(J158=Reference!$A$19, Reference!$C$19, IF(J158=Reference!$A$18, Reference!$C$18, IF(J158=Reference!$A$17, Reference!$C$17, 0))))</f>
        <v>0</v>
      </c>
      <c r="AA158" s="12">
        <f>IF(L158=Reference!$A$28, Reference!$C$28, IF(L158=Reference!$A$27, Reference!$C$27, IF(L158=Reference!$A$26, Reference!$C$26, IF(L158=Reference!$A$25, Reference!$C$25, 0))))</f>
        <v>0</v>
      </c>
      <c r="AB158" s="12">
        <f>IF(N158=Reference!$A$36, Reference!$C$36, IF(N158=Reference!$A$35, Reference!$C$35, IF(N158=Reference!$A$34, Reference!$C$34, IF(N158=Reference!$A$33, Reference!$C$33, 0))))</f>
        <v>0</v>
      </c>
      <c r="AC158" s="12">
        <f>(Reference!$B$2*Y158 + Reference!$B$3*AA158 + Reference!$B$4*Z158 + Reference!$B$5 * AB158)/4</f>
        <v>0</v>
      </c>
      <c r="AD158" s="12">
        <f>IF(Q158=Reference!$C$41, Reference!$D$41, IF(Q158=Reference!$C$42, Reference!$D$42, IF(Q158=Reference!$C$43, Reference!$D$43, IF(Q158=Reference!$C$44, Reference!$D$44, 0))))</f>
        <v>0</v>
      </c>
      <c r="AE158" s="12">
        <f t="shared" si="33"/>
        <v>1</v>
      </c>
    </row>
    <row r="159" spans="1:31" ht="13.15">
      <c r="A159" s="8"/>
      <c r="B159" s="9"/>
      <c r="C159" s="9"/>
      <c r="D159" s="18"/>
      <c r="E159" s="10"/>
      <c r="F159" s="9"/>
      <c r="G159" s="9"/>
      <c r="H159" s="9"/>
      <c r="I159" s="9"/>
      <c r="J159" s="9"/>
      <c r="K159" s="9"/>
      <c r="L159" s="9"/>
      <c r="M159" s="9"/>
      <c r="N159" s="9"/>
      <c r="O159" s="9"/>
      <c r="P159" s="11" t="str">
        <f>IF(AC159&gt;=Reference!$H$2, Reference!$G$2, IF(AC159&gt;=Reference!$H$3, Reference!$G$3, IF(AC159&gt;=Reference!$H$4, Reference!$G$4, IF(AC159&gt;=Reference!$H$5, Reference!$G$5, ""))))</f>
        <v/>
      </c>
      <c r="Q159" s="11" t="str">
        <f t="shared" si="32"/>
        <v/>
      </c>
      <c r="R159" s="11" t="str">
        <f>IF(AE159&gt;=Reference!$D$2, Reference!$G$2, IF(AE159&gt;=Reference!$D$3, Reference!$E$3, IF(AE159&gt;=Reference!$D$4, Reference!$E$4, IF(AE159&gt;=Reference!$D$5, Reference!$E$5, ""))))</f>
        <v>Low</v>
      </c>
      <c r="S159" s="13"/>
      <c r="T159" s="26"/>
      <c r="U159" s="9"/>
      <c r="V159" s="9"/>
      <c r="W159" s="9"/>
      <c r="Y159" s="12">
        <f>IF(H159=Reference!$A$12, Reference!$C$12, IF(H159=Reference!$A$11, Reference!$C$11, IF(H159=Reference!$A$10, Reference!$C$10, IF(H159=Reference!$A$9, Reference!$C$9, 0))))</f>
        <v>0</v>
      </c>
      <c r="Z159" s="12">
        <f>IF(J159=Reference!$A$20, Reference!$C$20, IF(J159=Reference!$A$19, Reference!$C$19, IF(J159=Reference!$A$18, Reference!$C$18, IF(J159=Reference!$A$17, Reference!$C$17, 0))))</f>
        <v>0</v>
      </c>
      <c r="AA159" s="12">
        <f>IF(L159=Reference!$A$28, Reference!$C$28, IF(L159=Reference!$A$27, Reference!$C$27, IF(L159=Reference!$A$26, Reference!$C$26, IF(L159=Reference!$A$25, Reference!$C$25, 0))))</f>
        <v>0</v>
      </c>
      <c r="AB159" s="12">
        <f>IF(N159=Reference!$A$36, Reference!$C$36, IF(N159=Reference!$A$35, Reference!$C$35, IF(N159=Reference!$A$34, Reference!$C$34, IF(N159=Reference!$A$33, Reference!$C$33, 0))))</f>
        <v>0</v>
      </c>
      <c r="AC159" s="12">
        <f>(Reference!$B$2*Y159 + Reference!$B$3*AA159 + Reference!$B$4*Z159 + Reference!$B$5 * AB159)/4</f>
        <v>0</v>
      </c>
      <c r="AD159" s="12">
        <f>IF(Q159=Reference!$C$41, Reference!$D$41, IF(Q159=Reference!$C$42, Reference!$D$42, IF(Q159=Reference!$C$43, Reference!$D$43, IF(Q159=Reference!$C$44, Reference!$D$44, 0))))</f>
        <v>0</v>
      </c>
      <c r="AE159" s="12">
        <f t="shared" si="33"/>
        <v>1</v>
      </c>
    </row>
    <row r="160" spans="1:31" ht="13.15">
      <c r="A160" s="8"/>
      <c r="B160" s="9"/>
      <c r="C160" s="9"/>
      <c r="D160" s="10"/>
      <c r="E160" s="10"/>
      <c r="F160" s="9"/>
      <c r="G160" s="9"/>
      <c r="H160" s="9"/>
      <c r="I160" s="9"/>
      <c r="J160" s="9"/>
      <c r="K160" s="9"/>
      <c r="L160" s="9"/>
      <c r="M160" s="9"/>
      <c r="N160" s="9"/>
      <c r="O160" s="9"/>
      <c r="P160" s="11" t="str">
        <f>IF(AC160&gt;=Reference!$H$2, Reference!$G$2, IF(AC160&gt;=Reference!$H$3, Reference!$G$3, IF(AC160&gt;=Reference!$H$4, Reference!$G$4, IF(AC160&gt;=Reference!$H$5, Reference!$G$5, ""))))</f>
        <v/>
      </c>
      <c r="Q160" s="11" t="str">
        <f t="shared" si="32"/>
        <v/>
      </c>
      <c r="R160" s="11" t="str">
        <f>IF(AE160&gt;=Reference!$D$2, Reference!$G$2, IF(AE160&gt;=Reference!$D$3, Reference!$E$3, IF(AE160&gt;=Reference!$D$4, Reference!$E$4, IF(AE160&gt;=Reference!$D$5, Reference!$E$5, ""))))</f>
        <v>Low</v>
      </c>
      <c r="S160" s="13"/>
      <c r="T160" s="12"/>
      <c r="U160" s="9"/>
      <c r="V160" s="9"/>
      <c r="W160" s="9"/>
      <c r="Y160" s="12">
        <f>IF(H160=Reference!$A$12, Reference!$C$12, IF(H160=Reference!$A$11, Reference!$C$11, IF(H160=Reference!$A$10, Reference!$C$10, IF(H160=Reference!$A$9, Reference!$C$9, 0))))</f>
        <v>0</v>
      </c>
      <c r="Z160" s="12">
        <f>IF(J160=Reference!$A$20, Reference!$C$20, IF(J160=Reference!$A$19, Reference!$C$19, IF(J160=Reference!$A$18, Reference!$C$18, IF(J160=Reference!$A$17, Reference!$C$17, 0))))</f>
        <v>0</v>
      </c>
      <c r="AA160" s="12">
        <f>IF(L160=Reference!$A$28, Reference!$C$28, IF(L160=Reference!$A$27, Reference!$C$27, IF(L160=Reference!$A$26, Reference!$C$26, IF(L160=Reference!$A$25, Reference!$C$25, 0))))</f>
        <v>0</v>
      </c>
      <c r="AB160" s="12">
        <f>IF(N160=Reference!$A$36, Reference!$C$36, IF(N160=Reference!$A$35, Reference!$C$35, IF(N160=Reference!$A$34, Reference!$C$34, IF(N160=Reference!$A$33, Reference!$C$33, 0))))</f>
        <v>0</v>
      </c>
      <c r="AC160" s="12">
        <f>(Reference!$B$2*Y160 + Reference!$B$3*AA160 + Reference!$B$4*Z160 + Reference!$B$5 * AB160)/4</f>
        <v>0</v>
      </c>
      <c r="AD160" s="12">
        <f>IF(Q160=Reference!$C$41, Reference!$D$41, IF(Q160=Reference!$C$42, Reference!$D$42, IF(Q160=Reference!$C$43, Reference!$D$43, IF(Q160=Reference!$C$44, Reference!$D$44, 0))))</f>
        <v>0</v>
      </c>
      <c r="AE160" s="12">
        <f t="shared" si="33"/>
        <v>1</v>
      </c>
    </row>
    <row r="161" spans="1:31" ht="13.15">
      <c r="A161" s="8"/>
      <c r="B161" s="9"/>
      <c r="C161" s="9"/>
      <c r="D161" s="10"/>
      <c r="E161" s="10"/>
      <c r="F161" s="9"/>
      <c r="G161" s="9"/>
      <c r="H161" s="9"/>
      <c r="I161" s="9"/>
      <c r="J161" s="9"/>
      <c r="K161" s="9"/>
      <c r="L161" s="9"/>
      <c r="M161" s="9"/>
      <c r="N161" s="9"/>
      <c r="O161" s="9"/>
      <c r="P161" s="11" t="str">
        <f>IF(AC161&gt;=Reference!$H$2, Reference!$G$2, IF(AC161&gt;=Reference!$H$3, Reference!$G$3, IF(AC161&gt;=Reference!$H$4, Reference!$G$4, IF(AC161&gt;=Reference!$H$5, Reference!$G$5, ""))))</f>
        <v/>
      </c>
      <c r="Q161" s="11" t="str">
        <f t="shared" si="32"/>
        <v/>
      </c>
      <c r="R161" s="11" t="str">
        <f>IF(AE161&gt;=Reference!$D$2, Reference!$G$2, IF(AE161&gt;=Reference!$D$3, Reference!$E$3, IF(AE161&gt;=Reference!$D$4, Reference!$E$4, IF(AE161&gt;=Reference!$D$5, Reference!$E$5, ""))))</f>
        <v>Low</v>
      </c>
      <c r="S161" s="13"/>
      <c r="T161" s="12"/>
      <c r="U161" s="9"/>
      <c r="V161" s="9"/>
      <c r="W161" s="9"/>
      <c r="Y161" s="12">
        <f>IF(H161=Reference!$A$12, Reference!$C$12, IF(H161=Reference!$A$11, Reference!$C$11, IF(H161=Reference!$A$10, Reference!$C$10, IF(H161=Reference!$A$9, Reference!$C$9, 0))))</f>
        <v>0</v>
      </c>
      <c r="Z161" s="12">
        <f>IF(J161=Reference!$A$20, Reference!$C$20, IF(J161=Reference!$A$19, Reference!$C$19, IF(J161=Reference!$A$18, Reference!$C$18, IF(J161=Reference!$A$17, Reference!$C$17, 0))))</f>
        <v>0</v>
      </c>
      <c r="AA161" s="12">
        <f>IF(L161=Reference!$A$28, Reference!$C$28, IF(L161=Reference!$A$27, Reference!$C$27, IF(L161=Reference!$A$26, Reference!$C$26, IF(L161=Reference!$A$25, Reference!$C$25, 0))))</f>
        <v>0</v>
      </c>
      <c r="AB161" s="12">
        <f>IF(N161=Reference!$A$36, Reference!$C$36, IF(N161=Reference!$A$35, Reference!$C$35, IF(N161=Reference!$A$34, Reference!$C$34, IF(N161=Reference!$A$33, Reference!$C$33, 0))))</f>
        <v>0</v>
      </c>
      <c r="AC161" s="12">
        <f>(Reference!$B$2*Y161 + Reference!$B$3*AA161 + Reference!$B$4*Z161 + Reference!$B$5 * AB161)/4</f>
        <v>0</v>
      </c>
      <c r="AD161" s="12">
        <f>IF(Q161=Reference!$C$41, Reference!$D$41, IF(Q161=Reference!$C$42, Reference!$D$42, IF(Q161=Reference!$C$43, Reference!$D$43, IF(Q161=Reference!$C$44, Reference!$D$44, 0))))</f>
        <v>0</v>
      </c>
      <c r="AE161" s="12">
        <f t="shared" si="33"/>
        <v>1</v>
      </c>
    </row>
    <row r="162" spans="1:31" ht="13.15">
      <c r="A162" s="8"/>
      <c r="B162" s="9"/>
      <c r="C162" s="9"/>
      <c r="D162" s="10"/>
      <c r="E162" s="10"/>
      <c r="F162" s="9"/>
      <c r="G162" s="9"/>
      <c r="H162" s="9"/>
      <c r="I162" s="9"/>
      <c r="J162" s="9"/>
      <c r="K162" s="9"/>
      <c r="L162" s="9"/>
      <c r="M162" s="9"/>
      <c r="N162" s="9"/>
      <c r="O162" s="9"/>
      <c r="P162" s="11" t="str">
        <f>IF(AC162&gt;=Reference!$H$2, Reference!$G$2, IF(AC162&gt;=Reference!$H$3, Reference!$G$3, IF(AC162&gt;=Reference!$H$4, Reference!$G$4, IF(AC162&gt;=Reference!$H$5, Reference!$G$5, ""))))</f>
        <v/>
      </c>
      <c r="Q162" s="11" t="str">
        <f t="shared" si="32"/>
        <v/>
      </c>
      <c r="R162" s="11" t="str">
        <f>IF(AE162&gt;=Reference!$D$2, Reference!$G$2, IF(AE162&gt;=Reference!$D$3, Reference!$E$3, IF(AE162&gt;=Reference!$D$4, Reference!$E$4, IF(AE162&gt;=Reference!$D$5, Reference!$E$5, ""))))</f>
        <v>Low</v>
      </c>
      <c r="S162" s="13"/>
      <c r="T162" s="12"/>
      <c r="U162" s="9"/>
      <c r="V162" s="9"/>
      <c r="W162" s="9"/>
      <c r="Y162" s="12">
        <f>IF(H162=Reference!$A$12, Reference!$C$12, IF(H162=Reference!$A$11, Reference!$C$11, IF(H162=Reference!$A$10, Reference!$C$10, IF(H162=Reference!$A$9, Reference!$C$9, 0))))</f>
        <v>0</v>
      </c>
      <c r="Z162" s="12">
        <f>IF(J162=Reference!$A$20, Reference!$C$20, IF(J162=Reference!$A$19, Reference!$C$19, IF(J162=Reference!$A$18, Reference!$C$18, IF(J162=Reference!$A$17, Reference!$C$17, 0))))</f>
        <v>0</v>
      </c>
      <c r="AA162" s="12">
        <f>IF(L162=Reference!$A$28, Reference!$C$28, IF(L162=Reference!$A$27, Reference!$C$27, IF(L162=Reference!$A$26, Reference!$C$26, IF(L162=Reference!$A$25, Reference!$C$25, 0))))</f>
        <v>0</v>
      </c>
      <c r="AB162" s="12">
        <f>IF(N162=Reference!$A$36, Reference!$C$36, IF(N162=Reference!$A$35, Reference!$C$35, IF(N162=Reference!$A$34, Reference!$C$34, IF(N162=Reference!$A$33, Reference!$C$33, 0))))</f>
        <v>0</v>
      </c>
      <c r="AC162" s="12">
        <f>(Reference!$B$2*Y162 + Reference!$B$3*AA162 + Reference!$B$4*Z162 + Reference!$B$5 * AB162)/4</f>
        <v>0</v>
      </c>
      <c r="AD162" s="12">
        <f>IF(Q162=Reference!$C$41, Reference!$D$41, IF(Q162=Reference!$C$42, Reference!$D$42, IF(Q162=Reference!$C$43, Reference!$D$43, IF(Q162=Reference!$C$44, Reference!$D$44, 0))))</f>
        <v>0</v>
      </c>
      <c r="AE162" s="12">
        <f t="shared" si="33"/>
        <v>1</v>
      </c>
    </row>
    <row r="163" spans="1:31" ht="13.15">
      <c r="A163" s="8"/>
      <c r="B163" s="9"/>
      <c r="C163" s="9"/>
      <c r="D163" s="10"/>
      <c r="E163" s="10"/>
      <c r="F163" s="9"/>
      <c r="G163" s="9"/>
      <c r="H163" s="9"/>
      <c r="I163" s="9"/>
      <c r="J163" s="9"/>
      <c r="K163" s="9"/>
      <c r="L163" s="9"/>
      <c r="M163" s="9"/>
      <c r="N163" s="9"/>
      <c r="O163" s="9"/>
      <c r="P163" s="11" t="str">
        <f>IF(AC163&gt;=Reference!$H$2, Reference!$G$2, IF(AC163&gt;=Reference!$H$3, Reference!$G$3, IF(AC163&gt;=Reference!$H$4, Reference!$G$4, IF(AC163&gt;=Reference!$H$5, Reference!$G$5, ""))))</f>
        <v/>
      </c>
      <c r="Q163" s="11" t="str">
        <f t="shared" si="32"/>
        <v/>
      </c>
      <c r="R163" s="11" t="str">
        <f>IF(AE163&gt;=Reference!$D$2, Reference!$G$2, IF(AE163&gt;=Reference!$D$3, Reference!$E$3, IF(AE163&gt;=Reference!$D$4, Reference!$E$4, IF(AE163&gt;=Reference!$D$5, Reference!$E$5, ""))))</f>
        <v>Low</v>
      </c>
      <c r="S163" s="13"/>
      <c r="T163" s="12"/>
      <c r="U163" s="9"/>
      <c r="V163" s="9"/>
      <c r="W163" s="9"/>
      <c r="Y163" s="12">
        <f>IF(H163=Reference!$A$12, Reference!$C$12, IF(H163=Reference!$A$11, Reference!$C$11, IF(H163=Reference!$A$10, Reference!$C$10, IF(H163=Reference!$A$9, Reference!$C$9, 0))))</f>
        <v>0</v>
      </c>
      <c r="Z163" s="12">
        <f>IF(J163=Reference!$A$20, Reference!$C$20, IF(J163=Reference!$A$19, Reference!$C$19, IF(J163=Reference!$A$18, Reference!$C$18, IF(J163=Reference!$A$17, Reference!$C$17, 0))))</f>
        <v>0</v>
      </c>
      <c r="AA163" s="12">
        <f>IF(L163=Reference!$A$28, Reference!$C$28, IF(L163=Reference!$A$27, Reference!$C$27, IF(L163=Reference!$A$26, Reference!$C$26, IF(L163=Reference!$A$25, Reference!$C$25, 0))))</f>
        <v>0</v>
      </c>
      <c r="AB163" s="12">
        <f>IF(N163=Reference!$A$36, Reference!$C$36, IF(N163=Reference!$A$35, Reference!$C$35, IF(N163=Reference!$A$34, Reference!$C$34, IF(N163=Reference!$A$33, Reference!$C$33, 0))))</f>
        <v>0</v>
      </c>
      <c r="AC163" s="12">
        <f>(Reference!$B$2*Y163 + Reference!$B$3*AA163 + Reference!$B$4*Z163 + Reference!$B$5 * AB163)/4</f>
        <v>0</v>
      </c>
      <c r="AD163" s="12">
        <f>IF(Q163=Reference!$C$41, Reference!$D$41, IF(Q163=Reference!$C$42, Reference!$D$42, IF(Q163=Reference!$C$43, Reference!$D$43, IF(Q163=Reference!$C$44, Reference!$D$44, 0))))</f>
        <v>0</v>
      </c>
      <c r="AE163" s="12">
        <f t="shared" si="33"/>
        <v>1</v>
      </c>
    </row>
    <row r="164" spans="1:31" ht="13.15">
      <c r="A164" s="8"/>
      <c r="B164" s="9"/>
      <c r="C164" s="9"/>
      <c r="D164" s="10"/>
      <c r="E164" s="10"/>
      <c r="F164" s="9"/>
      <c r="G164" s="9"/>
      <c r="H164" s="9"/>
      <c r="I164" s="9"/>
      <c r="J164" s="9"/>
      <c r="K164" s="19"/>
      <c r="L164" s="9"/>
      <c r="M164" s="19"/>
      <c r="N164" s="9"/>
      <c r="O164" s="19"/>
      <c r="P164" s="11" t="str">
        <f>IF(AC164&gt;=Reference!$H$2, Reference!$G$2, IF(AC164&gt;=Reference!$H$3, Reference!$G$3, IF(AC164&gt;=Reference!$H$4, Reference!$G$4, IF(AC164&gt;=Reference!$H$5, Reference!$G$5, ""))))</f>
        <v/>
      </c>
      <c r="Q164" s="11" t="str">
        <f t="shared" si="32"/>
        <v/>
      </c>
      <c r="R164" s="11" t="str">
        <f>IF(AE164&gt;=Reference!$D$2, Reference!$G$2, IF(AE164&gt;=Reference!$D$3, Reference!$E$3, IF(AE164&gt;=Reference!$D$4, Reference!$E$4, IF(AE164&gt;=Reference!$D$5, Reference!$E$5, ""))))</f>
        <v>Low</v>
      </c>
      <c r="S164" s="13"/>
      <c r="T164" s="12"/>
      <c r="U164" s="9"/>
      <c r="V164" s="9"/>
      <c r="W164" s="9"/>
      <c r="Y164" s="12">
        <f>IF(H164=Reference!$A$12, Reference!$C$12, IF(H164=Reference!$A$11, Reference!$C$11, IF(H164=Reference!$A$10, Reference!$C$10, IF(H164=Reference!$A$9, Reference!$C$9, 0))))</f>
        <v>0</v>
      </c>
      <c r="Z164" s="12">
        <f>IF(J164=Reference!$A$20, Reference!$C$20, IF(J164=Reference!$A$19, Reference!$C$19, IF(J164=Reference!$A$18, Reference!$C$18, IF(J164=Reference!$A$17, Reference!$C$17, 0))))</f>
        <v>0</v>
      </c>
      <c r="AA164" s="12">
        <f>IF(L164=Reference!$A$28, Reference!$C$28, IF(L164=Reference!$A$27, Reference!$C$27, IF(L164=Reference!$A$26, Reference!$C$26, IF(L164=Reference!$A$25, Reference!$C$25, 0))))</f>
        <v>0</v>
      </c>
      <c r="AB164" s="12">
        <f>IF(N164=Reference!$A$36, Reference!$C$36, IF(N164=Reference!$A$35, Reference!$C$35, IF(N164=Reference!$A$34, Reference!$C$34, IF(N164=Reference!$A$33, Reference!$C$33, 0))))</f>
        <v>0</v>
      </c>
      <c r="AC164" s="12">
        <f>(Reference!$B$2*Y164 + Reference!$B$3*AA164 + Reference!$B$4*Z164 + Reference!$B$5 * AB164)/4</f>
        <v>0</v>
      </c>
      <c r="AD164" s="12">
        <f>IF(Q164=Reference!$C$41, Reference!$D$41, IF(Q164=Reference!$C$42, Reference!$D$42, IF(Q164=Reference!$C$43, Reference!$D$43, IF(Q164=Reference!$C$44, Reference!$D$44, 0))))</f>
        <v>0</v>
      </c>
      <c r="AE164" s="12">
        <f t="shared" si="33"/>
        <v>1</v>
      </c>
    </row>
    <row r="165" spans="1:31" ht="13.15">
      <c r="A165" s="8"/>
      <c r="B165" s="9"/>
      <c r="C165" s="9"/>
      <c r="D165" s="10"/>
      <c r="E165" s="10"/>
      <c r="F165" s="9"/>
      <c r="G165" s="9"/>
      <c r="H165" s="9"/>
      <c r="I165" s="9"/>
      <c r="J165" s="9"/>
      <c r="K165" s="9"/>
      <c r="L165" s="9"/>
      <c r="M165" s="9"/>
      <c r="N165" s="9"/>
      <c r="O165" s="9"/>
      <c r="P165" s="11" t="str">
        <f>IF(AC165&gt;=Reference!$H$2, Reference!$G$2, IF(AC165&gt;=Reference!$H$3, Reference!$G$3, IF(AC165&gt;=Reference!$H$4, Reference!$G$4, IF(AC165&gt;=Reference!$H$5, Reference!$G$5, ""))))</f>
        <v/>
      </c>
      <c r="Q165" s="11" t="str">
        <f t="shared" si="32"/>
        <v/>
      </c>
      <c r="R165" s="11" t="str">
        <f>IF(AE165&gt;=Reference!$D$2, Reference!$G$2, IF(AE165&gt;=Reference!$D$3, Reference!$E$3, IF(AE165&gt;=Reference!$D$4, Reference!$E$4, IF(AE165&gt;=Reference!$D$5, Reference!$E$5, ""))))</f>
        <v>Low</v>
      </c>
      <c r="S165" s="13"/>
      <c r="T165" s="12"/>
      <c r="U165" s="9"/>
      <c r="V165" s="9"/>
      <c r="W165" s="9"/>
      <c r="Y165" s="12">
        <f>IF(H165=Reference!$A$12, Reference!$C$12, IF(H165=Reference!$A$11, Reference!$C$11, IF(H165=Reference!$A$10, Reference!$C$10, IF(H165=Reference!$A$9, Reference!$C$9, 0))))</f>
        <v>0</v>
      </c>
      <c r="Z165" s="12">
        <f>IF(J165=Reference!$A$20, Reference!$C$20, IF(J165=Reference!$A$19, Reference!$C$19, IF(J165=Reference!$A$18, Reference!$C$18, IF(J165=Reference!$A$17, Reference!$C$17, 0))))</f>
        <v>0</v>
      </c>
      <c r="AA165" s="12">
        <f>IF(L165=Reference!$A$28, Reference!$C$28, IF(L165=Reference!$A$27, Reference!$C$27, IF(L165=Reference!$A$26, Reference!$C$26, IF(L165=Reference!$A$25, Reference!$C$25, 0))))</f>
        <v>0</v>
      </c>
      <c r="AB165" s="12">
        <f>IF(N165=Reference!$A$36, Reference!$C$36, IF(N165=Reference!$A$35, Reference!$C$35, IF(N165=Reference!$A$34, Reference!$C$34, IF(N165=Reference!$A$33, Reference!$C$33, 0))))</f>
        <v>0</v>
      </c>
      <c r="AC165" s="12">
        <f>(Reference!$B$2*Y165 + Reference!$B$3*AA165 + Reference!$B$4*Z165 + Reference!$B$5 * AB165)/4</f>
        <v>0</v>
      </c>
      <c r="AD165" s="12">
        <f>IF(Q165=Reference!$C$41, Reference!$D$41, IF(Q165=Reference!$C$42, Reference!$D$42, IF(Q165=Reference!$C$43, Reference!$D$43, IF(Q165=Reference!$C$44, Reference!$D$44, 0))))</f>
        <v>0</v>
      </c>
      <c r="AE165" s="12">
        <f t="shared" si="33"/>
        <v>1</v>
      </c>
    </row>
    <row r="166" spans="1:31" ht="13.15">
      <c r="A166" s="8"/>
      <c r="B166" s="9"/>
      <c r="C166" s="9"/>
      <c r="D166" s="10"/>
      <c r="E166" s="10"/>
      <c r="F166" s="9"/>
      <c r="G166" s="9"/>
      <c r="H166" s="9"/>
      <c r="I166" s="9"/>
      <c r="J166" s="9"/>
      <c r="K166" s="9"/>
      <c r="L166" s="9"/>
      <c r="M166" s="9"/>
      <c r="N166" s="9"/>
      <c r="O166" s="9"/>
      <c r="P166" s="11" t="str">
        <f>IF(AC166&gt;=Reference!$H$2, Reference!$G$2, IF(AC166&gt;=Reference!$H$3, Reference!$G$3, IF(AC166&gt;=Reference!$H$4, Reference!$G$4, IF(AC166&gt;=Reference!$H$5, Reference!$G$5, ""))))</f>
        <v/>
      </c>
      <c r="Q166" s="11" t="str">
        <f t="shared" si="32"/>
        <v/>
      </c>
      <c r="R166" s="11" t="str">
        <f>IF(AE166&gt;=Reference!$D$2, Reference!$G$2, IF(AE166&gt;=Reference!$D$3, Reference!$E$3, IF(AE166&gt;=Reference!$D$4, Reference!$E$4, IF(AE166&gt;=Reference!$D$5, Reference!$E$5, ""))))</f>
        <v>Low</v>
      </c>
      <c r="S166" s="13"/>
      <c r="T166" s="12"/>
      <c r="U166" s="9"/>
      <c r="V166" s="9"/>
      <c r="W166" s="9"/>
      <c r="Y166" s="12">
        <f>IF(H166=Reference!$A$12, Reference!$C$12, IF(H166=Reference!$A$11, Reference!$C$11, IF(H166=Reference!$A$10, Reference!$C$10, IF(H166=Reference!$A$9, Reference!$C$9, 0))))</f>
        <v>0</v>
      </c>
      <c r="Z166" s="12">
        <f>IF(J166=Reference!$A$20, Reference!$C$20, IF(J166=Reference!$A$19, Reference!$C$19, IF(J166=Reference!$A$18, Reference!$C$18, IF(J166=Reference!$A$17, Reference!$C$17, 0))))</f>
        <v>0</v>
      </c>
      <c r="AA166" s="12">
        <f>IF(L166=Reference!$A$28, Reference!$C$28, IF(L166=Reference!$A$27, Reference!$C$27, IF(L166=Reference!$A$26, Reference!$C$26, IF(L166=Reference!$A$25, Reference!$C$25, 0))))</f>
        <v>0</v>
      </c>
      <c r="AB166" s="12">
        <f>IF(N166=Reference!$A$36, Reference!$C$36, IF(N166=Reference!$A$35, Reference!$C$35, IF(N166=Reference!$A$34, Reference!$C$34, IF(N166=Reference!$A$33, Reference!$C$33, 0))))</f>
        <v>0</v>
      </c>
      <c r="AC166" s="12">
        <f>(Reference!$B$2*Y166 + Reference!$B$3*AA166 + Reference!$B$4*Z166 + Reference!$B$5 * AB166)/4</f>
        <v>0</v>
      </c>
      <c r="AD166" s="12">
        <f>IF(Q166=Reference!$C$41, Reference!$D$41, IF(Q166=Reference!$C$42, Reference!$D$42, IF(Q166=Reference!$C$43, Reference!$D$43, IF(Q166=Reference!$C$44, Reference!$D$44, 0))))</f>
        <v>0</v>
      </c>
      <c r="AE166" s="12">
        <f t="shared" si="33"/>
        <v>1</v>
      </c>
    </row>
    <row r="167" spans="1:31" ht="13.15">
      <c r="A167" s="8"/>
      <c r="B167" s="9"/>
      <c r="C167" s="9"/>
      <c r="D167" s="18"/>
      <c r="E167" s="10"/>
      <c r="F167" s="9"/>
      <c r="G167" s="9"/>
      <c r="H167" s="9"/>
      <c r="I167" s="9"/>
      <c r="J167" s="9"/>
      <c r="K167" s="29"/>
      <c r="L167" s="9"/>
      <c r="M167" s="9"/>
      <c r="N167" s="9"/>
      <c r="O167" s="9"/>
      <c r="P167" s="11" t="str">
        <f>IF(AC167&gt;=Reference!$H$2, Reference!$G$2, IF(AC167&gt;=Reference!$H$3, Reference!$G$3, IF(AC167&gt;=Reference!$H$4, Reference!$G$4, IF(AC167&gt;=Reference!$H$5, Reference!$G$5, ""))))</f>
        <v/>
      </c>
      <c r="Q167" s="11" t="str">
        <f t="shared" si="32"/>
        <v/>
      </c>
      <c r="R167" s="11" t="str">
        <f>IF(AE167&gt;=Reference!$D$2, Reference!$G$2, IF(AE167&gt;=Reference!$D$3, Reference!$E$3, IF(AE167&gt;=Reference!$D$4, Reference!$E$4, IF(AE167&gt;=Reference!$D$5, Reference!$E$5, ""))))</f>
        <v>Low</v>
      </c>
      <c r="S167" s="13"/>
      <c r="T167" s="12"/>
      <c r="U167" s="9"/>
      <c r="V167" s="9"/>
      <c r="W167" s="9"/>
      <c r="Y167" s="12">
        <f>IF(H167=Reference!$A$12, Reference!$C$12, IF(H167=Reference!$A$11, Reference!$C$11, IF(H167=Reference!$A$10, Reference!$C$10, IF(H167=Reference!$A$9, Reference!$C$9, 0))))</f>
        <v>0</v>
      </c>
      <c r="Z167" s="12">
        <f>IF(J167=Reference!$A$20, Reference!$C$20, IF(J167=Reference!$A$19, Reference!$C$19, IF(J167=Reference!$A$18, Reference!$C$18, IF(J167=Reference!$A$17, Reference!$C$17, 0))))</f>
        <v>0</v>
      </c>
      <c r="AA167" s="12">
        <f>IF(L167=Reference!$A$28, Reference!$C$28, IF(L167=Reference!$A$27, Reference!$C$27, IF(L167=Reference!$A$26, Reference!$C$26, IF(L167=Reference!$A$25, Reference!$C$25, 0))))</f>
        <v>0</v>
      </c>
      <c r="AB167" s="12">
        <f>IF(N167=Reference!$A$36, Reference!$C$36, IF(N167=Reference!$A$35, Reference!$C$35, IF(N167=Reference!$A$34, Reference!$C$34, IF(N167=Reference!$A$33, Reference!$C$33, 0))))</f>
        <v>0</v>
      </c>
      <c r="AC167" s="12">
        <f>(Reference!$B$2*Y167 + Reference!$B$3*AA167 + Reference!$B$4*Z167 + Reference!$B$5 * AB167)/4</f>
        <v>0</v>
      </c>
      <c r="AD167" s="12">
        <f>IF(Q167=Reference!$C$41, Reference!$D$41, IF(Q167=Reference!$C$42, Reference!$D$42, IF(Q167=Reference!$C$43, Reference!$D$43, IF(Q167=Reference!$C$44, Reference!$D$44, 0))))</f>
        <v>0</v>
      </c>
      <c r="AE167" s="12">
        <f t="shared" si="33"/>
        <v>1</v>
      </c>
    </row>
    <row r="168" spans="1:31" ht="13.15">
      <c r="A168" s="8"/>
      <c r="B168" s="9"/>
      <c r="C168" s="9"/>
      <c r="D168" s="18"/>
      <c r="E168" s="10"/>
      <c r="F168" s="9"/>
      <c r="G168" s="9"/>
      <c r="H168" s="9"/>
      <c r="I168" s="9"/>
      <c r="J168" s="9"/>
      <c r="K168" s="9"/>
      <c r="L168" s="9"/>
      <c r="M168" s="9"/>
      <c r="N168" s="9"/>
      <c r="O168" s="29"/>
      <c r="P168" s="11" t="str">
        <f>IF(AC168&gt;=Reference!$H$2, Reference!$G$2, IF(AC168&gt;=Reference!$H$3, Reference!$G$3, IF(AC168&gt;=Reference!$H$4, Reference!$G$4, IF(AC168&gt;=Reference!$H$5, Reference!$G$5, ""))))</f>
        <v/>
      </c>
      <c r="Q168" s="11" t="str">
        <f t="shared" si="32"/>
        <v/>
      </c>
      <c r="R168" s="11" t="str">
        <f>IF(AE168&gt;=Reference!$D$2, Reference!$G$2, IF(AE168&gt;=Reference!$D$3, Reference!$E$3, IF(AE168&gt;=Reference!$D$4, Reference!$E$4, IF(AE168&gt;=Reference!$D$5, Reference!$E$5, ""))))</f>
        <v>Low</v>
      </c>
      <c r="S168" s="13"/>
      <c r="T168" s="12"/>
      <c r="U168" s="9"/>
      <c r="V168" s="9"/>
      <c r="W168" s="9"/>
      <c r="Y168" s="12">
        <f>IF(H168=Reference!$A$12, Reference!$C$12, IF(H168=Reference!$A$11, Reference!$C$11, IF(H168=Reference!$A$10, Reference!$C$10, IF(H168=Reference!$A$9, Reference!$C$9, 0))))</f>
        <v>0</v>
      </c>
      <c r="Z168" s="12">
        <f>IF(J168=Reference!$A$20, Reference!$C$20, IF(J168=Reference!$A$19, Reference!$C$19, IF(J168=Reference!$A$18, Reference!$C$18, IF(J168=Reference!$A$17, Reference!$C$17, 0))))</f>
        <v>0</v>
      </c>
      <c r="AA168" s="12">
        <f>IF(L168=Reference!$A$28, Reference!$C$28, IF(L168=Reference!$A$27, Reference!$C$27, IF(L168=Reference!$A$26, Reference!$C$26, IF(L168=Reference!$A$25, Reference!$C$25, 0))))</f>
        <v>0</v>
      </c>
      <c r="AB168" s="12">
        <f>IF(N168=Reference!$A$36, Reference!$C$36, IF(N168=Reference!$A$35, Reference!$C$35, IF(N168=Reference!$A$34, Reference!$C$34, IF(N168=Reference!$A$33, Reference!$C$33, 0))))</f>
        <v>0</v>
      </c>
      <c r="AC168" s="12">
        <f>(Reference!$B$2*Y168 + Reference!$B$3*AA168 + Reference!$B$4*Z168 + Reference!$B$5 * AB168)/4</f>
        <v>0</v>
      </c>
      <c r="AD168" s="12">
        <f>IF(Q168=Reference!$C$41, Reference!$D$41, IF(Q168=Reference!$C$42, Reference!$D$42, IF(Q168=Reference!$C$43, Reference!$D$43, IF(Q168=Reference!$C$44, Reference!$D$44, 0))))</f>
        <v>0</v>
      </c>
      <c r="AE168" s="12">
        <f t="shared" si="33"/>
        <v>1</v>
      </c>
    </row>
    <row r="169" spans="1:31" ht="13.15">
      <c r="A169" s="8"/>
      <c r="B169" s="9"/>
      <c r="C169" s="9"/>
      <c r="D169" s="10"/>
      <c r="E169" s="10"/>
      <c r="F169" s="9"/>
      <c r="G169" s="9"/>
      <c r="H169" s="9"/>
      <c r="I169" s="9"/>
      <c r="J169" s="9"/>
      <c r="K169" s="9"/>
      <c r="L169" s="9"/>
      <c r="M169" s="9"/>
      <c r="N169" s="9"/>
      <c r="O169" s="9"/>
      <c r="P169" s="11" t="str">
        <f>IF(AC169&gt;=Reference!$H$2, Reference!$G$2, IF(AC169&gt;=Reference!$H$3, Reference!$G$3, IF(AC169&gt;=Reference!$H$4, Reference!$G$4, IF(AC169&gt;=Reference!$H$5, Reference!$G$5, ""))))</f>
        <v/>
      </c>
      <c r="Q169" s="11" t="str">
        <f t="shared" si="32"/>
        <v/>
      </c>
      <c r="R169" s="11" t="str">
        <f>IF(AE169&gt;=Reference!$D$2, Reference!$G$2, IF(AE169&gt;=Reference!$D$3, Reference!$E$3, IF(AE169&gt;=Reference!$D$4, Reference!$E$4, IF(AE169&gt;=Reference!$D$5, Reference!$E$5, ""))))</f>
        <v>Low</v>
      </c>
      <c r="S169" s="13"/>
      <c r="T169" s="12"/>
      <c r="U169" s="9"/>
      <c r="V169" s="9"/>
      <c r="W169" s="9"/>
      <c r="Y169" s="12">
        <f>IF(H169=Reference!$A$12, Reference!$C$12, IF(H169=Reference!$A$11, Reference!$C$11, IF(H169=Reference!$A$10, Reference!$C$10, IF(H169=Reference!$A$9, Reference!$C$9, 0))))</f>
        <v>0</v>
      </c>
      <c r="Z169" s="12">
        <f>IF(J169=Reference!$A$20, Reference!$C$20, IF(J169=Reference!$A$19, Reference!$C$19, IF(J169=Reference!$A$18, Reference!$C$18, IF(J169=Reference!$A$17, Reference!$C$17, 0))))</f>
        <v>0</v>
      </c>
      <c r="AA169" s="12">
        <f>IF(L169=Reference!$A$28, Reference!$C$28, IF(L169=Reference!$A$27, Reference!$C$27, IF(L169=Reference!$A$26, Reference!$C$26, IF(L169=Reference!$A$25, Reference!$C$25, 0))))</f>
        <v>0</v>
      </c>
      <c r="AB169" s="12">
        <f>IF(N169=Reference!$A$36, Reference!$C$36, IF(N169=Reference!$A$35, Reference!$C$35, IF(N169=Reference!$A$34, Reference!$C$34, IF(N169=Reference!$A$33, Reference!$C$33, 0))))</f>
        <v>0</v>
      </c>
      <c r="AC169" s="12">
        <f>(Reference!$B$2*Y169 + Reference!$B$3*AA169 + Reference!$B$4*Z169 + Reference!$B$5 * AB169)/4</f>
        <v>0</v>
      </c>
      <c r="AD169" s="12">
        <f>IF(Q169=Reference!$C$41, Reference!$D$41, IF(Q169=Reference!$C$42, Reference!$D$42, IF(Q169=Reference!$C$43, Reference!$D$43, IF(Q169=Reference!$C$44, Reference!$D$44, 0))))</f>
        <v>0</v>
      </c>
      <c r="AE169" s="12">
        <f t="shared" si="33"/>
        <v>1</v>
      </c>
    </row>
    <row r="170" spans="1:31" ht="13.15">
      <c r="A170" s="8"/>
      <c r="B170" s="9"/>
      <c r="C170" s="9"/>
      <c r="D170" s="24"/>
      <c r="E170" s="10"/>
      <c r="F170" s="9"/>
      <c r="G170" s="9"/>
      <c r="H170" s="9"/>
      <c r="I170" s="9"/>
      <c r="J170" s="9"/>
      <c r="K170" s="9"/>
      <c r="L170" s="9"/>
      <c r="M170" s="9"/>
      <c r="N170" s="9"/>
      <c r="O170" s="9"/>
      <c r="P170" s="11" t="str">
        <f>IF(AC170&gt;=Reference!$H$2, Reference!$G$2, IF(AC170&gt;=Reference!$H$3, Reference!$G$3, IF(AC170&gt;=Reference!$H$4, Reference!$G$4, IF(AC170&gt;=Reference!$H$5, Reference!$G$5, ""))))</f>
        <v/>
      </c>
      <c r="Q170" s="11" t="str">
        <f t="shared" si="32"/>
        <v/>
      </c>
      <c r="R170" s="11" t="str">
        <f>IF(AE170&gt;=Reference!$D$2, Reference!$G$2, IF(AE170&gt;=Reference!$D$3, Reference!$E$3, IF(AE170&gt;=Reference!$D$4, Reference!$E$4, IF(AE170&gt;=Reference!$D$5, Reference!$E$5, ""))))</f>
        <v>Low</v>
      </c>
      <c r="S170" s="13"/>
      <c r="T170" s="12"/>
      <c r="U170" s="9"/>
      <c r="V170" s="9"/>
      <c r="W170" s="9"/>
      <c r="Y170" s="12">
        <f>IF(H170=Reference!$A$12, Reference!$C$12, IF(H170=Reference!$A$11, Reference!$C$11, IF(H170=Reference!$A$10, Reference!$C$10, IF(H170=Reference!$A$9, Reference!$C$9, 0))))</f>
        <v>0</v>
      </c>
      <c r="Z170" s="12">
        <f>IF(J170=Reference!$A$20, Reference!$C$20, IF(J170=Reference!$A$19, Reference!$C$19, IF(J170=Reference!$A$18, Reference!$C$18, IF(J170=Reference!$A$17, Reference!$C$17, 0))))</f>
        <v>0</v>
      </c>
      <c r="AA170" s="12">
        <f>IF(L170=Reference!$A$28, Reference!$C$28, IF(L170=Reference!$A$27, Reference!$C$27, IF(L170=Reference!$A$26, Reference!$C$26, IF(L170=Reference!$A$25, Reference!$C$25, 0))))</f>
        <v>0</v>
      </c>
      <c r="AB170" s="12">
        <f>IF(N170=Reference!$A$36, Reference!$C$36, IF(N170=Reference!$A$35, Reference!$C$35, IF(N170=Reference!$A$34, Reference!$C$34, IF(N170=Reference!$A$33, Reference!$C$33, 0))))</f>
        <v>0</v>
      </c>
      <c r="AC170" s="12">
        <f>(Reference!$B$2*Y170 + Reference!$B$3*AA170 + Reference!$B$4*Z170 + Reference!$B$5 * AB170)/4</f>
        <v>0</v>
      </c>
      <c r="AD170" s="12">
        <f>IF(Q170=Reference!$C$41, Reference!$D$41, IF(Q170=Reference!$C$42, Reference!$D$42, IF(Q170=Reference!$C$43, Reference!$D$43, IF(Q170=Reference!$C$44, Reference!$D$44, 0))))</f>
        <v>0</v>
      </c>
      <c r="AE170" s="12">
        <f t="shared" si="33"/>
        <v>1</v>
      </c>
    </row>
    <row r="171" spans="1:31" ht="13.15">
      <c r="A171" s="8"/>
      <c r="B171" s="9"/>
      <c r="C171" s="9"/>
      <c r="D171" s="10"/>
      <c r="E171" s="10"/>
      <c r="F171" s="9"/>
      <c r="G171" s="9"/>
      <c r="H171" s="9"/>
      <c r="I171" s="9"/>
      <c r="J171" s="9"/>
      <c r="K171" s="9"/>
      <c r="L171" s="9"/>
      <c r="M171" s="9"/>
      <c r="N171" s="9"/>
      <c r="O171" s="9"/>
      <c r="P171" s="11" t="str">
        <f>IF(AC171&gt;=Reference!$H$2, Reference!$G$2, IF(AC171&gt;=Reference!$H$3, Reference!$G$3, IF(AC171&gt;=Reference!$H$4, Reference!$G$4, IF(AC171&gt;=Reference!$H$5, Reference!$G$5, ""))))</f>
        <v/>
      </c>
      <c r="Q171" s="11" t="str">
        <f t="shared" si="32"/>
        <v/>
      </c>
      <c r="R171" s="11" t="str">
        <f>IF(AE171&gt;=Reference!$D$2, Reference!$G$2, IF(AE171&gt;=Reference!$D$3, Reference!$E$3, IF(AE171&gt;=Reference!$D$4, Reference!$E$4, IF(AE171&gt;=Reference!$D$5, Reference!$E$5, ""))))</f>
        <v>Low</v>
      </c>
      <c r="S171" s="13"/>
      <c r="T171" s="12"/>
      <c r="U171" s="9"/>
      <c r="V171" s="9"/>
      <c r="W171" s="9"/>
      <c r="Y171" s="12">
        <f>IF(H171=Reference!$A$12, Reference!$C$12, IF(H171=Reference!$A$11, Reference!$C$11, IF(H171=Reference!$A$10, Reference!$C$10, IF(H171=Reference!$A$9, Reference!$C$9, 0))))</f>
        <v>0</v>
      </c>
      <c r="Z171" s="12">
        <f>IF(J171=Reference!$A$20, Reference!$C$20, IF(J171=Reference!$A$19, Reference!$C$19, IF(J171=Reference!$A$18, Reference!$C$18, IF(J171=Reference!$A$17, Reference!$C$17, 0))))</f>
        <v>0</v>
      </c>
      <c r="AA171" s="12">
        <f>IF(L171=Reference!$A$28, Reference!$C$28, IF(L171=Reference!$A$27, Reference!$C$27, IF(L171=Reference!$A$26, Reference!$C$26, IF(L171=Reference!$A$25, Reference!$C$25, 0))))</f>
        <v>0</v>
      </c>
      <c r="AB171" s="12">
        <f>IF(N171=Reference!$A$36, Reference!$C$36, IF(N171=Reference!$A$35, Reference!$C$35, IF(N171=Reference!$A$34, Reference!$C$34, IF(N171=Reference!$A$33, Reference!$C$33, 0))))</f>
        <v>0</v>
      </c>
      <c r="AC171" s="12">
        <f>(Reference!$B$2*Y171 + Reference!$B$3*AA171 + Reference!$B$4*Z171 + Reference!$B$5 * AB171)/4</f>
        <v>0</v>
      </c>
      <c r="AD171" s="12">
        <f>IF(Q171=Reference!$C$41, Reference!$D$41, IF(Q171=Reference!$C$42, Reference!$D$42, IF(Q171=Reference!$C$43, Reference!$D$43, IF(Q171=Reference!$C$44, Reference!$D$44, 0))))</f>
        <v>0</v>
      </c>
      <c r="AE171" s="12">
        <f t="shared" si="33"/>
        <v>1</v>
      </c>
    </row>
    <row r="172" spans="1:31" ht="13.15">
      <c r="A172" s="8"/>
      <c r="B172" s="9"/>
      <c r="C172" s="9"/>
      <c r="D172" s="10"/>
      <c r="E172" s="10"/>
      <c r="F172" s="9"/>
      <c r="G172" s="9"/>
      <c r="H172" s="9"/>
      <c r="I172" s="9"/>
      <c r="J172" s="9"/>
      <c r="K172" s="9"/>
      <c r="L172" s="9"/>
      <c r="M172" s="9"/>
      <c r="N172" s="9"/>
      <c r="O172" s="9"/>
      <c r="P172" s="11" t="str">
        <f>IF(AC172&gt;=Reference!$H$2, Reference!$G$2, IF(AC172&gt;=Reference!$H$3, Reference!$G$3, IF(AC172&gt;=Reference!$H$4, Reference!$G$4, IF(AC172&gt;=Reference!$H$5, Reference!$G$5, ""))))</f>
        <v/>
      </c>
      <c r="Q172" s="11" t="str">
        <f t="shared" si="32"/>
        <v/>
      </c>
      <c r="R172" s="11" t="str">
        <f>IF(AE172&gt;=Reference!$D$2, Reference!$G$2, IF(AE172&gt;=Reference!$D$3, Reference!$E$3, IF(AE172&gt;=Reference!$D$4, Reference!$E$4, IF(AE172&gt;=Reference!$D$5, Reference!$E$5, ""))))</f>
        <v>Low</v>
      </c>
      <c r="S172" s="13"/>
      <c r="T172" s="12"/>
      <c r="U172" s="9"/>
      <c r="V172" s="9"/>
      <c r="W172" s="9"/>
      <c r="Y172" s="12">
        <f>IF(H172=Reference!$A$12, Reference!$C$12, IF(H172=Reference!$A$11, Reference!$C$11, IF(H172=Reference!$A$10, Reference!$C$10, IF(H172=Reference!$A$9, Reference!$C$9, 0))))</f>
        <v>0</v>
      </c>
      <c r="Z172" s="12">
        <f>IF(J172=Reference!$A$20, Reference!$C$20, IF(J172=Reference!$A$19, Reference!$C$19, IF(J172=Reference!$A$18, Reference!$C$18, IF(J172=Reference!$A$17, Reference!$C$17, 0))))</f>
        <v>0</v>
      </c>
      <c r="AA172" s="12">
        <f>IF(L172=Reference!$A$28, Reference!$C$28, IF(L172=Reference!$A$27, Reference!$C$27, IF(L172=Reference!$A$26, Reference!$C$26, IF(L172=Reference!$A$25, Reference!$C$25, 0))))</f>
        <v>0</v>
      </c>
      <c r="AB172" s="12">
        <f>IF(N172=Reference!$A$36, Reference!$C$36, IF(N172=Reference!$A$35, Reference!$C$35, IF(N172=Reference!$A$34, Reference!$C$34, IF(N172=Reference!$A$33, Reference!$C$33, 0))))</f>
        <v>0</v>
      </c>
      <c r="AC172" s="12">
        <f>(Reference!$B$2*Y172 + Reference!$B$3*AA172 + Reference!$B$4*Z172 + Reference!$B$5 * AB172)/4</f>
        <v>0</v>
      </c>
      <c r="AD172" s="12">
        <f>IF(Q172=Reference!$C$41, Reference!$D$41, IF(Q172=Reference!$C$42, Reference!$D$42, IF(Q172=Reference!$C$43, Reference!$D$43, IF(Q172=Reference!$C$44, Reference!$D$44, 0))))</f>
        <v>0</v>
      </c>
      <c r="AE172" s="12">
        <f t="shared" si="33"/>
        <v>1</v>
      </c>
    </row>
    <row r="173" spans="1:31" ht="13.15">
      <c r="A173" s="8"/>
      <c r="B173" s="9"/>
      <c r="C173" s="9"/>
      <c r="D173" s="10"/>
      <c r="E173" s="10"/>
      <c r="F173" s="9"/>
      <c r="G173" s="9"/>
      <c r="H173" s="9"/>
      <c r="I173" s="9"/>
      <c r="J173" s="9"/>
      <c r="K173" s="9"/>
      <c r="L173" s="9"/>
      <c r="M173" s="9"/>
      <c r="N173" s="9"/>
      <c r="O173" s="9"/>
      <c r="P173" s="11" t="str">
        <f>IF(AC173&gt;=Reference!$H$2, Reference!$G$2, IF(AC173&gt;=Reference!$H$3, Reference!$G$3, IF(AC173&gt;=Reference!$H$4, Reference!$G$4, IF(AC173&gt;=Reference!$H$5, Reference!$G$5, ""))))</f>
        <v/>
      </c>
      <c r="Q173" s="11" t="str">
        <f t="shared" si="32"/>
        <v/>
      </c>
      <c r="R173" s="11" t="str">
        <f>IF(AE173&gt;=Reference!$D$2, Reference!$G$2, IF(AE173&gt;=Reference!$D$3, Reference!$E$3, IF(AE173&gt;=Reference!$D$4, Reference!$E$4, IF(AE173&gt;=Reference!$D$5, Reference!$E$5, ""))))</f>
        <v>Low</v>
      </c>
      <c r="S173" s="13"/>
      <c r="T173" s="9"/>
      <c r="U173" s="9"/>
      <c r="V173" s="9"/>
      <c r="W173" s="9"/>
      <c r="Y173" s="12">
        <f>IF(H173=Reference!$A$12, Reference!$C$12, IF(H173=Reference!$A$11, Reference!$C$11, IF(H173=Reference!$A$10, Reference!$C$10, IF(H173=Reference!$A$9, Reference!$C$9, 0))))</f>
        <v>0</v>
      </c>
      <c r="Z173" s="12">
        <f>IF(J173=Reference!$A$20, Reference!$C$20, IF(J173=Reference!$A$19, Reference!$C$19, IF(J173=Reference!$A$18, Reference!$C$18, IF(J173=Reference!$A$17, Reference!$C$17, 0))))</f>
        <v>0</v>
      </c>
      <c r="AA173" s="12">
        <f>IF(L173=Reference!$A$28, Reference!$C$28, IF(L173=Reference!$A$27, Reference!$C$27, IF(L173=Reference!$A$26, Reference!$C$26, IF(L173=Reference!$A$25, Reference!$C$25, 0))))</f>
        <v>0</v>
      </c>
      <c r="AB173" s="12">
        <f>IF(N173=Reference!$A$36, Reference!$C$36, IF(N173=Reference!$A$35, Reference!$C$35, IF(N173=Reference!$A$34, Reference!$C$34, IF(N173=Reference!$A$33, Reference!$C$33, 0))))</f>
        <v>0</v>
      </c>
      <c r="AC173" s="12">
        <f>(Reference!$B$2*Y173 + Reference!$B$3*AA173 + Reference!$B$4*Z173 + Reference!$B$5 * AB173)/4</f>
        <v>0</v>
      </c>
      <c r="AD173" s="12">
        <f>IF(Q173=Reference!$C$41, Reference!$D$41, IF(Q173=Reference!$C$42, Reference!$D$42, IF(Q173=Reference!$C$43, Reference!$D$43, IF(Q173=Reference!$C$44, Reference!$D$44, 0))))</f>
        <v>0</v>
      </c>
      <c r="AE173" s="12">
        <f t="shared" si="33"/>
        <v>1</v>
      </c>
    </row>
    <row r="174" spans="1:31" ht="14.45">
      <c r="A174" s="8"/>
      <c r="B174" s="9"/>
      <c r="C174" s="9"/>
      <c r="D174" s="10"/>
      <c r="E174" s="10"/>
      <c r="F174" s="9"/>
      <c r="G174" s="30"/>
      <c r="H174" s="9"/>
      <c r="I174" s="9"/>
      <c r="J174" s="9"/>
      <c r="K174" s="9"/>
      <c r="L174" s="9"/>
      <c r="M174" s="9"/>
      <c r="N174" s="9"/>
      <c r="O174" s="9"/>
      <c r="P174" s="11" t="str">
        <f>IF(AC174&gt;=Reference!$H$2, Reference!$G$2, IF(AC174&gt;=Reference!$H$3, Reference!$G$3, IF(AC174&gt;=Reference!$H$4, Reference!$G$4, IF(AC174&gt;=Reference!$H$5, Reference!$G$5, ""))))</f>
        <v/>
      </c>
      <c r="Q174" s="11" t="str">
        <f t="shared" si="32"/>
        <v/>
      </c>
      <c r="R174" s="11" t="str">
        <f>IF(AE174&gt;=Reference!$D$2, Reference!$G$2, IF(AE174&gt;=Reference!$D$3, Reference!$E$3, IF(AE174&gt;=Reference!$D$4, Reference!$E$4, IF(AE174&gt;=Reference!$D$5, Reference!$E$5, ""))))</f>
        <v>Low</v>
      </c>
      <c r="S174" s="13"/>
      <c r="T174" s="28"/>
      <c r="U174" s="9"/>
      <c r="V174" s="9"/>
      <c r="W174" s="9"/>
      <c r="Y174" s="12">
        <f>IF(H174=Reference!$A$12, Reference!$C$12, IF(H174=Reference!$A$11, Reference!$C$11, IF(H174=Reference!$A$10, Reference!$C$10, IF(H174=Reference!$A$9, Reference!$C$9, 0))))</f>
        <v>0</v>
      </c>
      <c r="Z174" s="12">
        <f>IF(J174=Reference!$A$20, Reference!$C$20, IF(J174=Reference!$A$19, Reference!$C$19, IF(J174=Reference!$A$18, Reference!$C$18, IF(J174=Reference!$A$17, Reference!$C$17, 0))))</f>
        <v>0</v>
      </c>
      <c r="AA174" s="12">
        <f>IF(L174=Reference!$A$28, Reference!$C$28, IF(L174=Reference!$A$27, Reference!$C$27, IF(L174=Reference!$A$26, Reference!$C$26, IF(L174=Reference!$A$25, Reference!$C$25, 0))))</f>
        <v>0</v>
      </c>
      <c r="AB174" s="12">
        <f>IF(N174=Reference!$A$36, Reference!$C$36, IF(N174=Reference!$A$35, Reference!$C$35, IF(N174=Reference!$A$34, Reference!$C$34, IF(N174=Reference!$A$33, Reference!$C$33, 0))))</f>
        <v>0</v>
      </c>
      <c r="AC174" s="12">
        <f>(Reference!$B$2*Y174 + Reference!$B$3*AA174 + Reference!$B$4*Z174 + Reference!$B$5 * AB174)/4</f>
        <v>0</v>
      </c>
      <c r="AD174" s="12">
        <f>IF(Q174=Reference!$C$41, Reference!$D$41, IF(Q174=Reference!$C$42, Reference!$D$42, IF(Q174=Reference!$C$43, Reference!$D$43, IF(Q174=Reference!$C$44, Reference!$D$44, 0))))</f>
        <v>0</v>
      </c>
      <c r="AE174" s="12">
        <f t="shared" si="33"/>
        <v>1</v>
      </c>
    </row>
    <row r="175" spans="1:31" ht="13.15">
      <c r="A175" s="8"/>
      <c r="B175" s="9"/>
      <c r="C175" s="9"/>
      <c r="D175" s="10"/>
      <c r="E175" s="10"/>
      <c r="F175" s="9"/>
      <c r="G175" s="9"/>
      <c r="H175" s="9"/>
      <c r="I175" s="19"/>
      <c r="J175" s="9"/>
      <c r="K175" s="9"/>
      <c r="L175" s="9"/>
      <c r="M175" s="9"/>
      <c r="N175" s="9"/>
      <c r="O175" s="19"/>
      <c r="P175" s="11" t="str">
        <f>IF(AC175&gt;=Reference!$H$2, Reference!$G$2, IF(AC175&gt;=Reference!$H$3, Reference!$G$3, IF(AC175&gt;=Reference!$H$4, Reference!$G$4, IF(AC175&gt;=Reference!$H$5, Reference!$G$5, ""))))</f>
        <v/>
      </c>
      <c r="Q175" s="11" t="str">
        <f t="shared" si="32"/>
        <v/>
      </c>
      <c r="R175" s="11" t="str">
        <f>IF(AE175&gt;=Reference!$D$2, Reference!$G$2, IF(AE175&gt;=Reference!$D$3, Reference!$E$3, IF(AE175&gt;=Reference!$D$4, Reference!$E$4, IF(AE175&gt;=Reference!$D$5, Reference!$E$5, ""))))</f>
        <v>Low</v>
      </c>
      <c r="S175" s="13"/>
      <c r="T175" s="12"/>
      <c r="U175" s="9"/>
      <c r="V175" s="9"/>
      <c r="W175" s="9"/>
      <c r="Y175" s="12">
        <f>IF(H175=Reference!$A$12, Reference!$C$12, IF(H175=Reference!$A$11, Reference!$C$11, IF(H175=Reference!$A$10, Reference!$C$10, IF(H175=Reference!$A$9, Reference!$C$9, 0))))</f>
        <v>0</v>
      </c>
      <c r="Z175" s="12">
        <f>IF(J175=Reference!$A$20, Reference!$C$20, IF(J175=Reference!$A$19, Reference!$C$19, IF(J175=Reference!$A$18, Reference!$C$18, IF(J175=Reference!$A$17, Reference!$C$17, 0))))</f>
        <v>0</v>
      </c>
      <c r="AA175" s="12">
        <f>IF(L175=Reference!$A$28, Reference!$C$28, IF(L175=Reference!$A$27, Reference!$C$27, IF(L175=Reference!$A$26, Reference!$C$26, IF(L175=Reference!$A$25, Reference!$C$25, 0))))</f>
        <v>0</v>
      </c>
      <c r="AB175" s="12">
        <f>IF(N175=Reference!$A$36, Reference!$C$36, IF(N175=Reference!$A$35, Reference!$C$35, IF(N175=Reference!$A$34, Reference!$C$34, IF(N175=Reference!$A$33, Reference!$C$33, 0))))</f>
        <v>0</v>
      </c>
      <c r="AC175" s="12">
        <f>(Reference!$B$2*Y175 + Reference!$B$3*AA175 + Reference!$B$4*Z175 + Reference!$B$5 * AB175)/4</f>
        <v>0</v>
      </c>
      <c r="AD175" s="12">
        <f>IF(Q175=Reference!$C$41, Reference!$D$41, IF(Q175=Reference!$C$42, Reference!$D$42, IF(Q175=Reference!$C$43, Reference!$D$43, IF(Q175=Reference!$C$44, Reference!$D$44, 0))))</f>
        <v>0</v>
      </c>
      <c r="AE175" s="12">
        <f t="shared" si="33"/>
        <v>1</v>
      </c>
    </row>
    <row r="176" spans="1:31" ht="13.15">
      <c r="A176" s="8"/>
      <c r="B176" s="9"/>
      <c r="C176" s="9"/>
      <c r="D176" s="10"/>
      <c r="E176" s="10"/>
      <c r="F176" s="9"/>
      <c r="G176" s="9"/>
      <c r="H176" s="9"/>
      <c r="I176" s="9"/>
      <c r="J176" s="9"/>
      <c r="K176" s="9"/>
      <c r="L176" s="9"/>
      <c r="M176" s="9"/>
      <c r="N176" s="9"/>
      <c r="O176" s="9"/>
      <c r="P176" s="11" t="str">
        <f>IF(AC176&gt;=Reference!$H$2, Reference!$G$2, IF(AC176&gt;=Reference!$H$3, Reference!$G$3, IF(AC176&gt;=Reference!$H$4, Reference!$G$4, IF(AC176&gt;=Reference!$H$5, Reference!$G$5, ""))))</f>
        <v/>
      </c>
      <c r="Q176" s="11" t="str">
        <f t="shared" si="32"/>
        <v/>
      </c>
      <c r="R176" s="11" t="str">
        <f>IF(AE176&gt;=Reference!$D$2, Reference!$G$2, IF(AE176&gt;=Reference!$D$3, Reference!$E$3, IF(AE176&gt;=Reference!$D$4, Reference!$E$4, IF(AE176&gt;=Reference!$D$5, Reference!$E$5, ""))))</f>
        <v>Low</v>
      </c>
      <c r="S176" s="13"/>
      <c r="T176" s="12"/>
      <c r="U176" s="9"/>
      <c r="V176" s="9"/>
      <c r="W176" s="9"/>
      <c r="Y176" s="12">
        <f>IF(H176=Reference!$A$12, Reference!$C$12, IF(H176=Reference!$A$11, Reference!$C$11, IF(H176=Reference!$A$10, Reference!$C$10, IF(H176=Reference!$A$9, Reference!$C$9, 0))))</f>
        <v>0</v>
      </c>
      <c r="Z176" s="12">
        <f>IF(J176=Reference!$A$20, Reference!$C$20, IF(J176=Reference!$A$19, Reference!$C$19, IF(J176=Reference!$A$18, Reference!$C$18, IF(J176=Reference!$A$17, Reference!$C$17, 0))))</f>
        <v>0</v>
      </c>
      <c r="AA176" s="12">
        <f>IF(L176=Reference!$A$28, Reference!$C$28, IF(L176=Reference!$A$27, Reference!$C$27, IF(L176=Reference!$A$26, Reference!$C$26, IF(L176=Reference!$A$25, Reference!$C$25, 0))))</f>
        <v>0</v>
      </c>
      <c r="AB176" s="12">
        <f>IF(N176=Reference!$A$36, Reference!$C$36, IF(N176=Reference!$A$35, Reference!$C$35, IF(N176=Reference!$A$34, Reference!$C$34, IF(N176=Reference!$A$33, Reference!$C$33, 0))))</f>
        <v>0</v>
      </c>
      <c r="AC176" s="12">
        <f>(Reference!$B$2*Y176 + Reference!$B$3*AA176 + Reference!$B$4*Z176 + Reference!$B$5 * AB176)/4</f>
        <v>0</v>
      </c>
      <c r="AD176" s="12">
        <f>IF(Q176=Reference!$C$41, Reference!$D$41, IF(Q176=Reference!$C$42, Reference!$D$42, IF(Q176=Reference!$C$43, Reference!$D$43, IF(Q176=Reference!$C$44, Reference!$D$44, 0))))</f>
        <v>0</v>
      </c>
      <c r="AE176" s="12">
        <f t="shared" si="33"/>
        <v>1</v>
      </c>
    </row>
    <row r="177" spans="1:31" ht="13.15">
      <c r="A177" s="8"/>
      <c r="B177" s="9"/>
      <c r="C177" s="9"/>
      <c r="D177" s="10"/>
      <c r="E177" s="18"/>
      <c r="F177" s="9"/>
      <c r="G177" s="9"/>
      <c r="H177" s="9"/>
      <c r="I177" s="9"/>
      <c r="J177" s="9"/>
      <c r="K177" s="9"/>
      <c r="L177" s="9"/>
      <c r="M177" s="9"/>
      <c r="N177" s="9"/>
      <c r="O177" s="9"/>
      <c r="P177" s="11" t="str">
        <f>IF(AC177&gt;=Reference!$H$2, Reference!$G$2, IF(AC177&gt;=Reference!$H$3, Reference!$G$3, IF(AC177&gt;=Reference!$H$4, Reference!$G$4, IF(AC177&gt;=Reference!$H$5, Reference!$G$5, ""))))</f>
        <v/>
      </c>
      <c r="Q177" s="11" t="str">
        <f t="shared" si="32"/>
        <v/>
      </c>
      <c r="R177" s="11" t="str">
        <f>IF(AE177&gt;=Reference!$D$2, Reference!$G$2, IF(AE177&gt;=Reference!$D$3, Reference!$E$3, IF(AE177&gt;=Reference!$D$4, Reference!$E$4, IF(AE177&gt;=Reference!$D$5, Reference!$E$5, ""))))</f>
        <v>Low</v>
      </c>
      <c r="S177" s="13"/>
      <c r="T177" s="12"/>
      <c r="U177" s="9"/>
      <c r="V177" s="9"/>
      <c r="W177" s="9"/>
      <c r="Y177" s="12">
        <f>IF(H177=Reference!$A$12, Reference!$C$12, IF(H177=Reference!$A$11, Reference!$C$11, IF(H177=Reference!$A$10, Reference!$C$10, IF(H177=Reference!$A$9, Reference!$C$9, 0))))</f>
        <v>0</v>
      </c>
      <c r="Z177" s="12">
        <f>IF(J177=Reference!$A$20, Reference!$C$20, IF(J177=Reference!$A$19, Reference!$C$19, IF(J177=Reference!$A$18, Reference!$C$18, IF(J177=Reference!$A$17, Reference!$C$17, 0))))</f>
        <v>0</v>
      </c>
      <c r="AA177" s="12">
        <f>IF(L177=Reference!$A$28, Reference!$C$28, IF(L177=Reference!$A$27, Reference!$C$27, IF(L177=Reference!$A$26, Reference!$C$26, IF(L177=Reference!$A$25, Reference!$C$25, 0))))</f>
        <v>0</v>
      </c>
      <c r="AB177" s="12">
        <f>IF(N177=Reference!$A$36, Reference!$C$36, IF(N177=Reference!$A$35, Reference!$C$35, IF(N177=Reference!$A$34, Reference!$C$34, IF(N177=Reference!$A$33, Reference!$C$33, 0))))</f>
        <v>0</v>
      </c>
      <c r="AC177" s="12">
        <f>(Reference!$B$2*Y177 + Reference!$B$3*AA177 + Reference!$B$4*Z177 + Reference!$B$5 * AB177)/4</f>
        <v>0</v>
      </c>
      <c r="AD177" s="12">
        <f>IF(Q177=Reference!$C$41, Reference!$D$41, IF(Q177=Reference!$C$42, Reference!$D$42, IF(Q177=Reference!$C$43, Reference!$D$43, IF(Q177=Reference!$C$44, Reference!$D$44, 0))))</f>
        <v>0</v>
      </c>
      <c r="AE177" s="12">
        <f t="shared" si="33"/>
        <v>1</v>
      </c>
    </row>
    <row r="178" spans="1:31" ht="13.15">
      <c r="A178" s="8"/>
      <c r="B178" s="9"/>
      <c r="C178" s="9"/>
      <c r="D178" s="10"/>
      <c r="E178" s="18"/>
      <c r="F178" s="9"/>
      <c r="G178" s="9"/>
      <c r="H178" s="9"/>
      <c r="I178" s="9"/>
      <c r="J178" s="9"/>
      <c r="K178" s="9"/>
      <c r="L178" s="9"/>
      <c r="M178" s="9"/>
      <c r="N178" s="9"/>
      <c r="O178" s="9"/>
      <c r="P178" s="11" t="str">
        <f>IF(AC178&gt;=Reference!$H$2, Reference!$G$2, IF(AC178&gt;=Reference!$H$3, Reference!$G$3, IF(AC178&gt;=Reference!$H$4, Reference!$G$4, IF(AC178&gt;=Reference!$H$5, Reference!$G$5, ""))))</f>
        <v/>
      </c>
      <c r="Q178" s="11" t="str">
        <f t="shared" si="32"/>
        <v/>
      </c>
      <c r="R178" s="11" t="str">
        <f>IF(AE178&gt;=Reference!$D$2, Reference!$G$2, IF(AE178&gt;=Reference!$D$3, Reference!$E$3, IF(AE178&gt;=Reference!$D$4, Reference!$E$4, IF(AE178&gt;=Reference!$D$5, Reference!$E$5, ""))))</f>
        <v>Low</v>
      </c>
      <c r="S178" s="13"/>
      <c r="T178" s="12"/>
      <c r="U178" s="9"/>
      <c r="V178" s="9"/>
      <c r="W178" s="9"/>
      <c r="Y178" s="12">
        <f>IF(H178=Reference!$A$12, Reference!$C$12, IF(H178=Reference!$A$11, Reference!$C$11, IF(H178=Reference!$A$10, Reference!$C$10, IF(H178=Reference!$A$9, Reference!$C$9, 0))))</f>
        <v>0</v>
      </c>
      <c r="Z178" s="12">
        <f>IF(J178=Reference!$A$20, Reference!$C$20, IF(J178=Reference!$A$19, Reference!$C$19, IF(J178=Reference!$A$18, Reference!$C$18, IF(J178=Reference!$A$17, Reference!$C$17, 0))))</f>
        <v>0</v>
      </c>
      <c r="AA178" s="12">
        <f>IF(L178=Reference!$A$28, Reference!$C$28, IF(L178=Reference!$A$27, Reference!$C$27, IF(L178=Reference!$A$26, Reference!$C$26, IF(L178=Reference!$A$25, Reference!$C$25, 0))))</f>
        <v>0</v>
      </c>
      <c r="AB178" s="12">
        <f>IF(N178=Reference!$A$36, Reference!$C$36, IF(N178=Reference!$A$35, Reference!$C$35, IF(N178=Reference!$A$34, Reference!$C$34, IF(N178=Reference!$A$33, Reference!$C$33, 0))))</f>
        <v>0</v>
      </c>
      <c r="AC178" s="12">
        <f>(Reference!$B$2*Y178 + Reference!$B$3*AA178 + Reference!$B$4*Z178 + Reference!$B$5 * AB178)/4</f>
        <v>0</v>
      </c>
      <c r="AD178" s="12">
        <f>IF(Q178=Reference!$C$41, Reference!$D$41, IF(Q178=Reference!$C$42, Reference!$D$42, IF(Q178=Reference!$C$43, Reference!$D$43, IF(Q178=Reference!$C$44, Reference!$D$44, 0))))</f>
        <v>0</v>
      </c>
      <c r="AE178" s="12">
        <f t="shared" si="33"/>
        <v>1</v>
      </c>
    </row>
    <row r="179" spans="1:31" ht="13.15">
      <c r="A179" s="8"/>
      <c r="B179" s="9"/>
      <c r="C179" s="9"/>
      <c r="D179" s="10"/>
      <c r="E179" s="10"/>
      <c r="F179" s="9"/>
      <c r="G179" s="9"/>
      <c r="H179" s="9"/>
      <c r="I179" s="9"/>
      <c r="J179" s="9"/>
      <c r="K179" s="9"/>
      <c r="L179" s="9"/>
      <c r="M179" s="9"/>
      <c r="N179" s="9"/>
      <c r="O179" s="9"/>
      <c r="P179" s="11" t="str">
        <f>IF(AC179&gt;=Reference!$H$2, Reference!$G$2, IF(AC179&gt;=Reference!$H$3, Reference!$G$3, IF(AC179&gt;=Reference!$H$4, Reference!$G$4, IF(AC179&gt;=Reference!$H$5, Reference!$G$5, ""))))</f>
        <v/>
      </c>
      <c r="Q179" s="11" t="str">
        <f t="shared" si="32"/>
        <v/>
      </c>
      <c r="R179" s="11" t="str">
        <f>IF(AE179&gt;=Reference!$D$2, Reference!$G$2, IF(AE179&gt;=Reference!$D$3, Reference!$E$3, IF(AE179&gt;=Reference!$D$4, Reference!$E$4, IF(AE179&gt;=Reference!$D$5, Reference!$E$5, ""))))</f>
        <v>Low</v>
      </c>
      <c r="S179" s="13"/>
      <c r="T179" s="9"/>
      <c r="U179" s="9"/>
      <c r="V179" s="9"/>
      <c r="W179" s="9"/>
      <c r="Y179" s="12">
        <f>IF(H179=Reference!$A$12, Reference!$C$12, IF(H179=Reference!$A$11, Reference!$C$11, IF(H179=Reference!$A$10, Reference!$C$10, IF(H179=Reference!$A$9, Reference!$C$9, 0))))</f>
        <v>0</v>
      </c>
      <c r="Z179" s="12">
        <f>IF(J179=Reference!$A$20, Reference!$C$20, IF(J179=Reference!$A$19, Reference!$C$19, IF(J179=Reference!$A$18, Reference!$C$18, IF(J179=Reference!$A$17, Reference!$C$17, 0))))</f>
        <v>0</v>
      </c>
      <c r="AA179" s="12">
        <f>IF(L179=Reference!$A$28, Reference!$C$28, IF(L179=Reference!$A$27, Reference!$C$27, IF(L179=Reference!$A$26, Reference!$C$26, IF(L179=Reference!$A$25, Reference!$C$25, 0))))</f>
        <v>0</v>
      </c>
      <c r="AB179" s="12">
        <f>IF(N179=Reference!$A$36, Reference!$C$36, IF(N179=Reference!$A$35, Reference!$C$35, IF(N179=Reference!$A$34, Reference!$C$34, IF(N179=Reference!$A$33, Reference!$C$33, 0))))</f>
        <v>0</v>
      </c>
      <c r="AC179" s="12">
        <f>(Reference!$B$2*Y179 + Reference!$B$3*AA179 + Reference!$B$4*Z179 + Reference!$B$5 * AB179)/4</f>
        <v>0</v>
      </c>
      <c r="AD179" s="12">
        <f>IF(Q179=Reference!$C$41, Reference!$D$41, IF(Q179=Reference!$C$42, Reference!$D$42, IF(Q179=Reference!$C$43, Reference!$D$43, IF(Q179=Reference!$C$44, Reference!$D$44, 0))))</f>
        <v>0</v>
      </c>
      <c r="AE179" s="12">
        <f t="shared" si="33"/>
        <v>1</v>
      </c>
    </row>
    <row r="180" spans="1:31" ht="13.15">
      <c r="A180" s="8"/>
      <c r="B180" s="9"/>
      <c r="C180" s="9"/>
      <c r="D180" s="10"/>
      <c r="E180" s="10"/>
      <c r="F180" s="9"/>
      <c r="G180" s="9"/>
      <c r="H180" s="9"/>
      <c r="I180" s="9"/>
      <c r="J180" s="9"/>
      <c r="K180" s="9"/>
      <c r="L180" s="9"/>
      <c r="M180" s="9"/>
      <c r="N180" s="9"/>
      <c r="O180" s="9"/>
      <c r="P180" s="11" t="str">
        <f>IF(AC180&gt;=Reference!$H$2, Reference!$G$2, IF(AC180&gt;=Reference!$H$3, Reference!$G$3, IF(AC180&gt;=Reference!$H$4, Reference!$G$4, IF(AC180&gt;=Reference!$H$5, Reference!$G$5, ""))))</f>
        <v/>
      </c>
      <c r="Q180" s="11" t="str">
        <f t="shared" si="32"/>
        <v/>
      </c>
      <c r="R180" s="11" t="str">
        <f>IF(AE180&gt;=Reference!$D$2, Reference!$G$2, IF(AE180&gt;=Reference!$D$3, Reference!$E$3, IF(AE180&gt;=Reference!$D$4, Reference!$E$4, IF(AE180&gt;=Reference!$D$5, Reference!$E$5, ""))))</f>
        <v>Low</v>
      </c>
      <c r="S180" s="13"/>
      <c r="T180" s="19"/>
      <c r="U180" s="9"/>
      <c r="V180" s="9"/>
      <c r="W180" s="9"/>
      <c r="Y180" s="12">
        <f>IF(H180=Reference!$A$12, Reference!$C$12, IF(H180=Reference!$A$11, Reference!$C$11, IF(H180=Reference!$A$10, Reference!$C$10, IF(H180=Reference!$A$9, Reference!$C$9, 0))))</f>
        <v>0</v>
      </c>
      <c r="Z180" s="12">
        <f>IF(J180=Reference!$A$20, Reference!$C$20, IF(J180=Reference!$A$19, Reference!$C$19, IF(J180=Reference!$A$18, Reference!$C$18, IF(J180=Reference!$A$17, Reference!$C$17, 0))))</f>
        <v>0</v>
      </c>
      <c r="AA180" s="12">
        <f>IF(L180=Reference!$A$28, Reference!$C$28, IF(L180=Reference!$A$27, Reference!$C$27, IF(L180=Reference!$A$26, Reference!$C$26, IF(L180=Reference!$A$25, Reference!$C$25, 0))))</f>
        <v>0</v>
      </c>
      <c r="AB180" s="12">
        <f>IF(N180=Reference!$A$36, Reference!$C$36, IF(N180=Reference!$A$35, Reference!$C$35, IF(N180=Reference!$A$34, Reference!$C$34, IF(N180=Reference!$A$33, Reference!$C$33, 0))))</f>
        <v>0</v>
      </c>
      <c r="AC180" s="12">
        <f>(Reference!$B$2*Y180 + Reference!$B$3*AA180 + Reference!$B$4*Z180 + Reference!$B$5 * AB180)/4</f>
        <v>0</v>
      </c>
      <c r="AD180" s="12">
        <f>IF(Q180=Reference!$C$41, Reference!$D$41, IF(Q180=Reference!$C$42, Reference!$D$42, IF(Q180=Reference!$C$43, Reference!$D$43, IF(Q180=Reference!$C$44, Reference!$D$44, 0))))</f>
        <v>0</v>
      </c>
      <c r="AE180" s="12">
        <f t="shared" si="33"/>
        <v>1</v>
      </c>
    </row>
    <row r="181" spans="1:31" ht="13.15">
      <c r="A181" s="8"/>
      <c r="B181" s="9"/>
      <c r="C181" s="9"/>
      <c r="D181" s="10"/>
      <c r="E181" s="10"/>
      <c r="F181" s="9"/>
      <c r="G181" s="9"/>
      <c r="H181" s="9"/>
      <c r="I181" s="9"/>
      <c r="J181" s="9"/>
      <c r="K181" s="9"/>
      <c r="L181" s="9"/>
      <c r="M181" s="9"/>
      <c r="N181" s="9"/>
      <c r="O181" s="9"/>
      <c r="P181" s="11" t="str">
        <f>IF(AC181&gt;=Reference!$H$2, Reference!$G$2, IF(AC181&gt;=Reference!$H$3, Reference!$G$3, IF(AC181&gt;=Reference!$H$4, Reference!$G$4, IF(AC181&gt;=Reference!$H$5, Reference!$G$5, ""))))</f>
        <v/>
      </c>
      <c r="Q181" s="11" t="str">
        <f t="shared" si="32"/>
        <v/>
      </c>
      <c r="R181" s="11" t="str">
        <f>IF(AE181&gt;=Reference!$D$2, Reference!$G$2, IF(AE181&gt;=Reference!$D$3, Reference!$E$3, IF(AE181&gt;=Reference!$D$4, Reference!$E$4, IF(AE181&gt;=Reference!$D$5, Reference!$E$5, ""))))</f>
        <v>Low</v>
      </c>
      <c r="S181" s="13"/>
      <c r="T181" s="12"/>
      <c r="U181" s="9"/>
      <c r="V181" s="9"/>
      <c r="W181" s="9"/>
      <c r="Y181" s="12">
        <f>IF(H181=Reference!$A$12, Reference!$C$12, IF(H181=Reference!$A$11, Reference!$C$11, IF(H181=Reference!$A$10, Reference!$C$10, IF(H181=Reference!$A$9, Reference!$C$9, 0))))</f>
        <v>0</v>
      </c>
      <c r="Z181" s="12">
        <f>IF(J181=Reference!$A$20, Reference!$C$20, IF(J181=Reference!$A$19, Reference!$C$19, IF(J181=Reference!$A$18, Reference!$C$18, IF(J181=Reference!$A$17, Reference!$C$17, 0))))</f>
        <v>0</v>
      </c>
      <c r="AA181" s="12">
        <f>IF(L181=Reference!$A$28, Reference!$C$28, IF(L181=Reference!$A$27, Reference!$C$27, IF(L181=Reference!$A$26, Reference!$C$26, IF(L181=Reference!$A$25, Reference!$C$25, 0))))</f>
        <v>0</v>
      </c>
      <c r="AB181" s="12">
        <f>IF(N181=Reference!$A$36, Reference!$C$36, IF(N181=Reference!$A$35, Reference!$C$35, IF(N181=Reference!$A$34, Reference!$C$34, IF(N181=Reference!$A$33, Reference!$C$33, 0))))</f>
        <v>0</v>
      </c>
      <c r="AC181" s="12">
        <f>(Reference!$B$2*Y181 + Reference!$B$3*AA181 + Reference!$B$4*Z181 + Reference!$B$5 * AB181)/4</f>
        <v>0</v>
      </c>
      <c r="AD181" s="12">
        <f>IF(Q181=Reference!$C$41, Reference!$D$41, IF(Q181=Reference!$C$42, Reference!$D$42, IF(Q181=Reference!$C$43, Reference!$D$43, IF(Q181=Reference!$C$44, Reference!$D$44, 0))))</f>
        <v>0</v>
      </c>
      <c r="AE181" s="12">
        <f t="shared" si="33"/>
        <v>1</v>
      </c>
    </row>
    <row r="182" spans="1:31" ht="13.15">
      <c r="A182" s="8"/>
      <c r="B182" s="9"/>
      <c r="C182" s="9"/>
      <c r="D182" s="10"/>
      <c r="E182" s="10"/>
      <c r="F182" s="9"/>
      <c r="G182" s="9"/>
      <c r="H182" s="9"/>
      <c r="I182" s="9"/>
      <c r="J182" s="9"/>
      <c r="K182" s="9"/>
      <c r="L182" s="9"/>
      <c r="M182" s="9"/>
      <c r="N182" s="9"/>
      <c r="O182" s="9"/>
      <c r="P182" s="11" t="str">
        <f>IF(AC182&gt;=Reference!$H$2, Reference!$G$2, IF(AC182&gt;=Reference!$H$3, Reference!$G$3, IF(AC182&gt;=Reference!$H$4, Reference!$G$4, IF(AC182&gt;=Reference!$H$5, Reference!$G$5, ""))))</f>
        <v/>
      </c>
      <c r="Q182" s="11" t="str">
        <f t="shared" si="32"/>
        <v/>
      </c>
      <c r="R182" s="11" t="str">
        <f>IF(AE182&gt;=Reference!$D$2, Reference!$G$2, IF(AE182&gt;=Reference!$D$3, Reference!$E$3, IF(AE182&gt;=Reference!$D$4, Reference!$E$4, IF(AE182&gt;=Reference!$D$5, Reference!$E$5, ""))))</f>
        <v>Low</v>
      </c>
      <c r="S182" s="13"/>
      <c r="T182" s="12"/>
      <c r="U182" s="9"/>
      <c r="V182" s="9"/>
      <c r="W182" s="9"/>
      <c r="Y182" s="12">
        <f>IF(H182=Reference!$A$12, Reference!$C$12, IF(H182=Reference!$A$11, Reference!$C$11, IF(H182=Reference!$A$10, Reference!$C$10, IF(H182=Reference!$A$9, Reference!$C$9, 0))))</f>
        <v>0</v>
      </c>
      <c r="Z182" s="12">
        <f>IF(J182=Reference!$A$20, Reference!$C$20, IF(J182=Reference!$A$19, Reference!$C$19, IF(J182=Reference!$A$18, Reference!$C$18, IF(J182=Reference!$A$17, Reference!$C$17, 0))))</f>
        <v>0</v>
      </c>
      <c r="AA182" s="12">
        <f>IF(L182=Reference!$A$28, Reference!$C$28, IF(L182=Reference!$A$27, Reference!$C$27, IF(L182=Reference!$A$26, Reference!$C$26, IF(L182=Reference!$A$25, Reference!$C$25, 0))))</f>
        <v>0</v>
      </c>
      <c r="AB182" s="12">
        <f>IF(N182=Reference!$A$36, Reference!$C$36, IF(N182=Reference!$A$35, Reference!$C$35, IF(N182=Reference!$A$34, Reference!$C$34, IF(N182=Reference!$A$33, Reference!$C$33, 0))))</f>
        <v>0</v>
      </c>
      <c r="AC182" s="12">
        <f>(Reference!$B$2*Y182 + Reference!$B$3*AA182 + Reference!$B$4*Z182 + Reference!$B$5 * AB182)/4</f>
        <v>0</v>
      </c>
      <c r="AD182" s="12">
        <f>IF(Q182=Reference!$C$41, Reference!$D$41, IF(Q182=Reference!$C$42, Reference!$D$42, IF(Q182=Reference!$C$43, Reference!$D$43, IF(Q182=Reference!$C$44, Reference!$D$44, 0))))</f>
        <v>0</v>
      </c>
      <c r="AE182" s="12">
        <f t="shared" si="33"/>
        <v>1</v>
      </c>
    </row>
    <row r="183" spans="1:31" ht="13.15">
      <c r="A183" s="8"/>
      <c r="B183" s="9"/>
      <c r="C183" s="9"/>
      <c r="D183" s="10"/>
      <c r="E183" s="10"/>
      <c r="F183" s="9"/>
      <c r="G183" s="9"/>
      <c r="H183" s="9"/>
      <c r="I183" s="9"/>
      <c r="J183" s="9"/>
      <c r="K183" s="9"/>
      <c r="L183" s="9"/>
      <c r="M183" s="9"/>
      <c r="N183" s="9"/>
      <c r="O183" s="9"/>
      <c r="P183" s="11" t="str">
        <f>IF(AC183&gt;=Reference!$H$2, Reference!$G$2, IF(AC183&gt;=Reference!$H$3, Reference!$G$3, IF(AC183&gt;=Reference!$H$4, Reference!$G$4, IF(AC183&gt;=Reference!$H$5, Reference!$G$5, ""))))</f>
        <v/>
      </c>
      <c r="Q183" s="11" t="str">
        <f t="shared" si="32"/>
        <v/>
      </c>
      <c r="R183" s="11" t="str">
        <f>IF(AE183&gt;=Reference!$D$2, Reference!$G$2, IF(AE183&gt;=Reference!$D$3, Reference!$E$3, IF(AE183&gt;=Reference!$D$4, Reference!$E$4, IF(AE183&gt;=Reference!$D$5, Reference!$E$5, ""))))</f>
        <v>Low</v>
      </c>
      <c r="S183" s="13"/>
      <c r="T183" s="12"/>
      <c r="U183" s="9"/>
      <c r="V183" s="9"/>
      <c r="W183" s="9"/>
      <c r="Y183" s="12">
        <f>IF(H183=Reference!$A$12, Reference!$C$12, IF(H183=Reference!$A$11, Reference!$C$11, IF(H183=Reference!$A$10, Reference!$C$10, IF(H183=Reference!$A$9, Reference!$C$9, 0))))</f>
        <v>0</v>
      </c>
      <c r="Z183" s="12">
        <f>IF(J183=Reference!$A$20, Reference!$C$20, IF(J183=Reference!$A$19, Reference!$C$19, IF(J183=Reference!$A$18, Reference!$C$18, IF(J183=Reference!$A$17, Reference!$C$17, 0))))</f>
        <v>0</v>
      </c>
      <c r="AA183" s="12">
        <f>IF(L183=Reference!$A$28, Reference!$C$28, IF(L183=Reference!$A$27, Reference!$C$27, IF(L183=Reference!$A$26, Reference!$C$26, IF(L183=Reference!$A$25, Reference!$C$25, 0))))</f>
        <v>0</v>
      </c>
      <c r="AB183" s="12">
        <f>IF(N183=Reference!$A$36, Reference!$C$36, IF(N183=Reference!$A$35, Reference!$C$35, IF(N183=Reference!$A$34, Reference!$C$34, IF(N183=Reference!$A$33, Reference!$C$33, 0))))</f>
        <v>0</v>
      </c>
      <c r="AC183" s="12">
        <f>(Reference!$B$2*Y183 + Reference!$B$3*AA183 + Reference!$B$4*Z183 + Reference!$B$5 * AB183)/4</f>
        <v>0</v>
      </c>
      <c r="AD183" s="12">
        <f>IF(Q183=Reference!$C$41, Reference!$D$41, IF(Q183=Reference!$C$42, Reference!$D$42, IF(Q183=Reference!$C$43, Reference!$D$43, IF(Q183=Reference!$C$44, Reference!$D$44, 0))))</f>
        <v>0</v>
      </c>
      <c r="AE183" s="12">
        <f t="shared" si="33"/>
        <v>1</v>
      </c>
    </row>
    <row r="184" spans="1:31" ht="13.15">
      <c r="A184" s="8"/>
      <c r="B184" s="9"/>
      <c r="C184" s="9"/>
      <c r="D184" s="18"/>
      <c r="E184" s="10"/>
      <c r="F184" s="9"/>
      <c r="G184" s="9"/>
      <c r="H184" s="9"/>
      <c r="I184" s="9"/>
      <c r="J184" s="9"/>
      <c r="K184" s="19"/>
      <c r="L184" s="9"/>
      <c r="M184" s="19"/>
      <c r="N184" s="9"/>
      <c r="O184" s="19"/>
      <c r="P184" s="11" t="str">
        <f>IF(AC184&gt;=Reference!$H$2, Reference!$G$2, IF(AC184&gt;=Reference!$H$3, Reference!$G$3, IF(AC184&gt;=Reference!$H$4, Reference!$G$4, IF(AC184&gt;=Reference!$H$5, Reference!$G$5, ""))))</f>
        <v/>
      </c>
      <c r="Q184" s="11" t="str">
        <f t="shared" si="32"/>
        <v/>
      </c>
      <c r="R184" s="11" t="str">
        <f>IF(AE184&gt;=Reference!$D$2, Reference!$G$2, IF(AE184&gt;=Reference!$D$3, Reference!$E$3, IF(AE184&gt;=Reference!$D$4, Reference!$E$4, IF(AE184&gt;=Reference!$D$5, Reference!$E$5, ""))))</f>
        <v>Low</v>
      </c>
      <c r="S184" s="13"/>
      <c r="T184" s="12"/>
      <c r="U184" s="9"/>
      <c r="V184" s="9"/>
      <c r="W184" s="9"/>
      <c r="Y184" s="12">
        <f>IF(H184=Reference!$A$12, Reference!$C$12, IF(H184=Reference!$A$11, Reference!$C$11, IF(H184=Reference!$A$10, Reference!$C$10, IF(H184=Reference!$A$9, Reference!$C$9, 0))))</f>
        <v>0</v>
      </c>
      <c r="Z184" s="12">
        <f>IF(J184=Reference!$A$20, Reference!$C$20, IF(J184=Reference!$A$19, Reference!$C$19, IF(J184=Reference!$A$18, Reference!$C$18, IF(J184=Reference!$A$17, Reference!$C$17, 0))))</f>
        <v>0</v>
      </c>
      <c r="AA184" s="12">
        <f>IF(L184=Reference!$A$28, Reference!$C$28, IF(L184=Reference!$A$27, Reference!$C$27, IF(L184=Reference!$A$26, Reference!$C$26, IF(L184=Reference!$A$25, Reference!$C$25, 0))))</f>
        <v>0</v>
      </c>
      <c r="AB184" s="12">
        <f>IF(N184=Reference!$A$36, Reference!$C$36, IF(N184=Reference!$A$35, Reference!$C$35, IF(N184=Reference!$A$34, Reference!$C$34, IF(N184=Reference!$A$33, Reference!$C$33, 0))))</f>
        <v>0</v>
      </c>
      <c r="AC184" s="12">
        <f>(Reference!$B$2*Y184 + Reference!$B$3*AA184 + Reference!$B$4*Z184 + Reference!$B$5 * AB184)/4</f>
        <v>0</v>
      </c>
      <c r="AD184" s="12">
        <f>IF(Q184=Reference!$C$41, Reference!$D$41, IF(Q184=Reference!$C$42, Reference!$D$42, IF(Q184=Reference!$C$43, Reference!$D$43, IF(Q184=Reference!$C$44, Reference!$D$44, 0))))</f>
        <v>0</v>
      </c>
      <c r="AE184" s="12">
        <f t="shared" si="33"/>
        <v>1</v>
      </c>
    </row>
    <row r="185" spans="1:31" ht="13.15">
      <c r="A185" s="8"/>
      <c r="B185" s="9"/>
      <c r="C185" s="9"/>
      <c r="D185" s="10"/>
      <c r="E185" s="10"/>
      <c r="F185" s="9"/>
      <c r="G185" s="9"/>
      <c r="H185" s="9"/>
      <c r="I185" s="30"/>
      <c r="J185" s="9"/>
      <c r="K185" s="9"/>
      <c r="L185" s="9"/>
      <c r="M185" s="9"/>
      <c r="N185" s="9"/>
      <c r="O185" s="9"/>
      <c r="P185" s="11" t="str">
        <f>IF(AC185&gt;=Reference!$H$2, Reference!$G$2, IF(AC185&gt;=Reference!$H$3, Reference!$G$3, IF(AC185&gt;=Reference!$H$4, Reference!$G$4, IF(AC185&gt;=Reference!$H$5, Reference!$G$5, ""))))</f>
        <v/>
      </c>
      <c r="Q185" s="11" t="str">
        <f t="shared" si="32"/>
        <v/>
      </c>
      <c r="R185" s="11" t="str">
        <f>IF(AE185&gt;=Reference!$D$2, Reference!$G$2, IF(AE185&gt;=Reference!$D$3, Reference!$E$3, IF(AE185&gt;=Reference!$D$4, Reference!$E$4, IF(AE185&gt;=Reference!$D$5, Reference!$E$5, ""))))</f>
        <v>Low</v>
      </c>
      <c r="S185" s="13"/>
      <c r="T185" s="12"/>
      <c r="U185" s="9"/>
      <c r="V185" s="9"/>
      <c r="W185" s="9"/>
      <c r="Y185" s="12">
        <f>IF(H185=Reference!$A$12, Reference!$C$12, IF(H185=Reference!$A$11, Reference!$C$11, IF(H185=Reference!$A$10, Reference!$C$10, IF(H185=Reference!$A$9, Reference!$C$9, 0))))</f>
        <v>0</v>
      </c>
      <c r="Z185" s="12">
        <f>IF(J185=Reference!$A$20, Reference!$C$20, IF(J185=Reference!$A$19, Reference!$C$19, IF(J185=Reference!$A$18, Reference!$C$18, IF(J185=Reference!$A$17, Reference!$C$17, 0))))</f>
        <v>0</v>
      </c>
      <c r="AA185" s="12">
        <f>IF(L185=Reference!$A$28, Reference!$C$28, IF(L185=Reference!$A$27, Reference!$C$27, IF(L185=Reference!$A$26, Reference!$C$26, IF(L185=Reference!$A$25, Reference!$C$25, 0))))</f>
        <v>0</v>
      </c>
      <c r="AB185" s="12">
        <f>IF(N185=Reference!$A$36, Reference!$C$36, IF(N185=Reference!$A$35, Reference!$C$35, IF(N185=Reference!$A$34, Reference!$C$34, IF(N185=Reference!$A$33, Reference!$C$33, 0))))</f>
        <v>0</v>
      </c>
      <c r="AC185" s="12">
        <f>(Reference!$B$2*Y185 + Reference!$B$3*AA185 + Reference!$B$4*Z185 + Reference!$B$5 * AB185)/4</f>
        <v>0</v>
      </c>
      <c r="AD185" s="12">
        <f>IF(Q185=Reference!$C$41, Reference!$D$41, IF(Q185=Reference!$C$42, Reference!$D$42, IF(Q185=Reference!$C$43, Reference!$D$43, IF(Q185=Reference!$C$44, Reference!$D$44, 0))))</f>
        <v>0</v>
      </c>
      <c r="AE185" s="12">
        <f t="shared" si="33"/>
        <v>1</v>
      </c>
    </row>
    <row r="186" spans="1:31" ht="13.15">
      <c r="A186" s="8"/>
      <c r="B186" s="9"/>
      <c r="C186" s="9"/>
      <c r="D186" s="24"/>
      <c r="E186" s="10"/>
      <c r="F186" s="9"/>
      <c r="G186" s="9"/>
      <c r="H186" s="9"/>
      <c r="I186" s="9"/>
      <c r="J186" s="9"/>
      <c r="K186" s="19"/>
      <c r="L186" s="9"/>
      <c r="M186" s="9"/>
      <c r="N186" s="9"/>
      <c r="O186" s="9"/>
      <c r="P186" s="11" t="str">
        <f>IF(AC186&gt;=Reference!$H$2, Reference!$G$2, IF(AC186&gt;=Reference!$H$3, Reference!$G$3, IF(AC186&gt;=Reference!$H$4, Reference!$G$4, IF(AC186&gt;=Reference!$H$5, Reference!$G$5, ""))))</f>
        <v/>
      </c>
      <c r="Q186" s="11" t="str">
        <f t="shared" si="32"/>
        <v/>
      </c>
      <c r="R186" s="11" t="str">
        <f>IF(AE186&gt;=Reference!$D$2, Reference!$G$2, IF(AE186&gt;=Reference!$D$3, Reference!$E$3, IF(AE186&gt;=Reference!$D$4, Reference!$E$4, IF(AE186&gt;=Reference!$D$5, Reference!$E$5, ""))))</f>
        <v>Low</v>
      </c>
      <c r="S186" s="13"/>
      <c r="T186" s="12"/>
      <c r="U186" s="9"/>
      <c r="V186" s="9"/>
      <c r="W186" s="9"/>
      <c r="Y186" s="12">
        <f>IF(H186=Reference!$A$12, Reference!$C$12, IF(H186=Reference!$A$11, Reference!$C$11, IF(H186=Reference!$A$10, Reference!$C$10, IF(H186=Reference!$A$9, Reference!$C$9, 0))))</f>
        <v>0</v>
      </c>
      <c r="Z186" s="12">
        <f>IF(J186=Reference!$A$20, Reference!$C$20, IF(J186=Reference!$A$19, Reference!$C$19, IF(J186=Reference!$A$18, Reference!$C$18, IF(J186=Reference!$A$17, Reference!$C$17, 0))))</f>
        <v>0</v>
      </c>
      <c r="AA186" s="12">
        <f>IF(L186=Reference!$A$28, Reference!$C$28, IF(L186=Reference!$A$27, Reference!$C$27, IF(L186=Reference!$A$26, Reference!$C$26, IF(L186=Reference!$A$25, Reference!$C$25, 0))))</f>
        <v>0</v>
      </c>
      <c r="AB186" s="12">
        <f>IF(N186=Reference!$A$36, Reference!$C$36, IF(N186=Reference!$A$35, Reference!$C$35, IF(N186=Reference!$A$34, Reference!$C$34, IF(N186=Reference!$A$33, Reference!$C$33, 0))))</f>
        <v>0</v>
      </c>
      <c r="AC186" s="12">
        <f>(Reference!$B$2*Y186 + Reference!$B$3*AA186 + Reference!$B$4*Z186 + Reference!$B$5 * AB186)/4</f>
        <v>0</v>
      </c>
      <c r="AD186" s="12">
        <f>IF(Q186=Reference!$C$41, Reference!$D$41, IF(Q186=Reference!$C$42, Reference!$D$42, IF(Q186=Reference!$C$43, Reference!$D$43, IF(Q186=Reference!$C$44, Reference!$D$44, 0))))</f>
        <v>0</v>
      </c>
      <c r="AE186" s="12">
        <f t="shared" si="33"/>
        <v>1</v>
      </c>
    </row>
    <row r="187" spans="1:31" ht="13.15">
      <c r="A187" s="8"/>
      <c r="B187" s="9"/>
      <c r="C187" s="9"/>
      <c r="D187" s="10"/>
      <c r="E187" s="10"/>
      <c r="F187" s="9"/>
      <c r="H187" s="9"/>
      <c r="I187" s="9"/>
      <c r="J187" s="9"/>
      <c r="K187" s="9"/>
      <c r="L187" s="9"/>
      <c r="M187" s="9"/>
      <c r="N187" s="9"/>
      <c r="O187" s="9"/>
      <c r="P187" s="11" t="str">
        <f>IF(AC187&gt;=Reference!$H$2, Reference!$G$2, IF(AC187&gt;=Reference!$H$3, Reference!$G$3, IF(AC187&gt;=Reference!$H$4, Reference!$G$4, IF(AC187&gt;=Reference!$H$5, Reference!$G$5, ""))))</f>
        <v/>
      </c>
      <c r="Q187" s="11" t="str">
        <f t="shared" si="32"/>
        <v/>
      </c>
      <c r="R187" s="11" t="str">
        <f>IF(AE187&gt;=Reference!$D$2, Reference!$G$2, IF(AE187&gt;=Reference!$D$3, Reference!$E$3, IF(AE187&gt;=Reference!$D$4, Reference!$E$4, IF(AE187&gt;=Reference!$D$5, Reference!$E$5, ""))))</f>
        <v>Low</v>
      </c>
      <c r="S187" s="13"/>
      <c r="T187" s="12"/>
      <c r="U187" s="9"/>
      <c r="V187" s="9"/>
      <c r="W187" s="9"/>
      <c r="Y187" s="12">
        <f>IF(H187=Reference!$A$12, Reference!$C$12, IF(H187=Reference!$A$11, Reference!$C$11, IF(H187=Reference!$A$10, Reference!$C$10, IF(H187=Reference!$A$9, Reference!$C$9, 0))))</f>
        <v>0</v>
      </c>
      <c r="Z187" s="12">
        <f>IF(J187=Reference!$A$20, Reference!$C$20, IF(J187=Reference!$A$19, Reference!$C$19, IF(J187=Reference!$A$18, Reference!$C$18, IF(J187=Reference!$A$17, Reference!$C$17, 0))))</f>
        <v>0</v>
      </c>
      <c r="AA187" s="12">
        <f>IF(L187=Reference!$A$28, Reference!$C$28, IF(L187=Reference!$A$27, Reference!$C$27, IF(L187=Reference!$A$26, Reference!$C$26, IF(L187=Reference!$A$25, Reference!$C$25, 0))))</f>
        <v>0</v>
      </c>
      <c r="AB187" s="12">
        <f>IF(N187=Reference!$A$36, Reference!$C$36, IF(N187=Reference!$A$35, Reference!$C$35, IF(N187=Reference!$A$34, Reference!$C$34, IF(N187=Reference!$A$33, Reference!$C$33, 0))))</f>
        <v>0</v>
      </c>
      <c r="AC187" s="12">
        <f>(Reference!$B$2*Y187 + Reference!$B$3*AA187 + Reference!$B$4*Z187 + Reference!$B$5 * AB187)/4</f>
        <v>0</v>
      </c>
      <c r="AD187" s="12">
        <f>IF(Q187=Reference!$C$41, Reference!$D$41, IF(Q187=Reference!$C$42, Reference!$D$42, IF(Q187=Reference!$C$43, Reference!$D$43, IF(Q187=Reference!$C$44, Reference!$D$44, 0))))</f>
        <v>0</v>
      </c>
      <c r="AE187" s="12">
        <f t="shared" si="33"/>
        <v>1</v>
      </c>
    </row>
    <row r="188" spans="1:31" ht="13.15">
      <c r="A188" s="8"/>
      <c r="B188" s="9"/>
      <c r="C188" s="9"/>
      <c r="D188" s="10"/>
      <c r="E188" s="10"/>
      <c r="F188" s="9"/>
      <c r="G188" s="9"/>
      <c r="H188" s="9"/>
      <c r="I188" s="9"/>
      <c r="J188" s="9"/>
      <c r="K188" s="9"/>
      <c r="L188" s="9"/>
      <c r="M188" s="9"/>
      <c r="N188" s="9"/>
      <c r="O188" s="9"/>
      <c r="P188" s="11" t="str">
        <f>IF(AC188&gt;=Reference!$H$2, Reference!$G$2, IF(AC188&gt;=Reference!$H$3, Reference!$G$3, IF(AC188&gt;=Reference!$H$4, Reference!$G$4, IF(AC188&gt;=Reference!$H$5, Reference!$G$5, ""))))</f>
        <v/>
      </c>
      <c r="Q188" s="11" t="str">
        <f t="shared" si="32"/>
        <v/>
      </c>
      <c r="R188" s="11" t="str">
        <f>IF(AE188&gt;=Reference!$D$2, Reference!$G$2, IF(AE188&gt;=Reference!$D$3, Reference!$E$3, IF(AE188&gt;=Reference!$D$4, Reference!$E$4, IF(AE188&gt;=Reference!$D$5, Reference!$E$5, ""))))</f>
        <v>Low</v>
      </c>
      <c r="S188" s="13"/>
      <c r="T188" s="12"/>
      <c r="U188" s="9"/>
      <c r="V188" s="9"/>
      <c r="W188" s="9"/>
      <c r="Y188" s="12">
        <f>IF(H188=Reference!$A$12, Reference!$C$12, IF(H188=Reference!$A$11, Reference!$C$11, IF(H188=Reference!$A$10, Reference!$C$10, IF(H188=Reference!$A$9, Reference!$C$9, 0))))</f>
        <v>0</v>
      </c>
      <c r="Z188" s="12">
        <f>IF(J188=Reference!$A$20, Reference!$C$20, IF(J188=Reference!$A$19, Reference!$C$19, IF(J188=Reference!$A$18, Reference!$C$18, IF(J188=Reference!$A$17, Reference!$C$17, 0))))</f>
        <v>0</v>
      </c>
      <c r="AA188" s="12">
        <f>IF(L188=Reference!$A$28, Reference!$C$28, IF(L188=Reference!$A$27, Reference!$C$27, IF(L188=Reference!$A$26, Reference!$C$26, IF(L188=Reference!$A$25, Reference!$C$25, 0))))</f>
        <v>0</v>
      </c>
      <c r="AB188" s="12">
        <f>IF(N188=Reference!$A$36, Reference!$C$36, IF(N188=Reference!$A$35, Reference!$C$35, IF(N188=Reference!$A$34, Reference!$C$34, IF(N188=Reference!$A$33, Reference!$C$33, 0))))</f>
        <v>0</v>
      </c>
      <c r="AC188" s="12">
        <f>(Reference!$B$2*Y188 + Reference!$B$3*AA188 + Reference!$B$4*Z188 + Reference!$B$5 * AB188)/4</f>
        <v>0</v>
      </c>
      <c r="AD188" s="12">
        <f>IF(Q188=Reference!$C$41, Reference!$D$41, IF(Q188=Reference!$C$42, Reference!$D$42, IF(Q188=Reference!$C$43, Reference!$D$43, IF(Q188=Reference!$C$44, Reference!$D$44, 0))))</f>
        <v>0</v>
      </c>
      <c r="AE188" s="12">
        <f t="shared" si="33"/>
        <v>1</v>
      </c>
    </row>
    <row r="189" spans="1:31" ht="13.15">
      <c r="A189" s="8"/>
      <c r="B189" s="9"/>
      <c r="C189" s="9"/>
      <c r="D189" s="18"/>
      <c r="E189" s="18"/>
      <c r="F189" s="9"/>
      <c r="G189" s="9"/>
      <c r="H189" s="9"/>
      <c r="I189" s="9"/>
      <c r="J189" s="9"/>
      <c r="K189" s="19"/>
      <c r="L189" s="9"/>
      <c r="M189" s="19"/>
      <c r="N189" s="9"/>
      <c r="O189" s="19"/>
      <c r="P189" s="11" t="str">
        <f>IF(AC189&gt;=Reference!$H$2, Reference!$G$2, IF(AC189&gt;=Reference!$H$3, Reference!$G$3, IF(AC189&gt;=Reference!$H$4, Reference!$G$4, IF(AC189&gt;=Reference!$H$5, Reference!$G$5, ""))))</f>
        <v/>
      </c>
      <c r="Q189" s="11" t="str">
        <f t="shared" si="32"/>
        <v/>
      </c>
      <c r="R189" s="11" t="str">
        <f>IF(AE189&gt;=Reference!$D$2, Reference!$G$2, IF(AE189&gt;=Reference!$D$3, Reference!$E$3, IF(AE189&gt;=Reference!$D$4, Reference!$E$4, IF(AE189&gt;=Reference!$D$5, Reference!$E$5, ""))))</f>
        <v>Low</v>
      </c>
      <c r="S189" s="13"/>
      <c r="T189" s="12"/>
      <c r="U189" s="9"/>
      <c r="V189" s="9"/>
      <c r="W189" s="9"/>
      <c r="Y189" s="12">
        <f>IF(H189=Reference!$A$12, Reference!$C$12, IF(H189=Reference!$A$11, Reference!$C$11, IF(H189=Reference!$A$10, Reference!$C$10, IF(H189=Reference!$A$9, Reference!$C$9, 0))))</f>
        <v>0</v>
      </c>
      <c r="Z189" s="12">
        <f>IF(J189=Reference!$A$20, Reference!$C$20, IF(J189=Reference!$A$19, Reference!$C$19, IF(J189=Reference!$A$18, Reference!$C$18, IF(J189=Reference!$A$17, Reference!$C$17, 0))))</f>
        <v>0</v>
      </c>
      <c r="AA189" s="12">
        <f>IF(L189=Reference!$A$28, Reference!$C$28, IF(L189=Reference!$A$27, Reference!$C$27, IF(L189=Reference!$A$26, Reference!$C$26, IF(L189=Reference!$A$25, Reference!$C$25, 0))))</f>
        <v>0</v>
      </c>
      <c r="AB189" s="12">
        <f>IF(N189=Reference!$A$36, Reference!$C$36, IF(N189=Reference!$A$35, Reference!$C$35, IF(N189=Reference!$A$34, Reference!$C$34, IF(N189=Reference!$A$33, Reference!$C$33, 0))))</f>
        <v>0</v>
      </c>
      <c r="AC189" s="12">
        <f>(Reference!$B$2*Y189 + Reference!$B$3*AA189 + Reference!$B$4*Z189 + Reference!$B$5 * AB189)/4</f>
        <v>0</v>
      </c>
      <c r="AD189" s="12">
        <f>IF(Q189=Reference!$C$41, Reference!$D$41, IF(Q189=Reference!$C$42, Reference!$D$42, IF(Q189=Reference!$C$43, Reference!$D$43, IF(Q189=Reference!$C$44, Reference!$D$44, 0))))</f>
        <v>0</v>
      </c>
      <c r="AE189" s="12">
        <f t="shared" si="33"/>
        <v>1</v>
      </c>
    </row>
    <row r="190" spans="1:31" ht="13.15">
      <c r="A190" s="8"/>
      <c r="B190" s="9"/>
      <c r="C190" s="9"/>
      <c r="D190" s="10"/>
      <c r="E190" s="10"/>
      <c r="F190" s="9"/>
      <c r="G190" s="9"/>
      <c r="H190" s="9"/>
      <c r="I190" s="9"/>
      <c r="J190" s="9"/>
      <c r="K190" s="9"/>
      <c r="L190" s="9"/>
      <c r="M190" s="9"/>
      <c r="N190" s="9"/>
      <c r="O190" s="9"/>
      <c r="P190" s="11" t="str">
        <f>IF(AC190&gt;=Reference!$H$2, Reference!$G$2, IF(AC190&gt;=Reference!$H$3, Reference!$G$3, IF(AC190&gt;=Reference!$H$4, Reference!$G$4, IF(AC190&gt;=Reference!$H$5, Reference!$G$5, ""))))</f>
        <v/>
      </c>
      <c r="Q190" s="11" t="str">
        <f t="shared" si="32"/>
        <v/>
      </c>
      <c r="R190" s="11" t="str">
        <f>IF(AE190&gt;=Reference!$D$2, Reference!$G$2, IF(AE190&gt;=Reference!$D$3, Reference!$E$3, IF(AE190&gt;=Reference!$D$4, Reference!$E$4, IF(AE190&gt;=Reference!$D$5, Reference!$E$5, ""))))</f>
        <v>Low</v>
      </c>
      <c r="S190" s="13"/>
      <c r="T190" s="12"/>
      <c r="U190" s="9"/>
      <c r="V190" s="9"/>
      <c r="W190" s="9"/>
      <c r="Y190" s="12">
        <f>IF(H190=Reference!$A$12, Reference!$C$12, IF(H190=Reference!$A$11, Reference!$C$11, IF(H190=Reference!$A$10, Reference!$C$10, IF(H190=Reference!$A$9, Reference!$C$9, 0))))</f>
        <v>0</v>
      </c>
      <c r="Z190" s="12">
        <f>IF(J190=Reference!$A$20, Reference!$C$20, IF(J190=Reference!$A$19, Reference!$C$19, IF(J190=Reference!$A$18, Reference!$C$18, IF(J190=Reference!$A$17, Reference!$C$17, 0))))</f>
        <v>0</v>
      </c>
      <c r="AA190" s="12">
        <f>IF(L190=Reference!$A$28, Reference!$C$28, IF(L190=Reference!$A$27, Reference!$C$27, IF(L190=Reference!$A$26, Reference!$C$26, IF(L190=Reference!$A$25, Reference!$C$25, 0))))</f>
        <v>0</v>
      </c>
      <c r="AB190" s="12">
        <f>IF(N190=Reference!$A$36, Reference!$C$36, IF(N190=Reference!$A$35, Reference!$C$35, IF(N190=Reference!$A$34, Reference!$C$34, IF(N190=Reference!$A$33, Reference!$C$33, 0))))</f>
        <v>0</v>
      </c>
      <c r="AC190" s="12">
        <f>(Reference!$B$2*Y190 + Reference!$B$3*AA190 + Reference!$B$4*Z190 + Reference!$B$5 * AB190)/4</f>
        <v>0</v>
      </c>
      <c r="AD190" s="12">
        <f>IF(Q190=Reference!$C$41, Reference!$D$41, IF(Q190=Reference!$C$42, Reference!$D$42, IF(Q190=Reference!$C$43, Reference!$D$43, IF(Q190=Reference!$C$44, Reference!$D$44, 0))))</f>
        <v>0</v>
      </c>
      <c r="AE190" s="12">
        <f t="shared" si="33"/>
        <v>1</v>
      </c>
    </row>
    <row r="191" spans="1:31" ht="13.15">
      <c r="A191" s="8"/>
      <c r="B191" s="9"/>
      <c r="C191" s="9"/>
      <c r="D191" s="10"/>
      <c r="E191" s="10"/>
      <c r="F191" s="9"/>
      <c r="G191" s="9"/>
      <c r="H191" s="9"/>
      <c r="I191" s="20"/>
      <c r="J191" s="9"/>
      <c r="K191" s="9"/>
      <c r="L191" s="9"/>
      <c r="M191" s="9"/>
      <c r="N191" s="9"/>
      <c r="O191" s="9"/>
      <c r="P191" s="11" t="str">
        <f>IF(AC191&gt;=Reference!$H$2, Reference!$G$2, IF(AC191&gt;=Reference!$H$3, Reference!$G$3, IF(AC191&gt;=Reference!$H$4, Reference!$G$4, IF(AC191&gt;=Reference!$H$5, Reference!$G$5, ""))))</f>
        <v/>
      </c>
      <c r="Q191" s="11" t="str">
        <f t="shared" si="32"/>
        <v/>
      </c>
      <c r="R191" s="11" t="str">
        <f>IF(AE191&gt;=Reference!$D$2, Reference!$G$2, IF(AE191&gt;=Reference!$D$3, Reference!$E$3, IF(AE191&gt;=Reference!$D$4, Reference!$E$4, IF(AE191&gt;=Reference!$D$5, Reference!$E$5, ""))))</f>
        <v>Low</v>
      </c>
      <c r="S191" s="13"/>
      <c r="T191" s="12"/>
      <c r="U191" s="9"/>
      <c r="V191" s="9"/>
      <c r="W191" s="9"/>
      <c r="Y191" s="12">
        <f>IF(H191=Reference!$A$12, Reference!$C$12, IF(H191=Reference!$A$11, Reference!$C$11, IF(H191=Reference!$A$10, Reference!$C$10, IF(H191=Reference!$A$9, Reference!$C$9, 0))))</f>
        <v>0</v>
      </c>
      <c r="Z191" s="12">
        <f>IF(J191=Reference!$A$20, Reference!$C$20, IF(J191=Reference!$A$19, Reference!$C$19, IF(J191=Reference!$A$18, Reference!$C$18, IF(J191=Reference!$A$17, Reference!$C$17, 0))))</f>
        <v>0</v>
      </c>
      <c r="AA191" s="12">
        <f>IF(L191=Reference!$A$28, Reference!$C$28, IF(L191=Reference!$A$27, Reference!$C$27, IF(L191=Reference!$A$26, Reference!$C$26, IF(L191=Reference!$A$25, Reference!$C$25, 0))))</f>
        <v>0</v>
      </c>
      <c r="AB191" s="12">
        <f>IF(N191=Reference!$A$36, Reference!$C$36, IF(N191=Reference!$A$35, Reference!$C$35, IF(N191=Reference!$A$34, Reference!$C$34, IF(N191=Reference!$A$33, Reference!$C$33, 0))))</f>
        <v>0</v>
      </c>
      <c r="AC191" s="12">
        <f>(Reference!$B$2*Y191 + Reference!$B$3*AA191 + Reference!$B$4*Z191 + Reference!$B$5 * AB191)/4</f>
        <v>0</v>
      </c>
      <c r="AD191" s="12">
        <f>IF(Q191=Reference!$C$41, Reference!$D$41, IF(Q191=Reference!$C$42, Reference!$D$42, IF(Q191=Reference!$C$43, Reference!$D$43, IF(Q191=Reference!$C$44, Reference!$D$44, 0))))</f>
        <v>0</v>
      </c>
      <c r="AE191" s="12">
        <f t="shared" si="33"/>
        <v>1</v>
      </c>
    </row>
    <row r="192" spans="1:31" ht="13.15">
      <c r="A192" s="8"/>
      <c r="B192" s="9"/>
      <c r="C192" s="9"/>
      <c r="D192" s="10"/>
      <c r="E192" s="10"/>
      <c r="F192" s="9"/>
      <c r="H192" s="9"/>
      <c r="I192" s="9"/>
      <c r="J192" s="9"/>
      <c r="K192" s="9"/>
      <c r="L192" s="9"/>
      <c r="M192" s="9"/>
      <c r="N192" s="9"/>
      <c r="O192" s="9"/>
      <c r="P192" s="11" t="str">
        <f>IF(AC192&gt;=Reference!$H$2, Reference!$G$2, IF(AC192&gt;=Reference!$H$3, Reference!$G$3, IF(AC192&gt;=Reference!$H$4, Reference!$G$4, IF(AC192&gt;=Reference!$H$5, Reference!$G$5, ""))))</f>
        <v/>
      </c>
      <c r="Q192" s="11" t="str">
        <f t="shared" si="32"/>
        <v/>
      </c>
      <c r="R192" s="11" t="str">
        <f>IF(AE192&gt;=Reference!$D$2, Reference!$G$2, IF(AE192&gt;=Reference!$D$3, Reference!$E$3, IF(AE192&gt;=Reference!$D$4, Reference!$E$4, IF(AE192&gt;=Reference!$D$5, Reference!$E$5, ""))))</f>
        <v>Low</v>
      </c>
      <c r="S192" s="13"/>
      <c r="T192" s="12"/>
      <c r="U192" s="9"/>
      <c r="V192" s="9"/>
      <c r="W192" s="9"/>
      <c r="Y192" s="12">
        <f>IF(H192=Reference!$A$12, Reference!$C$12, IF(H192=Reference!$A$11, Reference!$C$11, IF(H192=Reference!$A$10, Reference!$C$10, IF(H192=Reference!$A$9, Reference!$C$9, 0))))</f>
        <v>0</v>
      </c>
      <c r="Z192" s="12">
        <f>IF(J192=Reference!$A$20, Reference!$C$20, IF(J192=Reference!$A$19, Reference!$C$19, IF(J192=Reference!$A$18, Reference!$C$18, IF(J192=Reference!$A$17, Reference!$C$17, 0))))</f>
        <v>0</v>
      </c>
      <c r="AA192" s="12">
        <f>IF(L192=Reference!$A$28, Reference!$C$28, IF(L192=Reference!$A$27, Reference!$C$27, IF(L192=Reference!$A$26, Reference!$C$26, IF(L192=Reference!$A$25, Reference!$C$25, 0))))</f>
        <v>0</v>
      </c>
      <c r="AB192" s="12">
        <f>IF(N192=Reference!$A$36, Reference!$C$36, IF(N192=Reference!$A$35, Reference!$C$35, IF(N192=Reference!$A$34, Reference!$C$34, IF(N192=Reference!$A$33, Reference!$C$33, 0))))</f>
        <v>0</v>
      </c>
      <c r="AC192" s="12">
        <f>(Reference!$B$2*Y192 + Reference!$B$3*AA192 + Reference!$B$4*Z192 + Reference!$B$5 * AB192)/4</f>
        <v>0</v>
      </c>
      <c r="AD192" s="12">
        <f>IF(Q192=Reference!$C$41, Reference!$D$41, IF(Q192=Reference!$C$42, Reference!$D$42, IF(Q192=Reference!$C$43, Reference!$D$43, IF(Q192=Reference!$C$44, Reference!$D$44, 0))))</f>
        <v>0</v>
      </c>
      <c r="AE192" s="12">
        <f t="shared" si="33"/>
        <v>1</v>
      </c>
    </row>
    <row r="193" spans="1:31" ht="13.15">
      <c r="A193" s="8"/>
      <c r="B193" s="9"/>
      <c r="C193" s="9"/>
      <c r="D193" s="10"/>
      <c r="E193" s="10"/>
      <c r="F193" s="9"/>
      <c r="G193" s="9"/>
      <c r="H193" s="9"/>
      <c r="I193" s="9"/>
      <c r="J193" s="9"/>
      <c r="K193" s="9"/>
      <c r="L193" s="9"/>
      <c r="M193" s="9"/>
      <c r="N193" s="9"/>
      <c r="O193" s="9"/>
      <c r="P193" s="11" t="str">
        <f>IF(AC193&gt;=Reference!$H$2, Reference!$G$2, IF(AC193&gt;=Reference!$H$3, Reference!$G$3, IF(AC193&gt;=Reference!$H$4, Reference!$G$4, IF(AC193&gt;=Reference!$H$5, Reference!$G$5, ""))))</f>
        <v/>
      </c>
      <c r="Q193" s="11" t="str">
        <f t="shared" si="32"/>
        <v/>
      </c>
      <c r="R193" s="11" t="str">
        <f>IF(AE193&gt;=Reference!$D$2, Reference!$G$2, IF(AE193&gt;=Reference!$D$3, Reference!$E$3, IF(AE193&gt;=Reference!$D$4, Reference!$E$4, IF(AE193&gt;=Reference!$D$5, Reference!$E$5, ""))))</f>
        <v>Low</v>
      </c>
      <c r="S193" s="9"/>
      <c r="T193" s="9"/>
      <c r="U193" s="9"/>
      <c r="V193" s="25"/>
      <c r="W193" s="9"/>
      <c r="Y193" s="12">
        <f>IF(H193=Reference!$A$12, Reference!$C$12, IF(H193=Reference!$A$11, Reference!$C$11, IF(H193=Reference!$A$10, Reference!$C$10, IF(H193=Reference!$A$9, Reference!$C$9, 0))))</f>
        <v>0</v>
      </c>
      <c r="Z193" s="12">
        <f>IF(J193=Reference!$A$20, Reference!$C$20, IF(J193=Reference!$A$19, Reference!$C$19, IF(J193=Reference!$A$18, Reference!$C$18, IF(J193=Reference!$A$17, Reference!$C$17, 0))))</f>
        <v>0</v>
      </c>
      <c r="AA193" s="12">
        <f>IF(L193=Reference!$A$28, Reference!$C$28, IF(L193=Reference!$A$27, Reference!$C$27, IF(L193=Reference!$A$26, Reference!$C$26, IF(L193=Reference!$A$25, Reference!$C$25, 0))))</f>
        <v>0</v>
      </c>
      <c r="AB193" s="12">
        <f>IF(N193=Reference!$A$36, Reference!$C$36, IF(N193=Reference!$A$35, Reference!$C$35, IF(N193=Reference!$A$34, Reference!$C$34, IF(N193=Reference!$A$33, Reference!$C$33, 0))))</f>
        <v>0</v>
      </c>
      <c r="AC193" s="12">
        <f>(Reference!$B$2*Y193 + Reference!$B$3*AA193 + Reference!$B$4*Z193 + Reference!$B$5 * AB193)/4</f>
        <v>0</v>
      </c>
      <c r="AD193" s="12">
        <f>IF(Q193=Reference!$C$41, Reference!$D$41, IF(Q193=Reference!$C$42, Reference!$D$42, IF(Q193=Reference!$C$43, Reference!$D$43, IF(Q193=Reference!$C$44, Reference!$D$44, 0))))</f>
        <v>0</v>
      </c>
      <c r="AE193" s="12">
        <f t="shared" si="33"/>
        <v>1</v>
      </c>
    </row>
    <row r="194" spans="1:31" ht="14.45">
      <c r="A194" s="8"/>
      <c r="B194" s="9"/>
      <c r="C194" s="9"/>
      <c r="D194" s="10"/>
      <c r="E194" s="10"/>
      <c r="F194" s="9"/>
      <c r="G194" s="28"/>
      <c r="H194" s="9"/>
      <c r="I194" s="9"/>
      <c r="J194" s="9"/>
      <c r="K194" s="9"/>
      <c r="L194" s="9"/>
      <c r="M194" s="9"/>
      <c r="N194" s="9"/>
      <c r="O194" s="9"/>
      <c r="P194" s="11" t="str">
        <f>IF(AC194&gt;=Reference!$H$2, Reference!$G$2, IF(AC194&gt;=Reference!$H$3, Reference!$G$3, IF(AC194&gt;=Reference!$H$4, Reference!$G$4, IF(AC194&gt;=Reference!$H$5, Reference!$G$5, ""))))</f>
        <v/>
      </c>
      <c r="Q194" s="11" t="str">
        <f t="shared" si="32"/>
        <v/>
      </c>
      <c r="R194" s="11" t="str">
        <f>IF(AE194&gt;=Reference!$D$2, Reference!$G$2, IF(AE194&gt;=Reference!$D$3, Reference!$E$3, IF(AE194&gt;=Reference!$D$4, Reference!$E$4, IF(AE194&gt;=Reference!$D$5, Reference!$E$5, ""))))</f>
        <v>Low</v>
      </c>
      <c r="S194" s="9"/>
      <c r="T194" s="28"/>
      <c r="U194" s="9"/>
      <c r="V194" s="9"/>
      <c r="W194" s="9"/>
      <c r="Y194" s="12">
        <f>IF(H194=Reference!$A$12, Reference!$C$12, IF(H194=Reference!$A$11, Reference!$C$11, IF(H194=Reference!$A$10, Reference!$C$10, IF(H194=Reference!$A$9, Reference!$C$9, 0))))</f>
        <v>0</v>
      </c>
      <c r="Z194" s="12">
        <f>IF(J194=Reference!$A$20, Reference!$C$20, IF(J194=Reference!$A$19, Reference!$C$19, IF(J194=Reference!$A$18, Reference!$C$18, IF(J194=Reference!$A$17, Reference!$C$17, 0))))</f>
        <v>0</v>
      </c>
      <c r="AA194" s="12">
        <f>IF(L194=Reference!$A$28, Reference!$C$28, IF(L194=Reference!$A$27, Reference!$C$27, IF(L194=Reference!$A$26, Reference!$C$26, IF(L194=Reference!$A$25, Reference!$C$25, 0))))</f>
        <v>0</v>
      </c>
      <c r="AB194" s="12">
        <f>IF(N194=Reference!$A$36, Reference!$C$36, IF(N194=Reference!$A$35, Reference!$C$35, IF(N194=Reference!$A$34, Reference!$C$34, IF(N194=Reference!$A$33, Reference!$C$33, 0))))</f>
        <v>0</v>
      </c>
      <c r="AC194" s="12">
        <f>(Reference!$B$2*Y194 + Reference!$B$3*AA194 + Reference!$B$4*Z194 + Reference!$B$5 * AB194)/4</f>
        <v>0</v>
      </c>
      <c r="AD194" s="12">
        <f>IF(Q194=Reference!$C$41, Reference!$D$41, IF(Q194=Reference!$C$42, Reference!$D$42, IF(Q194=Reference!$C$43, Reference!$D$43, IF(Q194=Reference!$C$44, Reference!$D$44, 0))))</f>
        <v>0</v>
      </c>
      <c r="AE194" s="12">
        <f t="shared" si="33"/>
        <v>1</v>
      </c>
    </row>
    <row r="195" spans="1:31" ht="13.15">
      <c r="A195" s="8"/>
      <c r="B195" s="9"/>
      <c r="C195" s="9"/>
      <c r="D195" s="10"/>
      <c r="E195" s="10"/>
      <c r="F195" s="9"/>
      <c r="G195" s="9"/>
      <c r="H195" s="9"/>
      <c r="I195" s="9"/>
      <c r="J195" s="9"/>
      <c r="K195" s="9"/>
      <c r="L195" s="9"/>
      <c r="M195" s="9"/>
      <c r="N195" s="9"/>
      <c r="O195" s="9"/>
      <c r="P195" s="11" t="str">
        <f>IF(AC195&gt;=Reference!$H$2, Reference!$G$2, IF(AC195&gt;=Reference!$H$3, Reference!$G$3, IF(AC195&gt;=Reference!$H$4, Reference!$G$4, IF(AC195&gt;=Reference!$H$5, Reference!$G$5, ""))))</f>
        <v/>
      </c>
      <c r="Q195" s="11" t="str">
        <f t="shared" si="32"/>
        <v/>
      </c>
      <c r="R195" s="11" t="str">
        <f>IF(AE195&gt;=Reference!$D$2, Reference!$G$2, IF(AE195&gt;=Reference!$D$3, Reference!$E$3, IF(AE195&gt;=Reference!$D$4, Reference!$E$4, IF(AE195&gt;=Reference!$D$5, Reference!$E$5, ""))))</f>
        <v>Low</v>
      </c>
      <c r="S195" s="9"/>
      <c r="T195" s="9"/>
      <c r="U195" s="9"/>
      <c r="V195" s="9"/>
      <c r="W195" s="9"/>
      <c r="Y195" s="12">
        <f>IF(H195=Reference!$A$12, Reference!$C$12, IF(H195=Reference!$A$11, Reference!$C$11, IF(H195=Reference!$A$10, Reference!$C$10, IF(H195=Reference!$A$9, Reference!$C$9, 0))))</f>
        <v>0</v>
      </c>
      <c r="Z195" s="12">
        <f>IF(J195=Reference!$A$20, Reference!$C$20, IF(J195=Reference!$A$19, Reference!$C$19, IF(J195=Reference!$A$18, Reference!$C$18, IF(J195=Reference!$A$17, Reference!$C$17, 0))))</f>
        <v>0</v>
      </c>
      <c r="AA195" s="12">
        <f>IF(L195=Reference!$A$28, Reference!$C$28, IF(L195=Reference!$A$27, Reference!$C$27, IF(L195=Reference!$A$26, Reference!$C$26, IF(L195=Reference!$A$25, Reference!$C$25, 0))))</f>
        <v>0</v>
      </c>
      <c r="AB195" s="12">
        <f>IF(N195=Reference!$A$36, Reference!$C$36, IF(N195=Reference!$A$35, Reference!$C$35, IF(N195=Reference!$A$34, Reference!$C$34, IF(N195=Reference!$A$33, Reference!$C$33, 0))))</f>
        <v>0</v>
      </c>
      <c r="AC195" s="12">
        <f>(Reference!$B$2*Y195 + Reference!$B$3*AA195 + Reference!$B$4*Z195 + Reference!$B$5 * AB195)/4</f>
        <v>0</v>
      </c>
      <c r="AD195" s="12">
        <f>IF(Q195=Reference!$C$41, Reference!$D$41, IF(Q195=Reference!$C$42, Reference!$D$42, IF(Q195=Reference!$C$43, Reference!$D$43, IF(Q195=Reference!$C$44, Reference!$D$44, 0))))</f>
        <v>0</v>
      </c>
      <c r="AE195" s="12">
        <f t="shared" si="33"/>
        <v>1</v>
      </c>
    </row>
    <row r="196" spans="1:31" ht="13.15">
      <c r="A196" s="8"/>
      <c r="B196" s="9"/>
      <c r="C196" s="9"/>
      <c r="D196" s="10"/>
      <c r="E196" s="10"/>
      <c r="F196" s="9"/>
      <c r="G196" s="9"/>
      <c r="H196" s="9"/>
      <c r="I196" s="9"/>
      <c r="J196" s="9"/>
      <c r="K196" s="9"/>
      <c r="L196" s="9"/>
      <c r="M196" s="9"/>
      <c r="N196" s="9"/>
      <c r="O196" s="9"/>
      <c r="P196" s="11" t="str">
        <f>IF(AC196&gt;=Reference!$H$2, Reference!$G$2, IF(AC196&gt;=Reference!$H$3, Reference!$G$3, IF(AC196&gt;=Reference!$H$4, Reference!$G$4, IF(AC196&gt;=Reference!$H$5, Reference!$G$5, ""))))</f>
        <v/>
      </c>
      <c r="Q196" s="11" t="str">
        <f t="shared" si="32"/>
        <v/>
      </c>
      <c r="R196" s="11" t="str">
        <f>IF(AE196&gt;=Reference!$D$2, Reference!$G$2, IF(AE196&gt;=Reference!$D$3, Reference!$E$3, IF(AE196&gt;=Reference!$D$4, Reference!$E$4, IF(AE196&gt;=Reference!$D$5, Reference!$E$5, ""))))</f>
        <v>Low</v>
      </c>
      <c r="S196" s="9"/>
      <c r="T196" s="9"/>
      <c r="U196" s="9"/>
      <c r="V196" s="9"/>
      <c r="W196" s="9"/>
      <c r="Y196" s="12">
        <f>IF(H196=Reference!$A$12, Reference!$C$12, IF(H196=Reference!$A$11, Reference!$C$11, IF(H196=Reference!$A$10, Reference!$C$10, IF(H196=Reference!$A$9, Reference!$C$9, 0))))</f>
        <v>0</v>
      </c>
      <c r="Z196" s="12">
        <f>IF(J196=Reference!$A$20, Reference!$C$20, IF(J196=Reference!$A$19, Reference!$C$19, IF(J196=Reference!$A$18, Reference!$C$18, IF(J196=Reference!$A$17, Reference!$C$17, 0))))</f>
        <v>0</v>
      </c>
      <c r="AA196" s="12">
        <f>IF(L196=Reference!$A$28, Reference!$C$28, IF(L196=Reference!$A$27, Reference!$C$27, IF(L196=Reference!$A$26, Reference!$C$26, IF(L196=Reference!$A$25, Reference!$C$25, 0))))</f>
        <v>0</v>
      </c>
      <c r="AB196" s="12">
        <f>IF(N196=Reference!$A$36, Reference!$C$36, IF(N196=Reference!$A$35, Reference!$C$35, IF(N196=Reference!$A$34, Reference!$C$34, IF(N196=Reference!$A$33, Reference!$C$33, 0))))</f>
        <v>0</v>
      </c>
      <c r="AC196" s="12">
        <f>(Reference!$B$2*Y196 + Reference!$B$3*AA196 + Reference!$B$4*Z196 + Reference!$B$5 * AB196)/4</f>
        <v>0</v>
      </c>
      <c r="AD196" s="12">
        <f>IF(Q196=Reference!$C$41, Reference!$D$41, IF(Q196=Reference!$C$42, Reference!$D$42, IF(Q196=Reference!$C$43, Reference!$D$43, IF(Q196=Reference!$C$44, Reference!$D$44, 0))))</f>
        <v>0</v>
      </c>
      <c r="AE196" s="12">
        <f t="shared" si="33"/>
        <v>1</v>
      </c>
    </row>
    <row r="197" spans="1:31" ht="13.15">
      <c r="A197" s="8"/>
      <c r="B197" s="9"/>
      <c r="C197" s="9"/>
      <c r="D197" s="10"/>
      <c r="E197" s="10"/>
      <c r="F197" s="9"/>
      <c r="G197" s="9"/>
      <c r="H197" s="9"/>
      <c r="I197" s="9"/>
      <c r="J197" s="9"/>
      <c r="K197" s="9"/>
      <c r="L197" s="9"/>
      <c r="M197" s="9"/>
      <c r="N197" s="9"/>
      <c r="O197" s="9"/>
      <c r="P197" s="11" t="str">
        <f>IF(AC197&gt;=Reference!$H$2, Reference!$G$2, IF(AC197&gt;=Reference!$H$3, Reference!$G$3, IF(AC197&gt;=Reference!$H$4, Reference!$G$4, IF(AC197&gt;=Reference!$H$5, Reference!$G$5, ""))))</f>
        <v/>
      </c>
      <c r="Q197" s="11" t="str">
        <f t="shared" si="32"/>
        <v/>
      </c>
      <c r="R197" s="11" t="str">
        <f>IF(AE197&gt;=Reference!$D$2, Reference!$G$2, IF(AE197&gt;=Reference!$D$3, Reference!$E$3, IF(AE197&gt;=Reference!$D$4, Reference!$E$4, IF(AE197&gt;=Reference!$D$5, Reference!$E$5, ""))))</f>
        <v>Low</v>
      </c>
      <c r="S197" s="9"/>
      <c r="T197" s="31"/>
      <c r="U197" s="9"/>
      <c r="V197" s="9"/>
      <c r="W197" s="9"/>
      <c r="Y197" s="12">
        <f>IF(H197=Reference!$A$12, Reference!$C$12, IF(H197=Reference!$A$11, Reference!$C$11, IF(H197=Reference!$A$10, Reference!$C$10, IF(H197=Reference!$A$9, Reference!$C$9, 0))))</f>
        <v>0</v>
      </c>
      <c r="Z197" s="12">
        <f>IF(J197=Reference!$A$20, Reference!$C$20, IF(J197=Reference!$A$19, Reference!$C$19, IF(J197=Reference!$A$18, Reference!$C$18, IF(J197=Reference!$A$17, Reference!$C$17, 0))))</f>
        <v>0</v>
      </c>
      <c r="AA197" s="12">
        <f>IF(L197=Reference!$A$28, Reference!$C$28, IF(L197=Reference!$A$27, Reference!$C$27, IF(L197=Reference!$A$26, Reference!$C$26, IF(L197=Reference!$A$25, Reference!$C$25, 0))))</f>
        <v>0</v>
      </c>
      <c r="AB197" s="12">
        <f>IF(N197=Reference!$A$36, Reference!$C$36, IF(N197=Reference!$A$35, Reference!$C$35, IF(N197=Reference!$A$34, Reference!$C$34, IF(N197=Reference!$A$33, Reference!$C$33, 0))))</f>
        <v>0</v>
      </c>
      <c r="AC197" s="12">
        <f>(Reference!$B$2*Y197 + Reference!$B$3*AA197 + Reference!$B$4*Z197 + Reference!$B$5 * AB197)/4</f>
        <v>0</v>
      </c>
      <c r="AD197" s="12">
        <f>IF(Q197=Reference!$C$41, Reference!$D$41, IF(Q197=Reference!$C$42, Reference!$D$42, IF(Q197=Reference!$C$43, Reference!$D$43, IF(Q197=Reference!$C$44, Reference!$D$44, 0))))</f>
        <v>0</v>
      </c>
      <c r="AE197" s="12">
        <f t="shared" si="33"/>
        <v>1</v>
      </c>
    </row>
    <row r="198" spans="1:31" ht="13.15">
      <c r="A198" s="8"/>
      <c r="B198" s="9"/>
      <c r="C198" s="9"/>
      <c r="D198" s="10"/>
      <c r="E198" s="10"/>
      <c r="F198" s="9"/>
      <c r="G198" s="9"/>
      <c r="H198" s="9"/>
      <c r="I198" s="9"/>
      <c r="J198" s="9"/>
      <c r="K198" s="19"/>
      <c r="L198" s="9"/>
      <c r="M198" s="9"/>
      <c r="N198" s="9"/>
      <c r="O198" s="19"/>
      <c r="P198" s="11" t="str">
        <f>IF(AC198&gt;=Reference!$H$2, Reference!$G$2, IF(AC198&gt;=Reference!$H$3, Reference!$G$3, IF(AC198&gt;=Reference!$H$4, Reference!$G$4, IF(AC198&gt;=Reference!$H$5, Reference!$G$5, ""))))</f>
        <v/>
      </c>
      <c r="Q198" s="11" t="str">
        <f t="shared" si="32"/>
        <v/>
      </c>
      <c r="R198" s="11" t="str">
        <f>IF(AE198&gt;=Reference!$D$2, Reference!$G$2, IF(AE198&gt;=Reference!$D$3, Reference!$E$3, IF(AE198&gt;=Reference!$D$4, Reference!$E$4, IF(AE198&gt;=Reference!$D$5, Reference!$E$5, ""))))</f>
        <v>Low</v>
      </c>
      <c r="S198" s="9"/>
      <c r="T198" s="9"/>
      <c r="U198" s="9"/>
      <c r="V198" s="9"/>
      <c r="W198" s="9"/>
      <c r="Y198" s="12">
        <f>IF(H198=Reference!$A$12, Reference!$C$12, IF(H198=Reference!$A$11, Reference!$C$11, IF(H198=Reference!$A$10, Reference!$C$10, IF(H198=Reference!$A$9, Reference!$C$9, 0))))</f>
        <v>0</v>
      </c>
      <c r="Z198" s="12">
        <f>IF(J198=Reference!$A$20, Reference!$C$20, IF(J198=Reference!$A$19, Reference!$C$19, IF(J198=Reference!$A$18, Reference!$C$18, IF(J198=Reference!$A$17, Reference!$C$17, 0))))</f>
        <v>0</v>
      </c>
      <c r="AA198" s="12">
        <f>IF(L198=Reference!$A$28, Reference!$C$28, IF(L198=Reference!$A$27, Reference!$C$27, IF(L198=Reference!$A$26, Reference!$C$26, IF(L198=Reference!$A$25, Reference!$C$25, 0))))</f>
        <v>0</v>
      </c>
      <c r="AB198" s="12">
        <f>IF(N198=Reference!$A$36, Reference!$C$36, IF(N198=Reference!$A$35, Reference!$C$35, IF(N198=Reference!$A$34, Reference!$C$34, IF(N198=Reference!$A$33, Reference!$C$33, 0))))</f>
        <v>0</v>
      </c>
      <c r="AC198" s="12">
        <f>(Reference!$B$2*Y198 + Reference!$B$3*AA198 + Reference!$B$4*Z198 + Reference!$B$5 * AB198)/4</f>
        <v>0</v>
      </c>
      <c r="AD198" s="12">
        <f>IF(Q198=Reference!$C$41, Reference!$D$41, IF(Q198=Reference!$C$42, Reference!$D$42, IF(Q198=Reference!$C$43, Reference!$D$43, IF(Q198=Reference!$C$44, Reference!$D$44, 0))))</f>
        <v>0</v>
      </c>
      <c r="AE198" s="12">
        <f t="shared" si="33"/>
        <v>1</v>
      </c>
    </row>
    <row r="199" spans="1:31" ht="13.15">
      <c r="A199" s="8"/>
      <c r="B199" s="9"/>
      <c r="C199" s="9"/>
      <c r="D199" s="10"/>
      <c r="E199" s="10"/>
      <c r="F199" s="9"/>
      <c r="G199" s="9"/>
      <c r="H199" s="9"/>
      <c r="I199" s="29"/>
      <c r="J199" s="9"/>
      <c r="K199" s="19"/>
      <c r="L199" s="9"/>
      <c r="M199" s="9"/>
      <c r="N199" s="9"/>
      <c r="O199" s="9"/>
      <c r="P199" s="11" t="str">
        <f>IF(AC199&gt;=Reference!$H$2, Reference!$G$2, IF(AC199&gt;=Reference!$H$3, Reference!$G$3, IF(AC199&gt;=Reference!$H$4, Reference!$G$4, IF(AC199&gt;=Reference!$H$5, Reference!$G$5, ""))))</f>
        <v/>
      </c>
      <c r="Q199" s="11" t="str">
        <f t="shared" si="32"/>
        <v/>
      </c>
      <c r="R199" s="11" t="str">
        <f>IF(AE199&gt;=Reference!$D$2, Reference!$G$2, IF(AE199&gt;=Reference!$D$3, Reference!$E$3, IF(AE199&gt;=Reference!$D$4, Reference!$E$4, IF(AE199&gt;=Reference!$D$5, Reference!$E$5, ""))))</f>
        <v>Low</v>
      </c>
      <c r="S199" s="9"/>
      <c r="T199" s="9"/>
      <c r="U199" s="9"/>
      <c r="V199" s="19"/>
      <c r="W199" s="9"/>
      <c r="Y199" s="12">
        <f>IF(H199=Reference!$A$12, Reference!$C$12, IF(H199=Reference!$A$11, Reference!$C$11, IF(H199=Reference!$A$10, Reference!$C$10, IF(H199=Reference!$A$9, Reference!$C$9, 0))))</f>
        <v>0</v>
      </c>
      <c r="Z199" s="12">
        <f>IF(J199=Reference!$A$20, Reference!$C$20, IF(J199=Reference!$A$19, Reference!$C$19, IF(J199=Reference!$A$18, Reference!$C$18, IF(J199=Reference!$A$17, Reference!$C$17, 0))))</f>
        <v>0</v>
      </c>
      <c r="AA199" s="12">
        <f>IF(L199=Reference!$A$28, Reference!$C$28, IF(L199=Reference!$A$27, Reference!$C$27, IF(L199=Reference!$A$26, Reference!$C$26, IF(L199=Reference!$A$25, Reference!$C$25, 0))))</f>
        <v>0</v>
      </c>
      <c r="AB199" s="12">
        <f>IF(N199=Reference!$A$36, Reference!$C$36, IF(N199=Reference!$A$35, Reference!$C$35, IF(N199=Reference!$A$34, Reference!$C$34, IF(N199=Reference!$A$33, Reference!$C$33, 0))))</f>
        <v>0</v>
      </c>
      <c r="AC199" s="12">
        <f>(Reference!$B$2*Y199 + Reference!$B$3*AA199 + Reference!$B$4*Z199 + Reference!$B$5 * AB199)/4</f>
        <v>0</v>
      </c>
      <c r="AD199" s="12">
        <f>IF(Q199=Reference!$C$41, Reference!$D$41, IF(Q199=Reference!$C$42, Reference!$D$42, IF(Q199=Reference!$C$43, Reference!$D$43, IF(Q199=Reference!$C$44, Reference!$D$44, 0))))</f>
        <v>0</v>
      </c>
      <c r="AE199" s="12">
        <f t="shared" si="33"/>
        <v>1</v>
      </c>
    </row>
    <row r="200" spans="1:31" ht="13.15">
      <c r="A200" s="8"/>
      <c r="B200" s="9"/>
      <c r="C200" s="9"/>
      <c r="D200" s="10"/>
      <c r="E200" s="10"/>
      <c r="F200" s="9"/>
      <c r="G200" s="10"/>
      <c r="H200" s="9"/>
      <c r="I200" s="9"/>
      <c r="J200" s="9"/>
      <c r="K200" s="19"/>
      <c r="L200" s="9"/>
      <c r="M200" s="9"/>
      <c r="N200" s="9"/>
      <c r="O200" s="9"/>
      <c r="P200" s="11" t="str">
        <f>IF(AC200&gt;=Reference!$H$2, Reference!$G$2, IF(AC200&gt;=Reference!$H$3, Reference!$G$3, IF(AC200&gt;=Reference!$H$4, Reference!$G$4, IF(AC200&gt;=Reference!$H$5, Reference!$G$5, ""))))</f>
        <v/>
      </c>
      <c r="Q200" s="11" t="str">
        <f t="shared" si="32"/>
        <v/>
      </c>
      <c r="R200" s="11" t="str">
        <f>IF(AE200&gt;=Reference!$D$2, Reference!$G$2, IF(AE200&gt;=Reference!$D$3, Reference!$E$3, IF(AE200&gt;=Reference!$D$4, Reference!$E$4, IF(AE200&gt;=Reference!$D$5, Reference!$E$5, ""))))</f>
        <v>Low</v>
      </c>
      <c r="S200" s="9"/>
      <c r="T200" s="9"/>
      <c r="U200" s="9"/>
      <c r="V200" s="9"/>
      <c r="W200" s="9"/>
      <c r="Y200" s="12">
        <f>IF(H200=Reference!$A$12, Reference!$C$12, IF(H200=Reference!$A$11, Reference!$C$11, IF(H200=Reference!$A$10, Reference!$C$10, IF(H200=Reference!$A$9, Reference!$C$9, 0))))</f>
        <v>0</v>
      </c>
      <c r="Z200" s="12">
        <f>IF(J200=Reference!$A$20, Reference!$C$20, IF(J200=Reference!$A$19, Reference!$C$19, IF(J200=Reference!$A$18, Reference!$C$18, IF(J200=Reference!$A$17, Reference!$C$17, 0))))</f>
        <v>0</v>
      </c>
      <c r="AA200" s="12">
        <f>IF(L200=Reference!$A$28, Reference!$C$28, IF(L200=Reference!$A$27, Reference!$C$27, IF(L200=Reference!$A$26, Reference!$C$26, IF(L200=Reference!$A$25, Reference!$C$25, 0))))</f>
        <v>0</v>
      </c>
      <c r="AB200" s="12">
        <f>IF(N200=Reference!$A$36, Reference!$C$36, IF(N200=Reference!$A$35, Reference!$C$35, IF(N200=Reference!$A$34, Reference!$C$34, IF(N200=Reference!$A$33, Reference!$C$33, 0))))</f>
        <v>0</v>
      </c>
      <c r="AC200" s="12">
        <f>(Reference!$B$2*Y200 + Reference!$B$3*AA200 + Reference!$B$4*Z200 + Reference!$B$5 * AB200)/4</f>
        <v>0</v>
      </c>
      <c r="AD200" s="12">
        <f>IF(Q200=Reference!$C$41, Reference!$D$41, IF(Q200=Reference!$C$42, Reference!$D$42, IF(Q200=Reference!$C$43, Reference!$D$43, IF(Q200=Reference!$C$44, Reference!$D$44, 0))))</f>
        <v>0</v>
      </c>
      <c r="AE200" s="12">
        <f t="shared" si="33"/>
        <v>1</v>
      </c>
    </row>
    <row r="201" spans="1:31" ht="13.15">
      <c r="A201" s="8"/>
      <c r="B201" s="9"/>
      <c r="C201" s="9"/>
      <c r="D201" s="10"/>
      <c r="E201" s="10"/>
      <c r="F201" s="9"/>
      <c r="G201" s="9"/>
      <c r="H201" s="9"/>
      <c r="I201" s="9"/>
      <c r="J201" s="9"/>
      <c r="K201" s="9"/>
      <c r="L201" s="9"/>
      <c r="M201" s="9"/>
      <c r="N201" s="9"/>
      <c r="O201" s="9"/>
      <c r="P201" s="11" t="str">
        <f>IF(AC201&gt;=Reference!$H$2, Reference!$G$2, IF(AC201&gt;=Reference!$H$3, Reference!$G$3, IF(AC201&gt;=Reference!$H$4, Reference!$G$4, IF(AC201&gt;=Reference!$H$5, Reference!$G$5, ""))))</f>
        <v/>
      </c>
      <c r="Q201" s="11" t="str">
        <f t="shared" si="32"/>
        <v/>
      </c>
      <c r="R201" s="11" t="str">
        <f>IF(AE201&gt;=Reference!$D$2, Reference!$G$2, IF(AE201&gt;=Reference!$D$3, Reference!$E$3, IF(AE201&gt;=Reference!$D$4, Reference!$E$4, IF(AE201&gt;=Reference!$D$5, Reference!$E$5, ""))))</f>
        <v>Low</v>
      </c>
      <c r="S201" s="9"/>
      <c r="T201" s="9"/>
      <c r="U201" s="9"/>
      <c r="V201" s="25"/>
      <c r="W201" s="9"/>
      <c r="Y201" s="12">
        <f>IF(H201=Reference!$A$12, Reference!$C$12, IF(H201=Reference!$A$11, Reference!$C$11, IF(H201=Reference!$A$10, Reference!$C$10, IF(H201=Reference!$A$9, Reference!$C$9, 0))))</f>
        <v>0</v>
      </c>
      <c r="Z201" s="12">
        <f>IF(J201=Reference!$A$20, Reference!$C$20, IF(J201=Reference!$A$19, Reference!$C$19, IF(J201=Reference!$A$18, Reference!$C$18, IF(J201=Reference!$A$17, Reference!$C$17, 0))))</f>
        <v>0</v>
      </c>
      <c r="AA201" s="12">
        <f>IF(L201=Reference!$A$28, Reference!$C$28, IF(L201=Reference!$A$27, Reference!$C$27, IF(L201=Reference!$A$26, Reference!$C$26, IF(L201=Reference!$A$25, Reference!$C$25, 0))))</f>
        <v>0</v>
      </c>
      <c r="AB201" s="12">
        <f>IF(N201=Reference!$A$36, Reference!$C$36, IF(N201=Reference!$A$35, Reference!$C$35, IF(N201=Reference!$A$34, Reference!$C$34, IF(N201=Reference!$A$33, Reference!$C$33, 0))))</f>
        <v>0</v>
      </c>
      <c r="AC201" s="12">
        <f>(Reference!$B$2*Y201 + Reference!$B$3*AA201 + Reference!$B$4*Z201 + Reference!$B$5 * AB201)/4</f>
        <v>0</v>
      </c>
      <c r="AD201" s="12">
        <f>IF(Q201=Reference!$C$41, Reference!$D$41, IF(Q201=Reference!$C$42, Reference!$D$42, IF(Q201=Reference!$C$43, Reference!$D$43, IF(Q201=Reference!$C$44, Reference!$D$44, 0))))</f>
        <v>0</v>
      </c>
      <c r="AE201" s="12">
        <f t="shared" si="33"/>
        <v>1</v>
      </c>
    </row>
    <row r="202" spans="1:31" ht="13.15">
      <c r="A202" s="8"/>
      <c r="B202" s="9"/>
      <c r="C202" s="9"/>
      <c r="D202" s="10"/>
      <c r="E202" s="10"/>
      <c r="F202" s="9"/>
      <c r="G202" s="9"/>
      <c r="H202" s="9"/>
      <c r="I202" s="9"/>
      <c r="J202" s="9"/>
      <c r="K202" s="19"/>
      <c r="L202" s="9"/>
      <c r="M202" s="9"/>
      <c r="N202" s="9"/>
      <c r="O202" s="9"/>
      <c r="P202" s="11" t="str">
        <f>IF(AC202&gt;=Reference!$H$2, Reference!$G$2, IF(AC202&gt;=Reference!$H$3, Reference!$G$3, IF(AC202&gt;=Reference!$H$4, Reference!$G$4, IF(AC202&gt;=Reference!$H$5, Reference!$G$5, ""))))</f>
        <v/>
      </c>
      <c r="Q202" s="11" t="str">
        <f t="shared" si="32"/>
        <v/>
      </c>
      <c r="R202" s="11" t="str">
        <f>IF(AE202&gt;=Reference!$D$2, Reference!$G$2, IF(AE202&gt;=Reference!$D$3, Reference!$E$3, IF(AE202&gt;=Reference!$D$4, Reference!$E$4, IF(AE202&gt;=Reference!$D$5, Reference!$E$5, ""))))</f>
        <v>Low</v>
      </c>
      <c r="S202" s="9"/>
      <c r="T202" s="19"/>
      <c r="U202" s="9"/>
      <c r="V202" s="9"/>
      <c r="W202" s="9"/>
      <c r="Y202" s="12">
        <f>IF(H202=Reference!$A$12, Reference!$C$12, IF(H202=Reference!$A$11, Reference!$C$11, IF(H202=Reference!$A$10, Reference!$C$10, IF(H202=Reference!$A$9, Reference!$C$9, 0))))</f>
        <v>0</v>
      </c>
      <c r="Z202" s="12">
        <f>IF(J202=Reference!$A$20, Reference!$C$20, IF(J202=Reference!$A$19, Reference!$C$19, IF(J202=Reference!$A$18, Reference!$C$18, IF(J202=Reference!$A$17, Reference!$C$17, 0))))</f>
        <v>0</v>
      </c>
      <c r="AA202" s="12">
        <f>IF(L202=Reference!$A$28, Reference!$C$28, IF(L202=Reference!$A$27, Reference!$C$27, IF(L202=Reference!$A$26, Reference!$C$26, IF(L202=Reference!$A$25, Reference!$C$25, 0))))</f>
        <v>0</v>
      </c>
      <c r="AB202" s="12">
        <f>IF(N202=Reference!$A$36, Reference!$C$36, IF(N202=Reference!$A$35, Reference!$C$35, IF(N202=Reference!$A$34, Reference!$C$34, IF(N202=Reference!$A$33, Reference!$C$33, 0))))</f>
        <v>0</v>
      </c>
      <c r="AC202" s="12">
        <f>(Reference!$B$2*Y202 + Reference!$B$3*AA202 + Reference!$B$4*Z202 + Reference!$B$5 * AB202)/4</f>
        <v>0</v>
      </c>
      <c r="AD202" s="12">
        <f>IF(Q202=Reference!$C$41, Reference!$D$41, IF(Q202=Reference!$C$42, Reference!$D$42, IF(Q202=Reference!$C$43, Reference!$D$43, IF(Q202=Reference!$C$44, Reference!$D$44, 0))))</f>
        <v>0</v>
      </c>
      <c r="AE202" s="12">
        <f t="shared" si="33"/>
        <v>1</v>
      </c>
    </row>
    <row r="203" spans="1:31" ht="13.15">
      <c r="A203" s="8"/>
      <c r="B203" s="9"/>
      <c r="C203" s="9"/>
      <c r="D203" s="10"/>
      <c r="E203" s="10"/>
      <c r="F203" s="9"/>
      <c r="G203" s="9"/>
      <c r="H203" s="9"/>
      <c r="I203" s="9"/>
      <c r="J203" s="9"/>
      <c r="K203" s="9"/>
      <c r="L203" s="9"/>
      <c r="M203" s="9"/>
      <c r="N203" s="9"/>
      <c r="O203" s="9"/>
      <c r="P203" s="11" t="str">
        <f>IF(AC203&gt;=Reference!$H$2, Reference!$G$2, IF(AC203&gt;=Reference!$H$3, Reference!$G$3, IF(AC203&gt;=Reference!$H$4, Reference!$G$4, IF(AC203&gt;=Reference!$H$5, Reference!$G$5, ""))))</f>
        <v/>
      </c>
      <c r="Q203" s="11" t="str">
        <f t="shared" si="32"/>
        <v/>
      </c>
      <c r="R203" s="11" t="str">
        <f>IF(AE203&gt;=Reference!$D$2, Reference!$G$2, IF(AE203&gt;=Reference!$D$3, Reference!$E$3, IF(AE203&gt;=Reference!$D$4, Reference!$E$4, IF(AE203&gt;=Reference!$D$5, Reference!$E$5, ""))))</f>
        <v>Low</v>
      </c>
      <c r="S203" s="9"/>
      <c r="T203" s="9"/>
      <c r="U203" s="9"/>
      <c r="V203" s="9"/>
      <c r="W203" s="9"/>
      <c r="Y203" s="12">
        <f>IF(H203=Reference!$A$12, Reference!$C$12, IF(H203=Reference!$A$11, Reference!$C$11, IF(H203=Reference!$A$10, Reference!$C$10, IF(H203=Reference!$A$9, Reference!$C$9, 0))))</f>
        <v>0</v>
      </c>
      <c r="Z203" s="12">
        <f>IF(J203=Reference!$A$20, Reference!$C$20, IF(J203=Reference!$A$19, Reference!$C$19, IF(J203=Reference!$A$18, Reference!$C$18, IF(J203=Reference!$A$17, Reference!$C$17, 0))))</f>
        <v>0</v>
      </c>
      <c r="AA203" s="12">
        <f>IF(L203=Reference!$A$28, Reference!$C$28, IF(L203=Reference!$A$27, Reference!$C$27, IF(L203=Reference!$A$26, Reference!$C$26, IF(L203=Reference!$A$25, Reference!$C$25, 0))))</f>
        <v>0</v>
      </c>
      <c r="AB203" s="12">
        <f>IF(N203=Reference!$A$36, Reference!$C$36, IF(N203=Reference!$A$35, Reference!$C$35, IF(N203=Reference!$A$34, Reference!$C$34, IF(N203=Reference!$A$33, Reference!$C$33, 0))))</f>
        <v>0</v>
      </c>
      <c r="AC203" s="12">
        <f>(Reference!$B$2*Y203 + Reference!$B$3*AA203 + Reference!$B$4*Z203 + Reference!$B$5 * AB203)/4</f>
        <v>0</v>
      </c>
      <c r="AD203" s="12">
        <f>IF(Q203=Reference!$C$41, Reference!$D$41, IF(Q203=Reference!$C$42, Reference!$D$42, IF(Q203=Reference!$C$43, Reference!$D$43, IF(Q203=Reference!$C$44, Reference!$D$44, 0))))</f>
        <v>0</v>
      </c>
      <c r="AE203" s="12">
        <f t="shared" si="33"/>
        <v>1</v>
      </c>
    </row>
    <row r="204" spans="1:31" ht="13.15">
      <c r="A204" s="8"/>
      <c r="B204" s="9"/>
      <c r="C204" s="9"/>
      <c r="D204" s="10"/>
      <c r="E204" s="10"/>
      <c r="F204" s="9"/>
      <c r="G204" s="9"/>
      <c r="H204" s="9"/>
      <c r="I204" s="9"/>
      <c r="J204" s="9"/>
      <c r="K204" s="9"/>
      <c r="L204" s="9"/>
      <c r="M204" s="9"/>
      <c r="N204" s="9"/>
      <c r="O204" s="9"/>
      <c r="P204" s="11" t="str">
        <f>IF(AC204&gt;=Reference!$H$2, Reference!$G$2, IF(AC204&gt;=Reference!$H$3, Reference!$G$3, IF(AC204&gt;=Reference!$H$4, Reference!$G$4, IF(AC204&gt;=Reference!$H$5, Reference!$G$5, ""))))</f>
        <v/>
      </c>
      <c r="Q204" s="11" t="str">
        <f t="shared" si="32"/>
        <v/>
      </c>
      <c r="R204" s="11" t="str">
        <f>IF(AE204&gt;=Reference!$D$2, Reference!$G$2, IF(AE204&gt;=Reference!$D$3, Reference!$E$3, IF(AE204&gt;=Reference!$D$4, Reference!$E$4, IF(AE204&gt;=Reference!$D$5, Reference!$E$5, ""))))</f>
        <v>Low</v>
      </c>
      <c r="S204" s="9"/>
      <c r="T204" s="9"/>
      <c r="U204" s="9"/>
      <c r="V204" s="9"/>
      <c r="W204" s="9"/>
      <c r="Y204" s="12">
        <f>IF(H204=Reference!$A$12, Reference!$C$12, IF(H204=Reference!$A$11, Reference!$C$11, IF(H204=Reference!$A$10, Reference!$C$10, IF(H204=Reference!$A$9, Reference!$C$9, 0))))</f>
        <v>0</v>
      </c>
      <c r="Z204" s="12">
        <f>IF(J204=Reference!$A$20, Reference!$C$20, IF(J204=Reference!$A$19, Reference!$C$19, IF(J204=Reference!$A$18, Reference!$C$18, IF(J204=Reference!$A$17, Reference!$C$17, 0))))</f>
        <v>0</v>
      </c>
      <c r="AA204" s="12">
        <f>IF(L204=Reference!$A$28, Reference!$C$28, IF(L204=Reference!$A$27, Reference!$C$27, IF(L204=Reference!$A$26, Reference!$C$26, IF(L204=Reference!$A$25, Reference!$C$25, 0))))</f>
        <v>0</v>
      </c>
      <c r="AB204" s="12">
        <f>IF(N204=Reference!$A$36, Reference!$C$36, IF(N204=Reference!$A$35, Reference!$C$35, IF(N204=Reference!$A$34, Reference!$C$34, IF(N204=Reference!$A$33, Reference!$C$33, 0))))</f>
        <v>0</v>
      </c>
      <c r="AC204" s="12">
        <f>(Reference!$B$2*Y204 + Reference!$B$3*AA204 + Reference!$B$4*Z204 + Reference!$B$5 * AB204)/4</f>
        <v>0</v>
      </c>
      <c r="AD204" s="12">
        <f>IF(Q204=Reference!$C$41, Reference!$D$41, IF(Q204=Reference!$C$42, Reference!$D$42, IF(Q204=Reference!$C$43, Reference!$D$43, IF(Q204=Reference!$C$44, Reference!$D$44, 0))))</f>
        <v>0</v>
      </c>
      <c r="AE204" s="12">
        <f t="shared" si="33"/>
        <v>1</v>
      </c>
    </row>
    <row r="205" spans="1:31" ht="13.15">
      <c r="A205" s="8"/>
      <c r="B205" s="9"/>
      <c r="C205" s="9"/>
      <c r="D205" s="10"/>
      <c r="E205" s="10"/>
      <c r="F205" s="9"/>
      <c r="G205" s="9"/>
      <c r="H205" s="9"/>
      <c r="I205" s="9"/>
      <c r="J205" s="9"/>
      <c r="K205" s="9"/>
      <c r="L205" s="9"/>
      <c r="M205" s="9"/>
      <c r="N205" s="9"/>
      <c r="O205" s="9"/>
      <c r="P205" s="11" t="str">
        <f>IF(AC205&gt;=Reference!$H$2, Reference!$G$2, IF(AC205&gt;=Reference!$H$3, Reference!$G$3, IF(AC205&gt;=Reference!$H$4, Reference!$G$4, IF(AC205&gt;=Reference!$H$5, Reference!$G$5, ""))))</f>
        <v/>
      </c>
      <c r="Q205" s="11" t="str">
        <f t="shared" si="32"/>
        <v/>
      </c>
      <c r="R205" s="11" t="str">
        <f>IF(AE205&gt;=Reference!$D$2, Reference!$G$2, IF(AE205&gt;=Reference!$D$3, Reference!$E$3, IF(AE205&gt;=Reference!$D$4, Reference!$E$4, IF(AE205&gt;=Reference!$D$5, Reference!$E$5, ""))))</f>
        <v>Low</v>
      </c>
      <c r="S205" s="9"/>
      <c r="T205" s="9"/>
      <c r="U205" s="9"/>
      <c r="V205" s="9"/>
      <c r="W205" s="9"/>
      <c r="Y205" s="12">
        <f>IF(H205=Reference!$A$12, Reference!$C$12, IF(H205=Reference!$A$11, Reference!$C$11, IF(H205=Reference!$A$10, Reference!$C$10, IF(H205=Reference!$A$9, Reference!$C$9, 0))))</f>
        <v>0</v>
      </c>
      <c r="Z205" s="12">
        <f>IF(J205=Reference!$A$20, Reference!$C$20, IF(J205=Reference!$A$19, Reference!$C$19, IF(J205=Reference!$A$18, Reference!$C$18, IF(J205=Reference!$A$17, Reference!$C$17, 0))))</f>
        <v>0</v>
      </c>
      <c r="AA205" s="12">
        <f>IF(L205=Reference!$A$28, Reference!$C$28, IF(L205=Reference!$A$27, Reference!$C$27, IF(L205=Reference!$A$26, Reference!$C$26, IF(L205=Reference!$A$25, Reference!$C$25, 0))))</f>
        <v>0</v>
      </c>
      <c r="AB205" s="12">
        <f>IF(N205=Reference!$A$36, Reference!$C$36, IF(N205=Reference!$A$35, Reference!$C$35, IF(N205=Reference!$A$34, Reference!$C$34, IF(N205=Reference!$A$33, Reference!$C$33, 0))))</f>
        <v>0</v>
      </c>
      <c r="AC205" s="12">
        <f>(Reference!$B$2*Y205 + Reference!$B$3*AA205 + Reference!$B$4*Z205 + Reference!$B$5 * AB205)/4</f>
        <v>0</v>
      </c>
      <c r="AD205" s="12">
        <f>IF(Q205=Reference!$C$41, Reference!$D$41, IF(Q205=Reference!$C$42, Reference!$D$42, IF(Q205=Reference!$C$43, Reference!$D$43, IF(Q205=Reference!$C$44, Reference!$D$44, 0))))</f>
        <v>0</v>
      </c>
      <c r="AE205" s="12">
        <f t="shared" si="33"/>
        <v>1</v>
      </c>
    </row>
    <row r="206" spans="1:31" ht="13.15">
      <c r="A206" s="8"/>
      <c r="B206" s="9"/>
      <c r="C206" s="9"/>
      <c r="D206" s="10"/>
      <c r="E206" s="10"/>
      <c r="F206" s="9"/>
      <c r="G206" s="9"/>
      <c r="H206" s="9"/>
      <c r="I206" s="9"/>
      <c r="J206" s="9"/>
      <c r="K206" s="19"/>
      <c r="L206" s="9"/>
      <c r="M206" s="9"/>
      <c r="N206" s="9"/>
      <c r="O206" s="9"/>
      <c r="P206" s="11" t="str">
        <f>IF(AC206&gt;=Reference!$H$2, Reference!$G$2, IF(AC206&gt;=Reference!$H$3, Reference!$G$3, IF(AC206&gt;=Reference!$H$4, Reference!$G$4, IF(AC206&gt;=Reference!$H$5, Reference!$G$5, ""))))</f>
        <v/>
      </c>
      <c r="Q206" s="11" t="str">
        <f t="shared" si="32"/>
        <v/>
      </c>
      <c r="R206" s="11" t="str">
        <f>IF(AE206&gt;=Reference!$D$2, Reference!$G$2, IF(AE206&gt;=Reference!$D$3, Reference!$E$3, IF(AE206&gt;=Reference!$D$4, Reference!$E$4, IF(AE206&gt;=Reference!$D$5, Reference!$E$5, ""))))</f>
        <v>Low</v>
      </c>
      <c r="S206" s="13"/>
      <c r="T206" s="12"/>
      <c r="U206" s="9"/>
      <c r="V206" s="19"/>
      <c r="W206" s="9"/>
      <c r="Y206" s="12">
        <f>IF(H206=Reference!$A$12, Reference!$C$12, IF(H206=Reference!$A$11, Reference!$C$11, IF(H206=Reference!$A$10, Reference!$C$10, IF(H206=Reference!$A$9, Reference!$C$9, 0))))</f>
        <v>0</v>
      </c>
      <c r="Z206" s="12">
        <f>IF(J206=Reference!$A$20, Reference!$C$20, IF(J206=Reference!$A$19, Reference!$C$19, IF(J206=Reference!$A$18, Reference!$C$18, IF(J206=Reference!$A$17, Reference!$C$17, 0))))</f>
        <v>0</v>
      </c>
      <c r="AA206" s="12">
        <f>IF(L206=Reference!$A$28, Reference!$C$28, IF(L206=Reference!$A$27, Reference!$C$27, IF(L206=Reference!$A$26, Reference!$C$26, IF(L206=Reference!$A$25, Reference!$C$25, 0))))</f>
        <v>0</v>
      </c>
      <c r="AB206" s="12">
        <f>IF(N206=Reference!$A$36, Reference!$C$36, IF(N206=Reference!$A$35, Reference!$C$35, IF(N206=Reference!$A$34, Reference!$C$34, IF(N206=Reference!$A$33, Reference!$C$33, 0))))</f>
        <v>0</v>
      </c>
      <c r="AC206" s="12">
        <f>(Reference!$B$2*Y206 + Reference!$B$3*AA206 + Reference!$B$4*Z206 + Reference!$B$5 * AB206)/4</f>
        <v>0</v>
      </c>
      <c r="AD206" s="12">
        <f>IF(Q206=Reference!$C$41, Reference!$D$41, IF(Q206=Reference!$C$42, Reference!$D$42, IF(Q206=Reference!$C$43, Reference!$D$43, IF(Q206=Reference!$C$44, Reference!$D$44, 0))))</f>
        <v>0</v>
      </c>
      <c r="AE206" s="12">
        <f t="shared" si="33"/>
        <v>1</v>
      </c>
    </row>
    <row r="207" spans="1:31" ht="13.15">
      <c r="A207" s="8"/>
      <c r="B207" s="9"/>
      <c r="C207" s="9"/>
      <c r="D207" s="10"/>
      <c r="E207" s="10"/>
      <c r="F207" s="9"/>
      <c r="G207" s="9"/>
      <c r="H207" s="9"/>
      <c r="I207" s="9"/>
      <c r="J207" s="9"/>
      <c r="K207" s="9"/>
      <c r="L207" s="9"/>
      <c r="M207" s="9"/>
      <c r="N207" s="9"/>
      <c r="O207" s="9"/>
      <c r="P207" s="11" t="str">
        <f>IF(AC207&gt;=Reference!$H$2, Reference!$G$2, IF(AC207&gt;=Reference!$H$3, Reference!$G$3, IF(AC207&gt;=Reference!$H$4, Reference!$G$4, IF(AC207&gt;=Reference!$H$5, Reference!$G$5, ""))))</f>
        <v/>
      </c>
      <c r="Q207" s="11" t="str">
        <f t="shared" si="32"/>
        <v/>
      </c>
      <c r="R207" s="11" t="str">
        <f>IF(AE207&gt;=Reference!$D$2, Reference!$G$2, IF(AE207&gt;=Reference!$D$3, Reference!$E$3, IF(AE207&gt;=Reference!$D$4, Reference!$E$4, IF(AE207&gt;=Reference!$D$5, Reference!$E$5, ""))))</f>
        <v>Low</v>
      </c>
      <c r="S207" s="13"/>
      <c r="T207" s="12"/>
      <c r="U207" s="9"/>
      <c r="V207" s="9"/>
      <c r="W207" s="9"/>
      <c r="Y207" s="12">
        <f>IF(H207=Reference!$A$12, Reference!$C$12, IF(H207=Reference!$A$11, Reference!$C$11, IF(H207=Reference!$A$10, Reference!$C$10, IF(H207=Reference!$A$9, Reference!$C$9, 0))))</f>
        <v>0</v>
      </c>
      <c r="Z207" s="12">
        <f>IF(J207=Reference!$A$20, Reference!$C$20, IF(J207=Reference!$A$19, Reference!$C$19, IF(J207=Reference!$A$18, Reference!$C$18, IF(J207=Reference!$A$17, Reference!$C$17, 0))))</f>
        <v>0</v>
      </c>
      <c r="AA207" s="12">
        <f>IF(L207=Reference!$A$28, Reference!$C$28, IF(L207=Reference!$A$27, Reference!$C$27, IF(L207=Reference!$A$26, Reference!$C$26, IF(L207=Reference!$A$25, Reference!$C$25, 0))))</f>
        <v>0</v>
      </c>
      <c r="AB207" s="12">
        <f>IF(N207=Reference!$A$36, Reference!$C$36, IF(N207=Reference!$A$35, Reference!$C$35, IF(N207=Reference!$A$34, Reference!$C$34, IF(N207=Reference!$A$33, Reference!$C$33, 0))))</f>
        <v>0</v>
      </c>
      <c r="AC207" s="12">
        <f>(Reference!$B$2*Y207 + Reference!$B$3*AA207 + Reference!$B$4*Z207 + Reference!$B$5 * AB207)/4</f>
        <v>0</v>
      </c>
      <c r="AD207" s="12">
        <f>IF(Q207=Reference!$C$41, Reference!$D$41, IF(Q207=Reference!$C$42, Reference!$D$42, IF(Q207=Reference!$C$43, Reference!$D$43, IF(Q207=Reference!$C$44, Reference!$D$44, 0))))</f>
        <v>0</v>
      </c>
      <c r="AE207" s="12">
        <f t="shared" si="33"/>
        <v>1</v>
      </c>
    </row>
    <row r="208" spans="1:31" ht="13.15">
      <c r="A208" s="8"/>
      <c r="B208" s="9"/>
      <c r="C208" s="9"/>
      <c r="D208" s="10"/>
      <c r="E208" s="18"/>
      <c r="F208" s="9"/>
      <c r="G208" s="9"/>
      <c r="H208" s="9"/>
      <c r="I208" s="19"/>
      <c r="J208" s="9"/>
      <c r="K208" s="19"/>
      <c r="L208" s="9"/>
      <c r="M208" s="19"/>
      <c r="N208" s="9"/>
      <c r="O208" s="19"/>
      <c r="P208" s="11" t="str">
        <f>IF(AC208&gt;=Reference!$H$2, Reference!$G$2, IF(AC208&gt;=Reference!$H$3, Reference!$G$3, IF(AC208&gt;=Reference!$H$4, Reference!$G$4, IF(AC208&gt;=Reference!$H$5, Reference!$G$5, ""))))</f>
        <v/>
      </c>
      <c r="Q208" s="11" t="str">
        <f t="shared" si="32"/>
        <v/>
      </c>
      <c r="R208" s="11" t="str">
        <f>IF(AE208&gt;=Reference!$D$2, Reference!$G$2, IF(AE208&gt;=Reference!$D$3, Reference!$E$3, IF(AE208&gt;=Reference!$D$4, Reference!$E$4, IF(AE208&gt;=Reference!$D$5, Reference!$E$5, ""))))</f>
        <v>Low</v>
      </c>
      <c r="S208" s="13"/>
      <c r="T208" s="12"/>
      <c r="U208" s="9"/>
      <c r="V208" s="9"/>
      <c r="W208" s="9"/>
      <c r="Y208" s="12">
        <f>IF(H208=Reference!$A$12, Reference!$C$12, IF(H208=Reference!$A$11, Reference!$C$11, IF(H208=Reference!$A$10, Reference!$C$10, IF(H208=Reference!$A$9, Reference!$C$9, 0))))</f>
        <v>0</v>
      </c>
      <c r="Z208" s="12">
        <f>IF(J208=Reference!$A$20, Reference!$C$20, IF(J208=Reference!$A$19, Reference!$C$19, IF(J208=Reference!$A$18, Reference!$C$18, IF(J208=Reference!$A$17, Reference!$C$17, 0))))</f>
        <v>0</v>
      </c>
      <c r="AA208" s="12">
        <f>IF(L208=Reference!$A$28, Reference!$C$28, IF(L208=Reference!$A$27, Reference!$C$27, IF(L208=Reference!$A$26, Reference!$C$26, IF(L208=Reference!$A$25, Reference!$C$25, 0))))</f>
        <v>0</v>
      </c>
      <c r="AB208" s="12">
        <f>IF(N208=Reference!$A$36, Reference!$C$36, IF(N208=Reference!$A$35, Reference!$C$35, IF(N208=Reference!$A$34, Reference!$C$34, IF(N208=Reference!$A$33, Reference!$C$33, 0))))</f>
        <v>0</v>
      </c>
      <c r="AC208" s="12">
        <f>(Reference!$B$2*Y208 + Reference!$B$3*AA208 + Reference!$B$4*Z208 + Reference!$B$5 * AB208)/4</f>
        <v>0</v>
      </c>
      <c r="AD208" s="12">
        <f>IF(Q208=Reference!$C$41, Reference!$D$41, IF(Q208=Reference!$C$42, Reference!$D$42, IF(Q208=Reference!$C$43, Reference!$D$43, IF(Q208=Reference!$C$44, Reference!$D$44, 0))))</f>
        <v>0</v>
      </c>
      <c r="AE208" s="12">
        <f t="shared" si="33"/>
        <v>1</v>
      </c>
    </row>
    <row r="209" spans="1:31" ht="13.15">
      <c r="A209" s="8"/>
      <c r="B209" s="9"/>
      <c r="C209" s="9"/>
      <c r="D209" s="10"/>
      <c r="E209" s="10"/>
      <c r="F209" s="9"/>
      <c r="H209" s="9"/>
      <c r="I209" s="9"/>
      <c r="J209" s="9"/>
      <c r="K209" s="9"/>
      <c r="L209" s="9"/>
      <c r="M209" s="9"/>
      <c r="N209" s="9"/>
      <c r="O209" s="9"/>
      <c r="P209" s="11" t="str">
        <f>IF(AC209&gt;=Reference!$H$2, Reference!$G$2, IF(AC209&gt;=Reference!$H$3, Reference!$G$3, IF(AC209&gt;=Reference!$H$4, Reference!$G$4, IF(AC209&gt;=Reference!$H$5, Reference!$G$5, ""))))</f>
        <v/>
      </c>
      <c r="Q209" s="11" t="str">
        <f t="shared" ref="Q209:Q272" si="34">IF(F209="Physical", "Very Low", IF(F209="Local", "Low", IF(F209="Adjacent", "Medium", IF(F209="Network", "High", ""))))</f>
        <v/>
      </c>
      <c r="R209" s="11" t="str">
        <f>IF(AE209&gt;=Reference!$D$2, Reference!$G$2, IF(AE209&gt;=Reference!$D$3, Reference!$E$3, IF(AE209&gt;=Reference!$D$4, Reference!$E$4, IF(AE209&gt;=Reference!$D$5, Reference!$E$5, ""))))</f>
        <v>Low</v>
      </c>
      <c r="S209" s="13"/>
      <c r="T209" s="12"/>
      <c r="U209" s="9"/>
      <c r="V209" s="9"/>
      <c r="W209" s="9"/>
      <c r="Y209" s="12">
        <f>IF(H209=Reference!$A$12, Reference!$C$12, IF(H209=Reference!$A$11, Reference!$C$11, IF(H209=Reference!$A$10, Reference!$C$10, IF(H209=Reference!$A$9, Reference!$C$9, 0))))</f>
        <v>0</v>
      </c>
      <c r="Z209" s="12">
        <f>IF(J209=Reference!$A$20, Reference!$C$20, IF(J209=Reference!$A$19, Reference!$C$19, IF(J209=Reference!$A$18, Reference!$C$18, IF(J209=Reference!$A$17, Reference!$C$17, 0))))</f>
        <v>0</v>
      </c>
      <c r="AA209" s="12">
        <f>IF(L209=Reference!$A$28, Reference!$C$28, IF(L209=Reference!$A$27, Reference!$C$27, IF(L209=Reference!$A$26, Reference!$C$26, IF(L209=Reference!$A$25, Reference!$C$25, 0))))</f>
        <v>0</v>
      </c>
      <c r="AB209" s="12">
        <f>IF(N209=Reference!$A$36, Reference!$C$36, IF(N209=Reference!$A$35, Reference!$C$35, IF(N209=Reference!$A$34, Reference!$C$34, IF(N209=Reference!$A$33, Reference!$C$33, 0))))</f>
        <v>0</v>
      </c>
      <c r="AC209" s="12">
        <f>(Reference!$B$2*Y209 + Reference!$B$3*AA209 + Reference!$B$4*Z209 + Reference!$B$5 * AB209)/4</f>
        <v>0</v>
      </c>
      <c r="AD209" s="12">
        <f>IF(Q209=Reference!$C$41, Reference!$D$41, IF(Q209=Reference!$C$42, Reference!$D$42, IF(Q209=Reference!$C$43, Reference!$D$43, IF(Q209=Reference!$C$44, Reference!$D$44, 0))))</f>
        <v>0</v>
      </c>
      <c r="AE209" s="12">
        <f t="shared" ref="AE209:AE272" si="35">1 + (AC209 * AD209)</f>
        <v>1</v>
      </c>
    </row>
    <row r="210" spans="1:31" ht="13.15">
      <c r="A210" s="8"/>
      <c r="B210" s="9"/>
      <c r="C210" s="9"/>
      <c r="D210" s="18"/>
      <c r="E210" s="10"/>
      <c r="F210" s="9"/>
      <c r="G210" s="19"/>
      <c r="H210" s="9"/>
      <c r="I210" s="19"/>
      <c r="J210" s="9"/>
      <c r="K210" s="9"/>
      <c r="L210" s="9"/>
      <c r="M210" s="19"/>
      <c r="N210" s="9"/>
      <c r="O210" s="9"/>
      <c r="P210" s="11" t="str">
        <f>IF(AC210&gt;=Reference!$H$2, Reference!$G$2, IF(AC210&gt;=Reference!$H$3, Reference!$G$3, IF(AC210&gt;=Reference!$H$4, Reference!$G$4, IF(AC210&gt;=Reference!$H$5, Reference!$G$5, ""))))</f>
        <v/>
      </c>
      <c r="Q210" s="11" t="str">
        <f t="shared" si="34"/>
        <v/>
      </c>
      <c r="R210" s="11" t="str">
        <f>IF(AE210&gt;=Reference!$D$2, Reference!$G$2, IF(AE210&gt;=Reference!$D$3, Reference!$E$3, IF(AE210&gt;=Reference!$D$4, Reference!$E$4, IF(AE210&gt;=Reference!$D$5, Reference!$E$5, ""))))</f>
        <v>Low</v>
      </c>
      <c r="S210" s="13"/>
      <c r="T210" s="23"/>
      <c r="U210" s="9"/>
      <c r="V210" s="19"/>
      <c r="W210" s="9"/>
      <c r="Y210" s="12">
        <f>IF(H210=Reference!$A$12, Reference!$C$12, IF(H210=Reference!$A$11, Reference!$C$11, IF(H210=Reference!$A$10, Reference!$C$10, IF(H210=Reference!$A$9, Reference!$C$9, 0))))</f>
        <v>0</v>
      </c>
      <c r="Z210" s="12">
        <f>IF(J210=Reference!$A$20, Reference!$C$20, IF(J210=Reference!$A$19, Reference!$C$19, IF(J210=Reference!$A$18, Reference!$C$18, IF(J210=Reference!$A$17, Reference!$C$17, 0))))</f>
        <v>0</v>
      </c>
      <c r="AA210" s="12">
        <f>IF(L210=Reference!$A$28, Reference!$C$28, IF(L210=Reference!$A$27, Reference!$C$27, IF(L210=Reference!$A$26, Reference!$C$26, IF(L210=Reference!$A$25, Reference!$C$25, 0))))</f>
        <v>0</v>
      </c>
      <c r="AB210" s="12">
        <f>IF(N210=Reference!$A$36, Reference!$C$36, IF(N210=Reference!$A$35, Reference!$C$35, IF(N210=Reference!$A$34, Reference!$C$34, IF(N210=Reference!$A$33, Reference!$C$33, 0))))</f>
        <v>0</v>
      </c>
      <c r="AC210" s="12">
        <f>(Reference!$B$2*Y210 + Reference!$B$3*AA210 + Reference!$B$4*Z210 + Reference!$B$5 * AB210)/4</f>
        <v>0</v>
      </c>
      <c r="AD210" s="12">
        <f>IF(Q210=Reference!$C$41, Reference!$D$41, IF(Q210=Reference!$C$42, Reference!$D$42, IF(Q210=Reference!$C$43, Reference!$D$43, IF(Q210=Reference!$C$44, Reference!$D$44, 0))))</f>
        <v>0</v>
      </c>
      <c r="AE210" s="12">
        <f t="shared" si="35"/>
        <v>1</v>
      </c>
    </row>
    <row r="211" spans="1:31" ht="13.15">
      <c r="A211" s="8"/>
      <c r="B211" s="9"/>
      <c r="C211" s="9"/>
      <c r="D211" s="18"/>
      <c r="E211" s="10"/>
      <c r="F211" s="9"/>
      <c r="G211" s="9"/>
      <c r="H211" s="9"/>
      <c r="I211" s="29"/>
      <c r="J211" s="9"/>
      <c r="K211" s="19"/>
      <c r="L211" s="9"/>
      <c r="M211" s="19"/>
      <c r="N211" s="9"/>
      <c r="O211" s="101"/>
      <c r="P211" s="11" t="str">
        <f>IF(AC211&gt;=Reference!$H$2, Reference!$G$2, IF(AC211&gt;=Reference!$H$3, Reference!$G$3, IF(AC211&gt;=Reference!$H$4, Reference!$G$4, IF(AC211&gt;=Reference!$H$5, Reference!$G$5, ""))))</f>
        <v/>
      </c>
      <c r="Q211" s="11" t="str">
        <f t="shared" si="34"/>
        <v/>
      </c>
      <c r="R211" s="11" t="str">
        <f>IF(AE211&gt;=Reference!$D$2, Reference!$G$2, IF(AE211&gt;=Reference!$D$3, Reference!$E$3, IF(AE211&gt;=Reference!$D$4, Reference!$E$4, IF(AE211&gt;=Reference!$D$5, Reference!$E$5, ""))))</f>
        <v>Low</v>
      </c>
      <c r="S211" s="13"/>
      <c r="T211" s="12"/>
      <c r="U211" s="9"/>
      <c r="V211" s="9"/>
      <c r="W211" s="9"/>
      <c r="Y211" s="12">
        <f>IF(H211=Reference!$A$12, Reference!$C$12, IF(H211=Reference!$A$11, Reference!$C$11, IF(H211=Reference!$A$10, Reference!$C$10, IF(H211=Reference!$A$9, Reference!$C$9, 0))))</f>
        <v>0</v>
      </c>
      <c r="Z211" s="12">
        <f>IF(J211=Reference!$A$20, Reference!$C$20, IF(J211=Reference!$A$19, Reference!$C$19, IF(J211=Reference!$A$18, Reference!$C$18, IF(J211=Reference!$A$17, Reference!$C$17, 0))))</f>
        <v>0</v>
      </c>
      <c r="AA211" s="12">
        <f>IF(L211=Reference!$A$28, Reference!$C$28, IF(L211=Reference!$A$27, Reference!$C$27, IF(L211=Reference!$A$26, Reference!$C$26, IF(L211=Reference!$A$25, Reference!$C$25, 0))))</f>
        <v>0</v>
      </c>
      <c r="AB211" s="12">
        <f>IF(N211=Reference!$A$36, Reference!$C$36, IF(N211=Reference!$A$35, Reference!$C$35, IF(N211=Reference!$A$34, Reference!$C$34, IF(N211=Reference!$A$33, Reference!$C$33, 0))))</f>
        <v>0</v>
      </c>
      <c r="AC211" s="12">
        <f>(Reference!$B$2*Y211 + Reference!$B$3*AA211 + Reference!$B$4*Z211 + Reference!$B$5 * AB211)/4</f>
        <v>0</v>
      </c>
      <c r="AD211" s="12">
        <f>IF(Q211=Reference!$C$41, Reference!$D$41, IF(Q211=Reference!$C$42, Reference!$D$42, IF(Q211=Reference!$C$43, Reference!$D$43, IF(Q211=Reference!$C$44, Reference!$D$44, 0))))</f>
        <v>0</v>
      </c>
      <c r="AE211" s="12">
        <f t="shared" si="35"/>
        <v>1</v>
      </c>
    </row>
    <row r="212" spans="1:31" ht="13.15">
      <c r="A212" s="8"/>
      <c r="B212" s="9"/>
      <c r="C212" s="9"/>
      <c r="D212" s="10"/>
      <c r="E212" s="10"/>
      <c r="F212" s="9"/>
      <c r="G212" s="9"/>
      <c r="H212" s="9"/>
      <c r="I212" s="9"/>
      <c r="J212" s="9"/>
      <c r="K212" s="9"/>
      <c r="L212" s="9"/>
      <c r="M212" s="9"/>
      <c r="N212" s="9"/>
      <c r="O212" s="9"/>
      <c r="P212" s="11" t="str">
        <f>IF(AC212&gt;=Reference!$H$2, Reference!$G$2, IF(AC212&gt;=Reference!$H$3, Reference!$G$3, IF(AC212&gt;=Reference!$H$4, Reference!$G$4, IF(AC212&gt;=Reference!$H$5, Reference!$G$5, ""))))</f>
        <v/>
      </c>
      <c r="Q212" s="11" t="str">
        <f t="shared" si="34"/>
        <v/>
      </c>
      <c r="R212" s="11" t="str">
        <f>IF(AE212&gt;=Reference!$D$2, Reference!$G$2, IF(AE212&gt;=Reference!$D$3, Reference!$E$3, IF(AE212&gt;=Reference!$D$4, Reference!$E$4, IF(AE212&gt;=Reference!$D$5, Reference!$E$5, ""))))</f>
        <v>Low</v>
      </c>
      <c r="S212" s="13"/>
      <c r="T212" s="12"/>
      <c r="U212" s="9"/>
      <c r="V212" s="9"/>
      <c r="W212" s="9"/>
      <c r="Y212" s="12">
        <f>IF(H212=Reference!$A$12, Reference!$C$12, IF(H212=Reference!$A$11, Reference!$C$11, IF(H212=Reference!$A$10, Reference!$C$10, IF(H212=Reference!$A$9, Reference!$C$9, 0))))</f>
        <v>0</v>
      </c>
      <c r="Z212" s="12">
        <f>IF(J212=Reference!$A$20, Reference!$C$20, IF(J212=Reference!$A$19, Reference!$C$19, IF(J212=Reference!$A$18, Reference!$C$18, IF(J212=Reference!$A$17, Reference!$C$17, 0))))</f>
        <v>0</v>
      </c>
      <c r="AA212" s="12">
        <f>IF(L212=Reference!$A$28, Reference!$C$28, IF(L212=Reference!$A$27, Reference!$C$27, IF(L212=Reference!$A$26, Reference!$C$26, IF(L212=Reference!$A$25, Reference!$C$25, 0))))</f>
        <v>0</v>
      </c>
      <c r="AB212" s="12">
        <f>IF(N212=Reference!$A$36, Reference!$C$36, IF(N212=Reference!$A$35, Reference!$C$35, IF(N212=Reference!$A$34, Reference!$C$34, IF(N212=Reference!$A$33, Reference!$C$33, 0))))</f>
        <v>0</v>
      </c>
      <c r="AC212" s="12">
        <f>(Reference!$B$2*Y212 + Reference!$B$3*AA212 + Reference!$B$4*Z212 + Reference!$B$5 * AB212)/4</f>
        <v>0</v>
      </c>
      <c r="AD212" s="12">
        <f>IF(Q212=Reference!$C$41, Reference!$D$41, IF(Q212=Reference!$C$42, Reference!$D$42, IF(Q212=Reference!$C$43, Reference!$D$43, IF(Q212=Reference!$C$44, Reference!$D$44, 0))))</f>
        <v>0</v>
      </c>
      <c r="AE212" s="12">
        <f t="shared" si="35"/>
        <v>1</v>
      </c>
    </row>
    <row r="213" spans="1:31" ht="13.15">
      <c r="A213" s="8"/>
      <c r="B213" s="9"/>
      <c r="C213" s="9"/>
      <c r="D213" s="10"/>
      <c r="E213" s="10"/>
      <c r="F213" s="9"/>
      <c r="G213" s="9"/>
      <c r="H213" s="9"/>
      <c r="I213" s="9"/>
      <c r="J213" s="9"/>
      <c r="K213" s="9"/>
      <c r="L213" s="9"/>
      <c r="M213" s="9"/>
      <c r="N213" s="9"/>
      <c r="O213" s="9"/>
      <c r="P213" s="11" t="str">
        <f>IF(AC213&gt;=Reference!$H$2, Reference!$G$2, IF(AC213&gt;=Reference!$H$3, Reference!$G$3, IF(AC213&gt;=Reference!$H$4, Reference!$G$4, IF(AC213&gt;=Reference!$H$5, Reference!$G$5, ""))))</f>
        <v/>
      </c>
      <c r="Q213" s="11" t="str">
        <f t="shared" si="34"/>
        <v/>
      </c>
      <c r="R213" s="11" t="str">
        <f>IF(AE213&gt;=Reference!$D$2, Reference!$G$2, IF(AE213&gt;=Reference!$D$3, Reference!$E$3, IF(AE213&gt;=Reference!$D$4, Reference!$E$4, IF(AE213&gt;=Reference!$D$5, Reference!$E$5, ""))))</f>
        <v>Low</v>
      </c>
      <c r="S213" s="13"/>
      <c r="T213" s="12"/>
      <c r="U213" s="9"/>
      <c r="V213" s="9"/>
      <c r="W213" s="9"/>
      <c r="Y213" s="12">
        <f>IF(H213=Reference!$A$12, Reference!$C$12, IF(H213=Reference!$A$11, Reference!$C$11, IF(H213=Reference!$A$10, Reference!$C$10, IF(H213=Reference!$A$9, Reference!$C$9, 0))))</f>
        <v>0</v>
      </c>
      <c r="Z213" s="12">
        <f>IF(J213=Reference!$A$20, Reference!$C$20, IF(J213=Reference!$A$19, Reference!$C$19, IF(J213=Reference!$A$18, Reference!$C$18, IF(J213=Reference!$A$17, Reference!$C$17, 0))))</f>
        <v>0</v>
      </c>
      <c r="AA213" s="12">
        <f>IF(L213=Reference!$A$28, Reference!$C$28, IF(L213=Reference!$A$27, Reference!$C$27, IF(L213=Reference!$A$26, Reference!$C$26, IF(L213=Reference!$A$25, Reference!$C$25, 0))))</f>
        <v>0</v>
      </c>
      <c r="AB213" s="12">
        <f>IF(N213=Reference!$A$36, Reference!$C$36, IF(N213=Reference!$A$35, Reference!$C$35, IF(N213=Reference!$A$34, Reference!$C$34, IF(N213=Reference!$A$33, Reference!$C$33, 0))))</f>
        <v>0</v>
      </c>
      <c r="AC213" s="12">
        <f>(Reference!$B$2*Y213 + Reference!$B$3*AA213 + Reference!$B$4*Z213 + Reference!$B$5 * AB213)/4</f>
        <v>0</v>
      </c>
      <c r="AD213" s="12">
        <f>IF(Q213=Reference!$C$41, Reference!$D$41, IF(Q213=Reference!$C$42, Reference!$D$42, IF(Q213=Reference!$C$43, Reference!$D$43, IF(Q213=Reference!$C$44, Reference!$D$44, 0))))</f>
        <v>0</v>
      </c>
      <c r="AE213" s="12">
        <f t="shared" si="35"/>
        <v>1</v>
      </c>
    </row>
    <row r="214" spans="1:31" ht="13.15">
      <c r="A214" s="8"/>
      <c r="B214" s="9"/>
      <c r="C214" s="9"/>
      <c r="D214" s="10"/>
      <c r="E214" s="10"/>
      <c r="F214" s="9"/>
      <c r="G214" s="9"/>
      <c r="H214" s="9"/>
      <c r="I214" s="9"/>
      <c r="J214" s="9"/>
      <c r="K214" s="9"/>
      <c r="L214" s="9"/>
      <c r="M214" s="9"/>
      <c r="N214" s="9"/>
      <c r="O214" s="9"/>
      <c r="P214" s="11" t="str">
        <f>IF(AC214&gt;=Reference!$H$2, Reference!$G$2, IF(AC214&gt;=Reference!$H$3, Reference!$G$3, IF(AC214&gt;=Reference!$H$4, Reference!$G$4, IF(AC214&gt;=Reference!$H$5, Reference!$G$5, ""))))</f>
        <v/>
      </c>
      <c r="Q214" s="11" t="str">
        <f t="shared" si="34"/>
        <v/>
      </c>
      <c r="R214" s="11" t="str">
        <f>IF(AE214&gt;=Reference!$D$2, Reference!$G$2, IF(AE214&gt;=Reference!$D$3, Reference!$E$3, IF(AE214&gt;=Reference!$D$4, Reference!$E$4, IF(AE214&gt;=Reference!$D$5, Reference!$E$5, ""))))</f>
        <v>Low</v>
      </c>
      <c r="S214" s="13"/>
      <c r="T214" s="12"/>
      <c r="U214" s="9"/>
      <c r="V214" s="9"/>
      <c r="W214" s="9"/>
      <c r="Y214" s="12">
        <f>IF(H214=Reference!$A$12, Reference!$C$12, IF(H214=Reference!$A$11, Reference!$C$11, IF(H214=Reference!$A$10, Reference!$C$10, IF(H214=Reference!$A$9, Reference!$C$9, 0))))</f>
        <v>0</v>
      </c>
      <c r="Z214" s="12">
        <f>IF(J214=Reference!$A$20, Reference!$C$20, IF(J214=Reference!$A$19, Reference!$C$19, IF(J214=Reference!$A$18, Reference!$C$18, IF(J214=Reference!$A$17, Reference!$C$17, 0))))</f>
        <v>0</v>
      </c>
      <c r="AA214" s="12">
        <f>IF(L214=Reference!$A$28, Reference!$C$28, IF(L214=Reference!$A$27, Reference!$C$27, IF(L214=Reference!$A$26, Reference!$C$26, IF(L214=Reference!$A$25, Reference!$C$25, 0))))</f>
        <v>0</v>
      </c>
      <c r="AB214" s="12">
        <f>IF(N214=Reference!$A$36, Reference!$C$36, IF(N214=Reference!$A$35, Reference!$C$35, IF(N214=Reference!$A$34, Reference!$C$34, IF(N214=Reference!$A$33, Reference!$C$33, 0))))</f>
        <v>0</v>
      </c>
      <c r="AC214" s="12">
        <f>(Reference!$B$2*Y214 + Reference!$B$3*AA214 + Reference!$B$4*Z214 + Reference!$B$5 * AB214)/4</f>
        <v>0</v>
      </c>
      <c r="AD214" s="12">
        <f>IF(Q214=Reference!$C$41, Reference!$D$41, IF(Q214=Reference!$C$42, Reference!$D$42, IF(Q214=Reference!$C$43, Reference!$D$43, IF(Q214=Reference!$C$44, Reference!$D$44, 0))))</f>
        <v>0</v>
      </c>
      <c r="AE214" s="12">
        <f t="shared" si="35"/>
        <v>1</v>
      </c>
    </row>
    <row r="215" spans="1:31" ht="13.15">
      <c r="A215" s="8"/>
      <c r="B215" s="9"/>
      <c r="C215" s="9"/>
      <c r="D215" s="10"/>
      <c r="E215" s="10"/>
      <c r="F215" s="9"/>
      <c r="G215" s="9"/>
      <c r="H215" s="9"/>
      <c r="I215" s="9"/>
      <c r="J215" s="9"/>
      <c r="K215" s="9"/>
      <c r="L215" s="9"/>
      <c r="M215" s="9"/>
      <c r="N215" s="9"/>
      <c r="O215" s="9"/>
      <c r="P215" s="11" t="str">
        <f>IF(AC215&gt;=Reference!$H$2, Reference!$G$2, IF(AC215&gt;=Reference!$H$3, Reference!$G$3, IF(AC215&gt;=Reference!$H$4, Reference!$G$4, IF(AC215&gt;=Reference!$H$5, Reference!$G$5, ""))))</f>
        <v/>
      </c>
      <c r="Q215" s="11" t="str">
        <f t="shared" si="34"/>
        <v/>
      </c>
      <c r="R215" s="11" t="str">
        <f>IF(AE215&gt;=Reference!$D$2, Reference!$G$2, IF(AE215&gt;=Reference!$D$3, Reference!$E$3, IF(AE215&gt;=Reference!$D$4, Reference!$E$4, IF(AE215&gt;=Reference!$D$5, Reference!$E$5, ""))))</f>
        <v>Low</v>
      </c>
      <c r="S215" s="13"/>
      <c r="T215" s="12"/>
      <c r="U215" s="9"/>
      <c r="V215" s="9"/>
      <c r="W215" s="9"/>
      <c r="Y215" s="12">
        <f>IF(H215=Reference!$A$12, Reference!$C$12, IF(H215=Reference!$A$11, Reference!$C$11, IF(H215=Reference!$A$10, Reference!$C$10, IF(H215=Reference!$A$9, Reference!$C$9, 0))))</f>
        <v>0</v>
      </c>
      <c r="Z215" s="12">
        <f>IF(J215=Reference!$A$20, Reference!$C$20, IF(J215=Reference!$A$19, Reference!$C$19, IF(J215=Reference!$A$18, Reference!$C$18, IF(J215=Reference!$A$17, Reference!$C$17, 0))))</f>
        <v>0</v>
      </c>
      <c r="AA215" s="12">
        <f>IF(L215=Reference!$A$28, Reference!$C$28, IF(L215=Reference!$A$27, Reference!$C$27, IF(L215=Reference!$A$26, Reference!$C$26, IF(L215=Reference!$A$25, Reference!$C$25, 0))))</f>
        <v>0</v>
      </c>
      <c r="AB215" s="12">
        <f>IF(N215=Reference!$A$36, Reference!$C$36, IF(N215=Reference!$A$35, Reference!$C$35, IF(N215=Reference!$A$34, Reference!$C$34, IF(N215=Reference!$A$33, Reference!$C$33, 0))))</f>
        <v>0</v>
      </c>
      <c r="AC215" s="12">
        <f>(Reference!$B$2*Y215 + Reference!$B$3*AA215 + Reference!$B$4*Z215 + Reference!$B$5 * AB215)/4</f>
        <v>0</v>
      </c>
      <c r="AD215" s="12">
        <f>IF(Q215=Reference!$C$41, Reference!$D$41, IF(Q215=Reference!$C$42, Reference!$D$42, IF(Q215=Reference!$C$43, Reference!$D$43, IF(Q215=Reference!$C$44, Reference!$D$44, 0))))</f>
        <v>0</v>
      </c>
      <c r="AE215" s="12">
        <f t="shared" si="35"/>
        <v>1</v>
      </c>
    </row>
    <row r="216" spans="1:31" ht="13.15">
      <c r="A216" s="8"/>
      <c r="B216" s="9"/>
      <c r="C216" s="9"/>
      <c r="D216" s="10"/>
      <c r="E216" s="10"/>
      <c r="F216" s="9"/>
      <c r="G216" s="9"/>
      <c r="H216" s="9"/>
      <c r="I216" s="30"/>
      <c r="J216" s="9"/>
      <c r="K216" s="9"/>
      <c r="L216" s="9"/>
      <c r="M216" s="9"/>
      <c r="N216" s="9"/>
      <c r="O216" s="9"/>
      <c r="P216" s="11" t="str">
        <f>IF(AC216&gt;=Reference!$H$2, Reference!$G$2, IF(AC216&gt;=Reference!$H$3, Reference!$G$3, IF(AC216&gt;=Reference!$H$4, Reference!$G$4, IF(AC216&gt;=Reference!$H$5, Reference!$G$5, ""))))</f>
        <v/>
      </c>
      <c r="Q216" s="11" t="str">
        <f t="shared" si="34"/>
        <v/>
      </c>
      <c r="R216" s="11" t="str">
        <f>IF(AE216&gt;=Reference!$D$2, Reference!$G$2, IF(AE216&gt;=Reference!$D$3, Reference!$E$3, IF(AE216&gt;=Reference!$D$4, Reference!$E$4, IF(AE216&gt;=Reference!$D$5, Reference!$E$5, ""))))</f>
        <v>Low</v>
      </c>
      <c r="S216" s="13"/>
      <c r="T216" s="12"/>
      <c r="U216" s="9"/>
      <c r="V216" s="9"/>
      <c r="W216" s="9"/>
      <c r="Y216" s="12">
        <f>IF(H216=Reference!$A$12, Reference!$C$12, IF(H216=Reference!$A$11, Reference!$C$11, IF(H216=Reference!$A$10, Reference!$C$10, IF(H216=Reference!$A$9, Reference!$C$9, 0))))</f>
        <v>0</v>
      </c>
      <c r="Z216" s="12">
        <f>IF(J216=Reference!$A$20, Reference!$C$20, IF(J216=Reference!$A$19, Reference!$C$19, IF(J216=Reference!$A$18, Reference!$C$18, IF(J216=Reference!$A$17, Reference!$C$17, 0))))</f>
        <v>0</v>
      </c>
      <c r="AA216" s="12">
        <f>IF(L216=Reference!$A$28, Reference!$C$28, IF(L216=Reference!$A$27, Reference!$C$27, IF(L216=Reference!$A$26, Reference!$C$26, IF(L216=Reference!$A$25, Reference!$C$25, 0))))</f>
        <v>0</v>
      </c>
      <c r="AB216" s="12">
        <f>IF(N216=Reference!$A$36, Reference!$C$36, IF(N216=Reference!$A$35, Reference!$C$35, IF(N216=Reference!$A$34, Reference!$C$34, IF(N216=Reference!$A$33, Reference!$C$33, 0))))</f>
        <v>0</v>
      </c>
      <c r="AC216" s="12">
        <f>(Reference!$B$2*Y216 + Reference!$B$3*AA216 + Reference!$B$4*Z216 + Reference!$B$5 * AB216)/4</f>
        <v>0</v>
      </c>
      <c r="AD216" s="12">
        <f>IF(Q216=Reference!$C$41, Reference!$D$41, IF(Q216=Reference!$C$42, Reference!$D$42, IF(Q216=Reference!$C$43, Reference!$D$43, IF(Q216=Reference!$C$44, Reference!$D$44, 0))))</f>
        <v>0</v>
      </c>
      <c r="AE216" s="12">
        <f t="shared" si="35"/>
        <v>1</v>
      </c>
    </row>
    <row r="217" spans="1:31" ht="13.15">
      <c r="A217" s="8"/>
      <c r="B217" s="9"/>
      <c r="C217" s="9"/>
      <c r="D217" s="10"/>
      <c r="E217" s="18"/>
      <c r="F217" s="9"/>
      <c r="G217" s="9"/>
      <c r="H217" s="9"/>
      <c r="I217" s="19"/>
      <c r="J217" s="9"/>
      <c r="K217" s="19"/>
      <c r="L217" s="9"/>
      <c r="M217" s="19"/>
      <c r="N217" s="9"/>
      <c r="O217" s="19"/>
      <c r="P217" s="11" t="str">
        <f>IF(AC217&gt;=Reference!$H$2, Reference!$G$2, IF(AC217&gt;=Reference!$H$3, Reference!$G$3, IF(AC217&gt;=Reference!$H$4, Reference!$G$4, IF(AC217&gt;=Reference!$H$5, Reference!$G$5, ""))))</f>
        <v/>
      </c>
      <c r="Q217" s="11" t="str">
        <f t="shared" si="34"/>
        <v/>
      </c>
      <c r="R217" s="11" t="str">
        <f>IF(AE217&gt;=Reference!$D$2, Reference!$G$2, IF(AE217&gt;=Reference!$D$3, Reference!$E$3, IF(AE217&gt;=Reference!$D$4, Reference!$E$4, IF(AE217&gt;=Reference!$D$5, Reference!$E$5, ""))))</f>
        <v>Low</v>
      </c>
      <c r="S217" s="13"/>
      <c r="T217" s="12"/>
      <c r="U217" s="19"/>
      <c r="V217" s="19"/>
      <c r="W217" s="9"/>
      <c r="Y217" s="12">
        <f>IF(H217=Reference!$A$12, Reference!$C$12, IF(H217=Reference!$A$11, Reference!$C$11, IF(H217=Reference!$A$10, Reference!$C$10, IF(H217=Reference!$A$9, Reference!$C$9, 0))))</f>
        <v>0</v>
      </c>
      <c r="Z217" s="12">
        <f>IF(J217=Reference!$A$20, Reference!$C$20, IF(J217=Reference!$A$19, Reference!$C$19, IF(J217=Reference!$A$18, Reference!$C$18, IF(J217=Reference!$A$17, Reference!$C$17, 0))))</f>
        <v>0</v>
      </c>
      <c r="AA217" s="12">
        <f>IF(L217=Reference!$A$28, Reference!$C$28, IF(L217=Reference!$A$27, Reference!$C$27, IF(L217=Reference!$A$26, Reference!$C$26, IF(L217=Reference!$A$25, Reference!$C$25, 0))))</f>
        <v>0</v>
      </c>
      <c r="AB217" s="12">
        <f>IF(N217=Reference!$A$36, Reference!$C$36, IF(N217=Reference!$A$35, Reference!$C$35, IF(N217=Reference!$A$34, Reference!$C$34, IF(N217=Reference!$A$33, Reference!$C$33, 0))))</f>
        <v>0</v>
      </c>
      <c r="AC217" s="12">
        <f>(Reference!$B$2*Y217 + Reference!$B$3*AA217 + Reference!$B$4*Z217 + Reference!$B$5 * AB217)/4</f>
        <v>0</v>
      </c>
      <c r="AD217" s="12">
        <f>IF(Q217=Reference!$C$41, Reference!$D$41, IF(Q217=Reference!$C$42, Reference!$D$42, IF(Q217=Reference!$C$43, Reference!$D$43, IF(Q217=Reference!$C$44, Reference!$D$44, 0))))</f>
        <v>0</v>
      </c>
      <c r="AE217" s="12">
        <f t="shared" si="35"/>
        <v>1</v>
      </c>
    </row>
    <row r="218" spans="1:31" ht="13.15">
      <c r="A218" s="8"/>
      <c r="B218" s="9"/>
      <c r="C218" s="9"/>
      <c r="D218" s="10"/>
      <c r="E218" s="10"/>
      <c r="F218" s="9"/>
      <c r="G218" s="9"/>
      <c r="H218" s="9"/>
      <c r="I218" s="9"/>
      <c r="J218" s="9"/>
      <c r="K218" s="9"/>
      <c r="L218" s="9"/>
      <c r="M218" s="9"/>
      <c r="N218" s="9"/>
      <c r="O218" s="9"/>
      <c r="P218" s="11" t="str">
        <f>IF(AC218&gt;=Reference!$H$2, Reference!$G$2, IF(AC218&gt;=Reference!$H$3, Reference!$G$3, IF(AC218&gt;=Reference!$H$4, Reference!$G$4, IF(AC218&gt;=Reference!$H$5, Reference!$G$5, ""))))</f>
        <v/>
      </c>
      <c r="Q218" s="11" t="str">
        <f t="shared" si="34"/>
        <v/>
      </c>
      <c r="R218" s="11" t="str">
        <f>IF(AE218&gt;=Reference!$D$2, Reference!$G$2, IF(AE218&gt;=Reference!$D$3, Reference!$E$3, IF(AE218&gt;=Reference!$D$4, Reference!$E$4, IF(AE218&gt;=Reference!$D$5, Reference!$E$5, ""))))</f>
        <v>Low</v>
      </c>
      <c r="S218" s="13"/>
      <c r="T218" s="12"/>
      <c r="U218" s="9"/>
      <c r="V218" s="9"/>
      <c r="W218" s="9"/>
      <c r="X218" s="1"/>
      <c r="Y218" s="12">
        <f>IF(H218=Reference!$A$12, Reference!$C$12, IF(H218=Reference!$A$11, Reference!$C$11, IF(H218=Reference!$A$10, Reference!$C$10, IF(H218=Reference!$A$9, Reference!$C$9, 0))))</f>
        <v>0</v>
      </c>
      <c r="Z218" s="12">
        <f>IF(J218=Reference!$A$20, Reference!$C$20, IF(J218=Reference!$A$19, Reference!$C$19, IF(J218=Reference!$A$18, Reference!$C$18, IF(J218=Reference!$A$17, Reference!$C$17, 0))))</f>
        <v>0</v>
      </c>
      <c r="AA218" s="12">
        <f>IF(L218=Reference!$A$28, Reference!$C$28, IF(L218=Reference!$A$27, Reference!$C$27, IF(L218=Reference!$A$26, Reference!$C$26, IF(L218=Reference!$A$25, Reference!$C$25, 0))))</f>
        <v>0</v>
      </c>
      <c r="AB218" s="12">
        <f>IF(N218=Reference!$A$36, Reference!$C$36, IF(N218=Reference!$A$35, Reference!$C$35, IF(N218=Reference!$A$34, Reference!$C$34, IF(N218=Reference!$A$33, Reference!$C$33, 0))))</f>
        <v>0</v>
      </c>
      <c r="AC218" s="12">
        <f>(Reference!$B$2*Y218 + Reference!$B$3*AA218 + Reference!$B$4*Z218 + Reference!$B$5 * AB218)/4</f>
        <v>0</v>
      </c>
      <c r="AD218" s="12">
        <f>IF(Q218=Reference!$C$41, Reference!$D$41, IF(Q218=Reference!$C$42, Reference!$D$42, IF(Q218=Reference!$C$43, Reference!$D$43, IF(Q218=Reference!$C$44, Reference!$D$44, 0))))</f>
        <v>0</v>
      </c>
      <c r="AE218" s="12">
        <f t="shared" si="35"/>
        <v>1</v>
      </c>
    </row>
    <row r="219" spans="1:31" ht="13.15">
      <c r="A219" s="8"/>
      <c r="B219" s="9"/>
      <c r="C219" s="9"/>
      <c r="D219" s="10"/>
      <c r="E219" s="18"/>
      <c r="F219" s="9"/>
      <c r="G219" s="9"/>
      <c r="H219" s="9"/>
      <c r="I219" s="19"/>
      <c r="J219" s="9"/>
      <c r="K219" s="19"/>
      <c r="L219" s="9"/>
      <c r="M219" s="19"/>
      <c r="N219" s="9"/>
      <c r="O219" s="19"/>
      <c r="P219" s="11" t="str">
        <f>IF(AC219&gt;=Reference!$H$2, Reference!$G$2, IF(AC219&gt;=Reference!$H$3, Reference!$G$3, IF(AC219&gt;=Reference!$H$4, Reference!$G$4, IF(AC219&gt;=Reference!$H$5, Reference!$G$5, ""))))</f>
        <v/>
      </c>
      <c r="Q219" s="11" t="str">
        <f t="shared" si="34"/>
        <v/>
      </c>
      <c r="R219" s="11" t="str">
        <f>IF(AE219&gt;=Reference!$D$2, Reference!$G$2, IF(AE219&gt;=Reference!$D$3, Reference!$E$3, IF(AE219&gt;=Reference!$D$4, Reference!$E$4, IF(AE219&gt;=Reference!$D$5, Reference!$E$5, ""))))</f>
        <v>Low</v>
      </c>
      <c r="S219" s="13"/>
      <c r="T219" s="12"/>
      <c r="U219" s="19"/>
      <c r="V219" s="19"/>
      <c r="W219" s="9"/>
      <c r="Y219" s="12">
        <f>IF(H219=Reference!$A$12, Reference!$C$12, IF(H219=Reference!$A$11, Reference!$C$11, IF(H219=Reference!$A$10, Reference!$C$10, IF(H219=Reference!$A$9, Reference!$C$9, 0))))</f>
        <v>0</v>
      </c>
      <c r="Z219" s="12">
        <f>IF(J219=Reference!$A$20, Reference!$C$20, IF(J219=Reference!$A$19, Reference!$C$19, IF(J219=Reference!$A$18, Reference!$C$18, IF(J219=Reference!$A$17, Reference!$C$17, 0))))</f>
        <v>0</v>
      </c>
      <c r="AA219" s="12">
        <f>IF(L219=Reference!$A$28, Reference!$C$28, IF(L219=Reference!$A$27, Reference!$C$27, IF(L219=Reference!$A$26, Reference!$C$26, IF(L219=Reference!$A$25, Reference!$C$25, 0))))</f>
        <v>0</v>
      </c>
      <c r="AB219" s="12">
        <f>IF(N219=Reference!$A$36, Reference!$C$36, IF(N219=Reference!$A$35, Reference!$C$35, IF(N219=Reference!$A$34, Reference!$C$34, IF(N219=Reference!$A$33, Reference!$C$33, 0))))</f>
        <v>0</v>
      </c>
      <c r="AC219" s="12">
        <f>(Reference!$B$2*Y219 + Reference!$B$3*AA219 + Reference!$B$4*Z219 + Reference!$B$5 * AB219)/4</f>
        <v>0</v>
      </c>
      <c r="AD219" s="12">
        <f>IF(Q219=Reference!$C$41, Reference!$D$41, IF(Q219=Reference!$C$42, Reference!$D$42, IF(Q219=Reference!$C$43, Reference!$D$43, IF(Q219=Reference!$C$44, Reference!$D$44, 0))))</f>
        <v>0</v>
      </c>
      <c r="AE219" s="12">
        <f t="shared" si="35"/>
        <v>1</v>
      </c>
    </row>
    <row r="220" spans="1:31" ht="13.15">
      <c r="A220" s="8"/>
      <c r="B220" s="9"/>
      <c r="C220" s="9"/>
      <c r="D220" s="10"/>
      <c r="E220" s="10"/>
      <c r="F220" s="9"/>
      <c r="G220" s="9"/>
      <c r="H220" s="9"/>
      <c r="I220" s="9"/>
      <c r="J220" s="9"/>
      <c r="K220" s="9"/>
      <c r="L220" s="9"/>
      <c r="M220" s="9"/>
      <c r="N220" s="9"/>
      <c r="O220" s="9"/>
      <c r="P220" s="11" t="str">
        <f>IF(AC220&gt;=Reference!$H$2, Reference!$G$2, IF(AC220&gt;=Reference!$H$3, Reference!$G$3, IF(AC220&gt;=Reference!$H$4, Reference!$G$4, IF(AC220&gt;=Reference!$H$5, Reference!$G$5, ""))))</f>
        <v/>
      </c>
      <c r="Q220" s="11" t="str">
        <f t="shared" si="34"/>
        <v/>
      </c>
      <c r="R220" s="11" t="str">
        <f>IF(AE220&gt;=Reference!$D$2, Reference!$G$2, IF(AE220&gt;=Reference!$D$3, Reference!$E$3, IF(AE220&gt;=Reference!$D$4, Reference!$E$4, IF(AE220&gt;=Reference!$D$5, Reference!$E$5, ""))))</f>
        <v>Low</v>
      </c>
      <c r="S220" s="13"/>
      <c r="T220" s="12"/>
      <c r="U220" s="9"/>
      <c r="V220" s="9"/>
      <c r="W220" s="9"/>
      <c r="Y220" s="12">
        <f>IF(H220=Reference!$A$12, Reference!$C$12, IF(H220=Reference!$A$11, Reference!$C$11, IF(H220=Reference!$A$10, Reference!$C$10, IF(H220=Reference!$A$9, Reference!$C$9, 0))))</f>
        <v>0</v>
      </c>
      <c r="Z220" s="12">
        <f>IF(J220=Reference!$A$20, Reference!$C$20, IF(J220=Reference!$A$19, Reference!$C$19, IF(J220=Reference!$A$18, Reference!$C$18, IF(J220=Reference!$A$17, Reference!$C$17, 0))))</f>
        <v>0</v>
      </c>
      <c r="AA220" s="12">
        <f>IF(L220=Reference!$A$28, Reference!$C$28, IF(L220=Reference!$A$27, Reference!$C$27, IF(L220=Reference!$A$26, Reference!$C$26, IF(L220=Reference!$A$25, Reference!$C$25, 0))))</f>
        <v>0</v>
      </c>
      <c r="AB220" s="12">
        <f>IF(N220=Reference!$A$36, Reference!$C$36, IF(N220=Reference!$A$35, Reference!$C$35, IF(N220=Reference!$A$34, Reference!$C$34, IF(N220=Reference!$A$33, Reference!$C$33, 0))))</f>
        <v>0</v>
      </c>
      <c r="AC220" s="12">
        <f>(Reference!$B$2*Y220 + Reference!$B$3*AA220 + Reference!$B$4*Z220 + Reference!$B$5 * AB220)/4</f>
        <v>0</v>
      </c>
      <c r="AD220" s="12">
        <f>IF(Q220=Reference!$C$41, Reference!$D$41, IF(Q220=Reference!$C$42, Reference!$D$42, IF(Q220=Reference!$C$43, Reference!$D$43, IF(Q220=Reference!$C$44, Reference!$D$44, 0))))</f>
        <v>0</v>
      </c>
      <c r="AE220" s="12">
        <f t="shared" si="35"/>
        <v>1</v>
      </c>
    </row>
    <row r="221" spans="1:31" ht="13.15">
      <c r="A221" s="8"/>
      <c r="B221" s="9"/>
      <c r="C221" s="9"/>
      <c r="D221" s="10"/>
      <c r="E221" s="10"/>
      <c r="F221" s="9"/>
      <c r="G221" s="9"/>
      <c r="H221" s="9"/>
      <c r="I221" s="9"/>
      <c r="J221" s="9"/>
      <c r="K221" s="19"/>
      <c r="L221" s="9"/>
      <c r="M221" s="9"/>
      <c r="N221" s="9"/>
      <c r="O221" s="9"/>
      <c r="P221" s="11" t="str">
        <f>IF(AC221&gt;=Reference!$H$2, Reference!$G$2, IF(AC221&gt;=Reference!$H$3, Reference!$G$3, IF(AC221&gt;=Reference!$H$4, Reference!$G$4, IF(AC221&gt;=Reference!$H$5, Reference!$G$5, ""))))</f>
        <v/>
      </c>
      <c r="Q221" s="11" t="str">
        <f t="shared" si="34"/>
        <v/>
      </c>
      <c r="R221" s="11" t="str">
        <f>IF(AE221&gt;=Reference!$D$2, Reference!$G$2, IF(AE221&gt;=Reference!$D$3, Reference!$E$3, IF(AE221&gt;=Reference!$D$4, Reference!$E$4, IF(AE221&gt;=Reference!$D$5, Reference!$E$5, ""))))</f>
        <v>Low</v>
      </c>
      <c r="S221" s="13"/>
      <c r="T221" s="12"/>
      <c r="U221" s="9"/>
      <c r="V221" s="9"/>
      <c r="W221" s="9"/>
      <c r="Y221" s="12">
        <f>IF(H221=Reference!$A$12, Reference!$C$12, IF(H221=Reference!$A$11, Reference!$C$11, IF(H221=Reference!$A$10, Reference!$C$10, IF(H221=Reference!$A$9, Reference!$C$9, 0))))</f>
        <v>0</v>
      </c>
      <c r="Z221" s="12">
        <f>IF(J221=Reference!$A$20, Reference!$C$20, IF(J221=Reference!$A$19, Reference!$C$19, IF(J221=Reference!$A$18, Reference!$C$18, IF(J221=Reference!$A$17, Reference!$C$17, 0))))</f>
        <v>0</v>
      </c>
      <c r="AA221" s="12">
        <f>IF(L221=Reference!$A$28, Reference!$C$28, IF(L221=Reference!$A$27, Reference!$C$27, IF(L221=Reference!$A$26, Reference!$C$26, IF(L221=Reference!$A$25, Reference!$C$25, 0))))</f>
        <v>0</v>
      </c>
      <c r="AB221" s="12">
        <f>IF(N221=Reference!$A$36, Reference!$C$36, IF(N221=Reference!$A$35, Reference!$C$35, IF(N221=Reference!$A$34, Reference!$C$34, IF(N221=Reference!$A$33, Reference!$C$33, 0))))</f>
        <v>0</v>
      </c>
      <c r="AC221" s="12">
        <f>(Reference!$B$2*Y221 + Reference!$B$3*AA221 + Reference!$B$4*Z221 + Reference!$B$5 * AB221)/4</f>
        <v>0</v>
      </c>
      <c r="AD221" s="12">
        <f>IF(Q221=Reference!$C$41, Reference!$D$41, IF(Q221=Reference!$C$42, Reference!$D$42, IF(Q221=Reference!$C$43, Reference!$D$43, IF(Q221=Reference!$C$44, Reference!$D$44, 0))))</f>
        <v>0</v>
      </c>
      <c r="AE221" s="12">
        <f t="shared" si="35"/>
        <v>1</v>
      </c>
    </row>
    <row r="222" spans="1:31" ht="13.15">
      <c r="A222" s="8"/>
      <c r="B222" s="9"/>
      <c r="C222" s="9"/>
      <c r="D222" s="10"/>
      <c r="E222" s="10"/>
      <c r="F222" s="9"/>
      <c r="G222" s="9"/>
      <c r="H222" s="9"/>
      <c r="I222" s="9"/>
      <c r="J222" s="9"/>
      <c r="K222" s="9"/>
      <c r="L222" s="9"/>
      <c r="M222" s="9"/>
      <c r="N222" s="9"/>
      <c r="O222" s="9"/>
      <c r="P222" s="11" t="str">
        <f>IF(AC222&gt;=Reference!$H$2, Reference!$G$2, IF(AC222&gt;=Reference!$H$3, Reference!$G$3, IF(AC222&gt;=Reference!$H$4, Reference!$G$4, IF(AC222&gt;=Reference!$H$5, Reference!$G$5, ""))))</f>
        <v/>
      </c>
      <c r="Q222" s="11" t="str">
        <f t="shared" si="34"/>
        <v/>
      </c>
      <c r="R222" s="11" t="str">
        <f>IF(AE222&gt;=Reference!$D$2, Reference!$G$2, IF(AE222&gt;=Reference!$D$3, Reference!$E$3, IF(AE222&gt;=Reference!$D$4, Reference!$E$4, IF(AE222&gt;=Reference!$D$5, Reference!$E$5, ""))))</f>
        <v>Low</v>
      </c>
      <c r="S222" s="13"/>
      <c r="T222" s="12"/>
      <c r="U222" s="9"/>
      <c r="V222" s="9"/>
      <c r="W222" s="9"/>
      <c r="Y222" s="12">
        <f>IF(H222=Reference!$A$12, Reference!$C$12, IF(H222=Reference!$A$11, Reference!$C$11, IF(H222=Reference!$A$10, Reference!$C$10, IF(H222=Reference!$A$9, Reference!$C$9, 0))))</f>
        <v>0</v>
      </c>
      <c r="Z222" s="12">
        <f>IF(J222=Reference!$A$20, Reference!$C$20, IF(J222=Reference!$A$19, Reference!$C$19, IF(J222=Reference!$A$18, Reference!$C$18, IF(J222=Reference!$A$17, Reference!$C$17, 0))))</f>
        <v>0</v>
      </c>
      <c r="AA222" s="12">
        <f>IF(L222=Reference!$A$28, Reference!$C$28, IF(L222=Reference!$A$27, Reference!$C$27, IF(L222=Reference!$A$26, Reference!$C$26, IF(L222=Reference!$A$25, Reference!$C$25, 0))))</f>
        <v>0</v>
      </c>
      <c r="AB222" s="12">
        <f>IF(N222=Reference!$A$36, Reference!$C$36, IF(N222=Reference!$A$35, Reference!$C$35, IF(N222=Reference!$A$34, Reference!$C$34, IF(N222=Reference!$A$33, Reference!$C$33, 0))))</f>
        <v>0</v>
      </c>
      <c r="AC222" s="12">
        <f>(Reference!$B$2*Y222 + Reference!$B$3*AA222 + Reference!$B$4*Z222 + Reference!$B$5 * AB222)/4</f>
        <v>0</v>
      </c>
      <c r="AD222" s="12">
        <f>IF(Q222=Reference!$C$41, Reference!$D$41, IF(Q222=Reference!$C$42, Reference!$D$42, IF(Q222=Reference!$C$43, Reference!$D$43, IF(Q222=Reference!$C$44, Reference!$D$44, 0))))</f>
        <v>0</v>
      </c>
      <c r="AE222" s="12">
        <f t="shared" si="35"/>
        <v>1</v>
      </c>
    </row>
    <row r="223" spans="1:31" ht="13.15">
      <c r="A223" s="8"/>
      <c r="B223" s="9"/>
      <c r="C223" s="9"/>
      <c r="D223" s="10"/>
      <c r="E223" s="10"/>
      <c r="F223" s="9"/>
      <c r="G223" s="9"/>
      <c r="H223" s="9"/>
      <c r="I223" s="9"/>
      <c r="J223" s="9"/>
      <c r="K223" s="19"/>
      <c r="L223" s="9"/>
      <c r="M223" s="9"/>
      <c r="N223" s="9"/>
      <c r="O223" s="9"/>
      <c r="P223" s="11" t="str">
        <f>IF(AC223&gt;=Reference!$H$2, Reference!$G$2, IF(AC223&gt;=Reference!$H$3, Reference!$G$3, IF(AC223&gt;=Reference!$H$4, Reference!$G$4, IF(AC223&gt;=Reference!$H$5, Reference!$G$5, ""))))</f>
        <v/>
      </c>
      <c r="Q223" s="11" t="str">
        <f t="shared" si="34"/>
        <v/>
      </c>
      <c r="R223" s="11" t="str">
        <f>IF(AE223&gt;=Reference!$D$2, Reference!$G$2, IF(AE223&gt;=Reference!$D$3, Reference!$E$3, IF(AE223&gt;=Reference!$D$4, Reference!$E$4, IF(AE223&gt;=Reference!$D$5, Reference!$E$5, ""))))</f>
        <v>Low</v>
      </c>
      <c r="S223" s="13"/>
      <c r="T223" s="12"/>
      <c r="U223" s="9"/>
      <c r="V223" s="9"/>
      <c r="W223" s="9"/>
      <c r="Y223" s="12">
        <f>IF(H223=Reference!$A$12, Reference!$C$12, IF(H223=Reference!$A$11, Reference!$C$11, IF(H223=Reference!$A$10, Reference!$C$10, IF(H223=Reference!$A$9, Reference!$C$9, 0))))</f>
        <v>0</v>
      </c>
      <c r="Z223" s="12">
        <f>IF(J223=Reference!$A$20, Reference!$C$20, IF(J223=Reference!$A$19, Reference!$C$19, IF(J223=Reference!$A$18, Reference!$C$18, IF(J223=Reference!$A$17, Reference!$C$17, 0))))</f>
        <v>0</v>
      </c>
      <c r="AA223" s="12">
        <f>IF(L223=Reference!$A$28, Reference!$C$28, IF(L223=Reference!$A$27, Reference!$C$27, IF(L223=Reference!$A$26, Reference!$C$26, IF(L223=Reference!$A$25, Reference!$C$25, 0))))</f>
        <v>0</v>
      </c>
      <c r="AB223" s="12">
        <f>IF(N223=Reference!$A$36, Reference!$C$36, IF(N223=Reference!$A$35, Reference!$C$35, IF(N223=Reference!$A$34, Reference!$C$34, IF(N223=Reference!$A$33, Reference!$C$33, 0))))</f>
        <v>0</v>
      </c>
      <c r="AC223" s="12">
        <f>(Reference!$B$2*Y223 + Reference!$B$3*AA223 + Reference!$B$4*Z223 + Reference!$B$5 * AB223)/4</f>
        <v>0</v>
      </c>
      <c r="AD223" s="12">
        <f>IF(Q223=Reference!$C$41, Reference!$D$41, IF(Q223=Reference!$C$42, Reference!$D$42, IF(Q223=Reference!$C$43, Reference!$D$43, IF(Q223=Reference!$C$44, Reference!$D$44, 0))))</f>
        <v>0</v>
      </c>
      <c r="AE223" s="12">
        <f t="shared" si="35"/>
        <v>1</v>
      </c>
    </row>
    <row r="224" spans="1:31" ht="13.15">
      <c r="A224" s="8"/>
      <c r="B224" s="9"/>
      <c r="C224" s="9"/>
      <c r="D224" s="10"/>
      <c r="E224" s="10"/>
      <c r="F224" s="9"/>
      <c r="G224" s="9"/>
      <c r="H224" s="9"/>
      <c r="I224" s="9"/>
      <c r="J224" s="9"/>
      <c r="K224" s="9"/>
      <c r="L224" s="9"/>
      <c r="M224" s="9"/>
      <c r="N224" s="9"/>
      <c r="O224" s="9"/>
      <c r="P224" s="11" t="str">
        <f>IF(AC224&gt;=Reference!$H$2, Reference!$G$2, IF(AC224&gt;=Reference!$H$3, Reference!$G$3, IF(AC224&gt;=Reference!$H$4, Reference!$G$4, IF(AC224&gt;=Reference!$H$5, Reference!$G$5, ""))))</f>
        <v/>
      </c>
      <c r="Q224" s="11" t="str">
        <f t="shared" si="34"/>
        <v/>
      </c>
      <c r="R224" s="11" t="str">
        <f>IF(AE224&gt;=Reference!$D$2, Reference!$G$2, IF(AE224&gt;=Reference!$D$3, Reference!$E$3, IF(AE224&gt;=Reference!$D$4, Reference!$E$4, IF(AE224&gt;=Reference!$D$5, Reference!$E$5, ""))))</f>
        <v>Low</v>
      </c>
      <c r="S224" s="13"/>
      <c r="T224" s="12"/>
      <c r="U224" s="9"/>
      <c r="V224" s="9"/>
      <c r="W224" s="9"/>
      <c r="Y224" s="12">
        <f>IF(H224=Reference!$A$12, Reference!$C$12, IF(H224=Reference!$A$11, Reference!$C$11, IF(H224=Reference!$A$10, Reference!$C$10, IF(H224=Reference!$A$9, Reference!$C$9, 0))))</f>
        <v>0</v>
      </c>
      <c r="Z224" s="12">
        <f>IF(J224=Reference!$A$20, Reference!$C$20, IF(J224=Reference!$A$19, Reference!$C$19, IF(J224=Reference!$A$18, Reference!$C$18, IF(J224=Reference!$A$17, Reference!$C$17, 0))))</f>
        <v>0</v>
      </c>
      <c r="AA224" s="12">
        <f>IF(L224=Reference!$A$28, Reference!$C$28, IF(L224=Reference!$A$27, Reference!$C$27, IF(L224=Reference!$A$26, Reference!$C$26, IF(L224=Reference!$A$25, Reference!$C$25, 0))))</f>
        <v>0</v>
      </c>
      <c r="AB224" s="12">
        <f>IF(N224=Reference!$A$36, Reference!$C$36, IF(N224=Reference!$A$35, Reference!$C$35, IF(N224=Reference!$A$34, Reference!$C$34, IF(N224=Reference!$A$33, Reference!$C$33, 0))))</f>
        <v>0</v>
      </c>
      <c r="AC224" s="12">
        <f>(Reference!$B$2*Y224 + Reference!$B$3*AA224 + Reference!$B$4*Z224 + Reference!$B$5 * AB224)/4</f>
        <v>0</v>
      </c>
      <c r="AD224" s="12">
        <f>IF(Q224=Reference!$C$41, Reference!$D$41, IF(Q224=Reference!$C$42, Reference!$D$42, IF(Q224=Reference!$C$43, Reference!$D$43, IF(Q224=Reference!$C$44, Reference!$D$44, 0))))</f>
        <v>0</v>
      </c>
      <c r="AE224" s="12">
        <f t="shared" si="35"/>
        <v>1</v>
      </c>
    </row>
    <row r="225" spans="1:31" ht="13.15">
      <c r="A225" s="8"/>
      <c r="B225" s="9"/>
      <c r="C225" s="9"/>
      <c r="D225" s="10"/>
      <c r="E225" s="10"/>
      <c r="F225" s="9"/>
      <c r="G225" s="9"/>
      <c r="H225" s="9"/>
      <c r="I225" s="9"/>
      <c r="J225" s="9"/>
      <c r="K225" s="19"/>
      <c r="L225" s="9"/>
      <c r="M225" s="9"/>
      <c r="N225" s="9"/>
      <c r="O225" s="9"/>
      <c r="P225" s="11" t="str">
        <f>IF(AC225&gt;=Reference!$H$2, Reference!$G$2, IF(AC225&gt;=Reference!$H$3, Reference!$G$3, IF(AC225&gt;=Reference!$H$4, Reference!$G$4, IF(AC225&gt;=Reference!$H$5, Reference!$G$5, ""))))</f>
        <v/>
      </c>
      <c r="Q225" s="11" t="str">
        <f t="shared" si="34"/>
        <v/>
      </c>
      <c r="R225" s="11" t="str">
        <f>IF(AE225&gt;=Reference!$D$2, Reference!$G$2, IF(AE225&gt;=Reference!$D$3, Reference!$E$3, IF(AE225&gt;=Reference!$D$4, Reference!$E$4, IF(AE225&gt;=Reference!$D$5, Reference!$E$5, ""))))</f>
        <v>Low</v>
      </c>
      <c r="S225" s="13"/>
      <c r="T225" s="12"/>
      <c r="U225" s="9"/>
      <c r="V225" s="9"/>
      <c r="W225" s="9"/>
      <c r="Y225" s="12">
        <f>IF(H225=Reference!$A$12, Reference!$C$12, IF(H225=Reference!$A$11, Reference!$C$11, IF(H225=Reference!$A$10, Reference!$C$10, IF(H225=Reference!$A$9, Reference!$C$9, 0))))</f>
        <v>0</v>
      </c>
      <c r="Z225" s="12">
        <f>IF(J225=Reference!$A$20, Reference!$C$20, IF(J225=Reference!$A$19, Reference!$C$19, IF(J225=Reference!$A$18, Reference!$C$18, IF(J225=Reference!$A$17, Reference!$C$17, 0))))</f>
        <v>0</v>
      </c>
      <c r="AA225" s="12">
        <f>IF(L225=Reference!$A$28, Reference!$C$28, IF(L225=Reference!$A$27, Reference!$C$27, IF(L225=Reference!$A$26, Reference!$C$26, IF(L225=Reference!$A$25, Reference!$C$25, 0))))</f>
        <v>0</v>
      </c>
      <c r="AB225" s="12">
        <f>IF(N225=Reference!$A$36, Reference!$C$36, IF(N225=Reference!$A$35, Reference!$C$35, IF(N225=Reference!$A$34, Reference!$C$34, IF(N225=Reference!$A$33, Reference!$C$33, 0))))</f>
        <v>0</v>
      </c>
      <c r="AC225" s="12">
        <f>(Reference!$B$2*Y225 + Reference!$B$3*AA225 + Reference!$B$4*Z225 + Reference!$B$5 * AB225)/4</f>
        <v>0</v>
      </c>
      <c r="AD225" s="12">
        <f>IF(Q225=Reference!$C$41, Reference!$D$41, IF(Q225=Reference!$C$42, Reference!$D$42, IF(Q225=Reference!$C$43, Reference!$D$43, IF(Q225=Reference!$C$44, Reference!$D$44, 0))))</f>
        <v>0</v>
      </c>
      <c r="AE225" s="12">
        <f t="shared" si="35"/>
        <v>1</v>
      </c>
    </row>
    <row r="226" spans="1:31" ht="13.15">
      <c r="A226" s="8"/>
      <c r="B226" s="9"/>
      <c r="C226" s="9"/>
      <c r="D226" s="18"/>
      <c r="E226" s="18"/>
      <c r="F226" s="9"/>
      <c r="G226" s="19"/>
      <c r="H226" s="9"/>
      <c r="I226" s="19"/>
      <c r="J226" s="9"/>
      <c r="K226" s="9"/>
      <c r="L226" s="9"/>
      <c r="M226" s="19"/>
      <c r="N226" s="9"/>
      <c r="O226" s="19"/>
      <c r="P226" s="11" t="str">
        <f>IF(AC226&gt;=Reference!$H$2, Reference!$G$2, IF(AC226&gt;=Reference!$H$3, Reference!$G$3, IF(AC226&gt;=Reference!$H$4, Reference!$G$4, IF(AC226&gt;=Reference!$H$5, Reference!$G$5, ""))))</f>
        <v/>
      </c>
      <c r="Q226" s="11" t="str">
        <f t="shared" si="34"/>
        <v/>
      </c>
      <c r="R226" s="11" t="str">
        <f>IF(AE226&gt;=Reference!$D$2, Reference!$G$2, IF(AE226&gt;=Reference!$D$3, Reference!$E$3, IF(AE226&gt;=Reference!$D$4, Reference!$E$4, IF(AE226&gt;=Reference!$D$5, Reference!$E$5, ""))))</f>
        <v>Low</v>
      </c>
      <c r="S226" s="13"/>
      <c r="T226" s="15"/>
      <c r="U226" s="9"/>
      <c r="V226" s="15"/>
      <c r="W226" s="9"/>
      <c r="Y226" s="12">
        <f>IF(H226=Reference!$A$12, Reference!$C$12, IF(H226=Reference!$A$11, Reference!$C$11, IF(H226=Reference!$A$10, Reference!$C$10, IF(H226=Reference!$A$9, Reference!$C$9, 0))))</f>
        <v>0</v>
      </c>
      <c r="Z226" s="12">
        <f>IF(J226=Reference!$A$20, Reference!$C$20, IF(J226=Reference!$A$19, Reference!$C$19, IF(J226=Reference!$A$18, Reference!$C$18, IF(J226=Reference!$A$17, Reference!$C$17, 0))))</f>
        <v>0</v>
      </c>
      <c r="AA226" s="12">
        <f>IF(L226=Reference!$A$28, Reference!$C$28, IF(L226=Reference!$A$27, Reference!$C$27, IF(L226=Reference!$A$26, Reference!$C$26, IF(L226=Reference!$A$25, Reference!$C$25, 0))))</f>
        <v>0</v>
      </c>
      <c r="AB226" s="12">
        <f>IF(N226=Reference!$A$36, Reference!$C$36, IF(N226=Reference!$A$35, Reference!$C$35, IF(N226=Reference!$A$34, Reference!$C$34, IF(N226=Reference!$A$33, Reference!$C$33, 0))))</f>
        <v>0</v>
      </c>
      <c r="AC226" s="12">
        <f>(Reference!$B$2*Y226 + Reference!$B$3*AA226 + Reference!$B$4*Z226 + Reference!$B$5 * AB226)/4</f>
        <v>0</v>
      </c>
      <c r="AD226" s="12">
        <f>IF(Q226=Reference!$C$41, Reference!$D$41, IF(Q226=Reference!$C$42, Reference!$D$42, IF(Q226=Reference!$C$43, Reference!$D$43, IF(Q226=Reference!$C$44, Reference!$D$44, 0))))</f>
        <v>0</v>
      </c>
      <c r="AE226" s="12">
        <f t="shared" si="35"/>
        <v>1</v>
      </c>
    </row>
    <row r="227" spans="1:31" ht="13.15">
      <c r="A227" s="8"/>
      <c r="B227" s="9"/>
      <c r="C227" s="9"/>
      <c r="D227" s="10"/>
      <c r="E227" s="10"/>
      <c r="F227" s="9"/>
      <c r="G227" s="19"/>
      <c r="H227" s="9"/>
      <c r="I227" s="9"/>
      <c r="J227" s="9"/>
      <c r="K227" s="9"/>
      <c r="L227" s="9"/>
      <c r="M227" s="9"/>
      <c r="N227" s="9"/>
      <c r="O227" s="9"/>
      <c r="P227" s="11" t="str">
        <f>IF(AC227&gt;=Reference!$H$2, Reference!$G$2, IF(AC227&gt;=Reference!$H$3, Reference!$G$3, IF(AC227&gt;=Reference!$H$4, Reference!$G$4, IF(AC227&gt;=Reference!$H$5, Reference!$G$5, ""))))</f>
        <v/>
      </c>
      <c r="Q227" s="11" t="str">
        <f t="shared" si="34"/>
        <v/>
      </c>
      <c r="R227" s="11" t="str">
        <f>IF(AE227&gt;=Reference!$D$2, Reference!$G$2, IF(AE227&gt;=Reference!$D$3, Reference!$E$3, IF(AE227&gt;=Reference!$D$4, Reference!$E$4, IF(AE227&gt;=Reference!$D$5, Reference!$E$5, ""))))</f>
        <v>Low</v>
      </c>
      <c r="S227" s="13"/>
      <c r="T227" s="12"/>
      <c r="U227" s="9"/>
      <c r="V227" s="9"/>
      <c r="W227" s="9"/>
      <c r="Y227" s="12">
        <f>IF(H227=Reference!$A$12, Reference!$C$12, IF(H227=Reference!$A$11, Reference!$C$11, IF(H227=Reference!$A$10, Reference!$C$10, IF(H227=Reference!$A$9, Reference!$C$9, 0))))</f>
        <v>0</v>
      </c>
      <c r="Z227" s="12">
        <f>IF(J227=Reference!$A$20, Reference!$C$20, IF(J227=Reference!$A$19, Reference!$C$19, IF(J227=Reference!$A$18, Reference!$C$18, IF(J227=Reference!$A$17, Reference!$C$17, 0))))</f>
        <v>0</v>
      </c>
      <c r="AA227" s="12">
        <f>IF(L227=Reference!$A$28, Reference!$C$28, IF(L227=Reference!$A$27, Reference!$C$27, IF(L227=Reference!$A$26, Reference!$C$26, IF(L227=Reference!$A$25, Reference!$C$25, 0))))</f>
        <v>0</v>
      </c>
      <c r="AB227" s="12">
        <f>IF(N227=Reference!$A$36, Reference!$C$36, IF(N227=Reference!$A$35, Reference!$C$35, IF(N227=Reference!$A$34, Reference!$C$34, IF(N227=Reference!$A$33, Reference!$C$33, 0))))</f>
        <v>0</v>
      </c>
      <c r="AC227" s="12">
        <f>(Reference!$B$2*Y227 + Reference!$B$3*AA227 + Reference!$B$4*Z227 + Reference!$B$5 * AB227)/4</f>
        <v>0</v>
      </c>
      <c r="AD227" s="12">
        <f>IF(Q227=Reference!$C$41, Reference!$D$41, IF(Q227=Reference!$C$42, Reference!$D$42, IF(Q227=Reference!$C$43, Reference!$D$43, IF(Q227=Reference!$C$44, Reference!$D$44, 0))))</f>
        <v>0</v>
      </c>
      <c r="AE227" s="12">
        <f t="shared" si="35"/>
        <v>1</v>
      </c>
    </row>
    <row r="228" spans="1:31" ht="13.15">
      <c r="A228" s="8"/>
      <c r="B228" s="9"/>
      <c r="C228" s="9"/>
      <c r="D228" s="10"/>
      <c r="E228" s="10"/>
      <c r="F228" s="9"/>
      <c r="G228" s="9"/>
      <c r="H228" s="9"/>
      <c r="I228" s="9"/>
      <c r="J228" s="9"/>
      <c r="K228" s="19"/>
      <c r="L228" s="9"/>
      <c r="M228" s="9"/>
      <c r="N228" s="9"/>
      <c r="O228" s="9"/>
      <c r="P228" s="11" t="str">
        <f>IF(AC228&gt;=Reference!$H$2, Reference!$G$2, IF(AC228&gt;=Reference!$H$3, Reference!$G$3, IF(AC228&gt;=Reference!$H$4, Reference!$G$4, IF(AC228&gt;=Reference!$H$5, Reference!$G$5, ""))))</f>
        <v/>
      </c>
      <c r="Q228" s="11" t="str">
        <f t="shared" si="34"/>
        <v/>
      </c>
      <c r="R228" s="11" t="str">
        <f>IF(AE228&gt;=Reference!$D$2, Reference!$G$2, IF(AE228&gt;=Reference!$D$3, Reference!$E$3, IF(AE228&gt;=Reference!$D$4, Reference!$E$4, IF(AE228&gt;=Reference!$D$5, Reference!$E$5, ""))))</f>
        <v>Low</v>
      </c>
      <c r="S228" s="13"/>
      <c r="T228" s="9"/>
      <c r="U228" s="9"/>
      <c r="V228" s="9"/>
      <c r="W228" s="9"/>
      <c r="Y228" s="12">
        <f>IF(H228=Reference!$A$12, Reference!$C$12, IF(H228=Reference!$A$11, Reference!$C$11, IF(H228=Reference!$A$10, Reference!$C$10, IF(H228=Reference!$A$9, Reference!$C$9, 0))))</f>
        <v>0</v>
      </c>
      <c r="Z228" s="12">
        <f>IF(J228=Reference!$A$20, Reference!$C$20, IF(J228=Reference!$A$19, Reference!$C$19, IF(J228=Reference!$A$18, Reference!$C$18, IF(J228=Reference!$A$17, Reference!$C$17, 0))))</f>
        <v>0</v>
      </c>
      <c r="AA228" s="12">
        <f>IF(L228=Reference!$A$28, Reference!$C$28, IF(L228=Reference!$A$27, Reference!$C$27, IF(L228=Reference!$A$26, Reference!$C$26, IF(L228=Reference!$A$25, Reference!$C$25, 0))))</f>
        <v>0</v>
      </c>
      <c r="AB228" s="12">
        <f>IF(N228=Reference!$A$36, Reference!$C$36, IF(N228=Reference!$A$35, Reference!$C$35, IF(N228=Reference!$A$34, Reference!$C$34, IF(N228=Reference!$A$33, Reference!$C$33, 0))))</f>
        <v>0</v>
      </c>
      <c r="AC228" s="12">
        <f>(Reference!$B$2*Y228 + Reference!$B$3*AA228 + Reference!$B$4*Z228 + Reference!$B$5 * AB228)/4</f>
        <v>0</v>
      </c>
      <c r="AD228" s="12">
        <f>IF(Q228=Reference!$C$41, Reference!$D$41, IF(Q228=Reference!$C$42, Reference!$D$42, IF(Q228=Reference!$C$43, Reference!$D$43, IF(Q228=Reference!$C$44, Reference!$D$44, 0))))</f>
        <v>0</v>
      </c>
      <c r="AE228" s="12">
        <f t="shared" si="35"/>
        <v>1</v>
      </c>
    </row>
    <row r="229" spans="1:31" ht="13.15">
      <c r="A229" s="8"/>
      <c r="B229" s="9"/>
      <c r="C229" s="9"/>
      <c r="D229" s="10"/>
      <c r="E229" s="18"/>
      <c r="F229" s="9"/>
      <c r="G229" s="9"/>
      <c r="H229" s="9"/>
      <c r="I229" s="9"/>
      <c r="J229" s="9"/>
      <c r="K229" s="19"/>
      <c r="L229" s="9"/>
      <c r="M229" s="9"/>
      <c r="N229" s="9"/>
      <c r="O229" s="9"/>
      <c r="P229" s="11" t="str">
        <f>IF(AC229&gt;=Reference!$H$2, Reference!$G$2, IF(AC229&gt;=Reference!$H$3, Reference!$G$3, IF(AC229&gt;=Reference!$H$4, Reference!$G$4, IF(AC229&gt;=Reference!$H$5, Reference!$G$5, ""))))</f>
        <v/>
      </c>
      <c r="Q229" s="11" t="str">
        <f t="shared" si="34"/>
        <v/>
      </c>
      <c r="R229" s="11" t="str">
        <f>IF(AE229&gt;=Reference!$D$2, Reference!$G$2, IF(AE229&gt;=Reference!$D$3, Reference!$E$3, IF(AE229&gt;=Reference!$D$4, Reference!$E$4, IF(AE229&gt;=Reference!$D$5, Reference!$E$5, ""))))</f>
        <v>Low</v>
      </c>
      <c r="S229" s="13"/>
      <c r="T229" s="12"/>
      <c r="U229" s="9"/>
      <c r="V229" s="9"/>
      <c r="W229" s="9"/>
      <c r="Y229" s="12">
        <f>IF(H229=Reference!$A$12, Reference!$C$12, IF(H229=Reference!$A$11, Reference!$C$11, IF(H229=Reference!$A$10, Reference!$C$10, IF(H229=Reference!$A$9, Reference!$C$9, 0))))</f>
        <v>0</v>
      </c>
      <c r="Z229" s="12">
        <f>IF(J229=Reference!$A$20, Reference!$C$20, IF(J229=Reference!$A$19, Reference!$C$19, IF(J229=Reference!$A$18, Reference!$C$18, IF(J229=Reference!$A$17, Reference!$C$17, 0))))</f>
        <v>0</v>
      </c>
      <c r="AA229" s="12">
        <f>IF(L229=Reference!$A$28, Reference!$C$28, IF(L229=Reference!$A$27, Reference!$C$27, IF(L229=Reference!$A$26, Reference!$C$26, IF(L229=Reference!$A$25, Reference!$C$25, 0))))</f>
        <v>0</v>
      </c>
      <c r="AB229" s="12">
        <f>IF(N229=Reference!$A$36, Reference!$C$36, IF(N229=Reference!$A$35, Reference!$C$35, IF(N229=Reference!$A$34, Reference!$C$34, IF(N229=Reference!$A$33, Reference!$C$33, 0))))</f>
        <v>0</v>
      </c>
      <c r="AC229" s="12">
        <f>(Reference!$B$2*Y229 + Reference!$B$3*AA229 + Reference!$B$4*Z229 + Reference!$B$5 * AB229)/4</f>
        <v>0</v>
      </c>
      <c r="AD229" s="12">
        <f>IF(Q229=Reference!$C$41, Reference!$D$41, IF(Q229=Reference!$C$42, Reference!$D$42, IF(Q229=Reference!$C$43, Reference!$D$43, IF(Q229=Reference!$C$44, Reference!$D$44, 0))))</f>
        <v>0</v>
      </c>
      <c r="AE229" s="12">
        <f t="shared" si="35"/>
        <v>1</v>
      </c>
    </row>
    <row r="230" spans="1:31" ht="13.15">
      <c r="A230" s="8"/>
      <c r="B230" s="9"/>
      <c r="C230" s="9"/>
      <c r="D230" s="10"/>
      <c r="E230" s="10"/>
      <c r="F230" s="9"/>
      <c r="G230" s="9"/>
      <c r="H230" s="9"/>
      <c r="I230" s="9"/>
      <c r="J230" s="9"/>
      <c r="K230" s="9"/>
      <c r="L230" s="9"/>
      <c r="M230" s="9"/>
      <c r="N230" s="9"/>
      <c r="O230" s="9"/>
      <c r="P230" s="11" t="str">
        <f>IF(AC230&gt;=Reference!$H$2, Reference!$G$2, IF(AC230&gt;=Reference!$H$3, Reference!$G$3, IF(AC230&gt;=Reference!$H$4, Reference!$G$4, IF(AC230&gt;=Reference!$H$5, Reference!$G$5, ""))))</f>
        <v/>
      </c>
      <c r="Q230" s="11" t="str">
        <f t="shared" si="34"/>
        <v/>
      </c>
      <c r="R230" s="11" t="str">
        <f>IF(AE230&gt;=Reference!$D$2, Reference!$G$2, IF(AE230&gt;=Reference!$D$3, Reference!$E$3, IF(AE230&gt;=Reference!$D$4, Reference!$E$4, IF(AE230&gt;=Reference!$D$5, Reference!$E$5, ""))))</f>
        <v>Low</v>
      </c>
      <c r="S230" s="13"/>
      <c r="T230" s="12"/>
      <c r="U230" s="9"/>
      <c r="V230" s="9"/>
      <c r="W230" s="9"/>
      <c r="Y230" s="12">
        <f>IF(H230=Reference!$A$12, Reference!$C$12, IF(H230=Reference!$A$11, Reference!$C$11, IF(H230=Reference!$A$10, Reference!$C$10, IF(H230=Reference!$A$9, Reference!$C$9, 0))))</f>
        <v>0</v>
      </c>
      <c r="Z230" s="12">
        <f>IF(J230=Reference!$A$20, Reference!$C$20, IF(J230=Reference!$A$19, Reference!$C$19, IF(J230=Reference!$A$18, Reference!$C$18, IF(J230=Reference!$A$17, Reference!$C$17, 0))))</f>
        <v>0</v>
      </c>
      <c r="AA230" s="12">
        <f>IF(L230=Reference!$A$28, Reference!$C$28, IF(L230=Reference!$A$27, Reference!$C$27, IF(L230=Reference!$A$26, Reference!$C$26, IF(L230=Reference!$A$25, Reference!$C$25, 0))))</f>
        <v>0</v>
      </c>
      <c r="AB230" s="12">
        <f>IF(N230=Reference!$A$36, Reference!$C$36, IF(N230=Reference!$A$35, Reference!$C$35, IF(N230=Reference!$A$34, Reference!$C$34, IF(N230=Reference!$A$33, Reference!$C$33, 0))))</f>
        <v>0</v>
      </c>
      <c r="AC230" s="12">
        <f>(Reference!$B$2*Y230 + Reference!$B$3*AA230 + Reference!$B$4*Z230 + Reference!$B$5 * AB230)/4</f>
        <v>0</v>
      </c>
      <c r="AD230" s="12">
        <f>IF(Q230=Reference!$C$41, Reference!$D$41, IF(Q230=Reference!$C$42, Reference!$D$42, IF(Q230=Reference!$C$43, Reference!$D$43, IF(Q230=Reference!$C$44, Reference!$D$44, 0))))</f>
        <v>0</v>
      </c>
      <c r="AE230" s="12">
        <f t="shared" si="35"/>
        <v>1</v>
      </c>
    </row>
    <row r="231" spans="1:31" ht="13.15">
      <c r="A231" s="8"/>
      <c r="B231" s="9"/>
      <c r="C231" s="9"/>
      <c r="D231" s="10"/>
      <c r="E231" s="10"/>
      <c r="F231" s="9"/>
      <c r="G231" s="9"/>
      <c r="H231" s="9"/>
      <c r="I231" s="9"/>
      <c r="J231" s="9"/>
      <c r="K231" s="19"/>
      <c r="L231" s="9"/>
      <c r="M231" s="9"/>
      <c r="N231" s="9"/>
      <c r="O231" s="9"/>
      <c r="P231" s="11" t="str">
        <f>IF(AC231&gt;=Reference!$H$2, Reference!$G$2, IF(AC231&gt;=Reference!$H$3, Reference!$G$3, IF(AC231&gt;=Reference!$H$4, Reference!$G$4, IF(AC231&gt;=Reference!$H$5, Reference!$G$5, ""))))</f>
        <v/>
      </c>
      <c r="Q231" s="11" t="str">
        <f t="shared" si="34"/>
        <v/>
      </c>
      <c r="R231" s="11" t="str">
        <f>IF(AE231&gt;=Reference!$D$2, Reference!$G$2, IF(AE231&gt;=Reference!$D$3, Reference!$E$3, IF(AE231&gt;=Reference!$D$4, Reference!$E$4, IF(AE231&gt;=Reference!$D$5, Reference!$E$5, ""))))</f>
        <v>Low</v>
      </c>
      <c r="S231" s="13"/>
      <c r="T231" s="12"/>
      <c r="U231" s="9"/>
      <c r="V231" s="9"/>
      <c r="W231" s="9"/>
      <c r="Y231" s="12">
        <f>IF(H231=Reference!$A$12, Reference!$C$12, IF(H231=Reference!$A$11, Reference!$C$11, IF(H231=Reference!$A$10, Reference!$C$10, IF(H231=Reference!$A$9, Reference!$C$9, 0))))</f>
        <v>0</v>
      </c>
      <c r="Z231" s="12">
        <f>IF(J231=Reference!$A$20, Reference!$C$20, IF(J231=Reference!$A$19, Reference!$C$19, IF(J231=Reference!$A$18, Reference!$C$18, IF(J231=Reference!$A$17, Reference!$C$17, 0))))</f>
        <v>0</v>
      </c>
      <c r="AA231" s="12">
        <f>IF(L231=Reference!$A$28, Reference!$C$28, IF(L231=Reference!$A$27, Reference!$C$27, IF(L231=Reference!$A$26, Reference!$C$26, IF(L231=Reference!$A$25, Reference!$C$25, 0))))</f>
        <v>0</v>
      </c>
      <c r="AB231" s="12">
        <f>IF(N231=Reference!$A$36, Reference!$C$36, IF(N231=Reference!$A$35, Reference!$C$35, IF(N231=Reference!$A$34, Reference!$C$34, IF(N231=Reference!$A$33, Reference!$C$33, 0))))</f>
        <v>0</v>
      </c>
      <c r="AC231" s="12">
        <f>(Reference!$B$2*Y231 + Reference!$B$3*AA231 + Reference!$B$4*Z231 + Reference!$B$5 * AB231)/4</f>
        <v>0</v>
      </c>
      <c r="AD231" s="12">
        <f>IF(Q231=Reference!$C$41, Reference!$D$41, IF(Q231=Reference!$C$42, Reference!$D$42, IF(Q231=Reference!$C$43, Reference!$D$43, IF(Q231=Reference!$C$44, Reference!$D$44, 0))))</f>
        <v>0</v>
      </c>
      <c r="AE231" s="12">
        <f t="shared" si="35"/>
        <v>1</v>
      </c>
    </row>
    <row r="232" spans="1:31" ht="13.15">
      <c r="A232" s="8"/>
      <c r="B232" s="9"/>
      <c r="C232" s="9"/>
      <c r="D232" s="10"/>
      <c r="E232" s="10"/>
      <c r="F232" s="9"/>
      <c r="G232" s="9"/>
      <c r="H232" s="9"/>
      <c r="I232" s="9"/>
      <c r="J232" s="9"/>
      <c r="K232" s="9"/>
      <c r="L232" s="9"/>
      <c r="M232" s="9"/>
      <c r="N232" s="9"/>
      <c r="O232" s="9"/>
      <c r="P232" s="11" t="str">
        <f>IF(AC232&gt;=Reference!$H$2, Reference!$G$2, IF(AC232&gt;=Reference!$H$3, Reference!$G$3, IF(AC232&gt;=Reference!$H$4, Reference!$G$4, IF(AC232&gt;=Reference!$H$5, Reference!$G$5, ""))))</f>
        <v/>
      </c>
      <c r="Q232" s="11" t="str">
        <f t="shared" si="34"/>
        <v/>
      </c>
      <c r="R232" s="11" t="str">
        <f>IF(AE232&gt;=Reference!$D$2, Reference!$G$2, IF(AE232&gt;=Reference!$D$3, Reference!$E$3, IF(AE232&gt;=Reference!$D$4, Reference!$E$4, IF(AE232&gt;=Reference!$D$5, Reference!$E$5, ""))))</f>
        <v>Low</v>
      </c>
      <c r="S232" s="13"/>
      <c r="T232" s="12"/>
      <c r="U232" s="9"/>
      <c r="V232" s="9"/>
      <c r="W232" s="9"/>
      <c r="Y232" s="12">
        <f>IF(H232=Reference!$A$12, Reference!$C$12, IF(H232=Reference!$A$11, Reference!$C$11, IF(H232=Reference!$A$10, Reference!$C$10, IF(H232=Reference!$A$9, Reference!$C$9, 0))))</f>
        <v>0</v>
      </c>
      <c r="Z232" s="12">
        <f>IF(J232=Reference!$A$20, Reference!$C$20, IF(J232=Reference!$A$19, Reference!$C$19, IF(J232=Reference!$A$18, Reference!$C$18, IF(J232=Reference!$A$17, Reference!$C$17, 0))))</f>
        <v>0</v>
      </c>
      <c r="AA232" s="12">
        <f>IF(L232=Reference!$A$28, Reference!$C$28, IF(L232=Reference!$A$27, Reference!$C$27, IF(L232=Reference!$A$26, Reference!$C$26, IF(L232=Reference!$A$25, Reference!$C$25, 0))))</f>
        <v>0</v>
      </c>
      <c r="AB232" s="12">
        <f>IF(N232=Reference!$A$36, Reference!$C$36, IF(N232=Reference!$A$35, Reference!$C$35, IF(N232=Reference!$A$34, Reference!$C$34, IF(N232=Reference!$A$33, Reference!$C$33, 0))))</f>
        <v>0</v>
      </c>
      <c r="AC232" s="12">
        <f>(Reference!$B$2*Y232 + Reference!$B$3*AA232 + Reference!$B$4*Z232 + Reference!$B$5 * AB232)/4</f>
        <v>0</v>
      </c>
      <c r="AD232" s="12">
        <f>IF(Q232=Reference!$C$41, Reference!$D$41, IF(Q232=Reference!$C$42, Reference!$D$42, IF(Q232=Reference!$C$43, Reference!$D$43, IF(Q232=Reference!$C$44, Reference!$D$44, 0))))</f>
        <v>0</v>
      </c>
      <c r="AE232" s="12">
        <f t="shared" si="35"/>
        <v>1</v>
      </c>
    </row>
    <row r="233" spans="1:31" ht="13.15">
      <c r="A233" s="32"/>
      <c r="B233" s="9"/>
      <c r="C233" s="9"/>
      <c r="D233" s="10"/>
      <c r="E233" s="10"/>
      <c r="F233" s="9"/>
      <c r="G233" s="9"/>
      <c r="H233" s="9"/>
      <c r="I233" s="9"/>
      <c r="J233" s="9"/>
      <c r="K233" s="9"/>
      <c r="L233" s="9"/>
      <c r="M233" s="9"/>
      <c r="N233" s="9"/>
      <c r="O233" s="9"/>
      <c r="P233" s="11" t="str">
        <f>IF(AC233&gt;=Reference!$H$2, Reference!$G$2, IF(AC233&gt;=Reference!$H$3, Reference!$G$3, IF(AC233&gt;=Reference!$H$4, Reference!$G$4, IF(AC233&gt;=Reference!$H$5, Reference!$G$5, ""))))</f>
        <v/>
      </c>
      <c r="Q233" s="11" t="str">
        <f t="shared" si="34"/>
        <v/>
      </c>
      <c r="R233" s="11" t="str">
        <f>IF(AE233&gt;=Reference!$D$2, Reference!$G$2, IF(AE233&gt;=Reference!$D$3, Reference!$E$3, IF(AE233&gt;=Reference!$D$4, Reference!$E$4, IF(AE233&gt;=Reference!$D$5, Reference!$E$5, ""))))</f>
        <v>Low</v>
      </c>
      <c r="S233" s="13"/>
      <c r="T233" s="12"/>
      <c r="U233" s="9"/>
      <c r="V233" s="9"/>
      <c r="W233" s="9"/>
      <c r="Y233" s="12">
        <f>IF(H233=Reference!$A$12, Reference!$C$12, IF(H233=Reference!$A$11, Reference!$C$11, IF(H233=Reference!$A$10, Reference!$C$10, IF(H233=Reference!$A$9, Reference!$C$9, 0))))</f>
        <v>0</v>
      </c>
      <c r="Z233" s="12">
        <f>IF(J233=Reference!$A$20, Reference!$C$20, IF(J233=Reference!$A$19, Reference!$C$19, IF(J233=Reference!$A$18, Reference!$C$18, IF(J233=Reference!$A$17, Reference!$C$17, 0))))</f>
        <v>0</v>
      </c>
      <c r="AA233" s="12">
        <f>IF(L233=Reference!$A$28, Reference!$C$28, IF(L233=Reference!$A$27, Reference!$C$27, IF(L233=Reference!$A$26, Reference!$C$26, IF(L233=Reference!$A$25, Reference!$C$25, 0))))</f>
        <v>0</v>
      </c>
      <c r="AB233" s="12">
        <f>IF(N233=Reference!$A$36, Reference!$C$36, IF(N233=Reference!$A$35, Reference!$C$35, IF(N233=Reference!$A$34, Reference!$C$34, IF(N233=Reference!$A$33, Reference!$C$33, 0))))</f>
        <v>0</v>
      </c>
      <c r="AC233" s="12">
        <f>(Reference!$B$2*Y233 + Reference!$B$3*AA233 + Reference!$B$4*Z233 + Reference!$B$5 * AB233)/4</f>
        <v>0</v>
      </c>
      <c r="AD233" s="12">
        <f>IF(Q233=Reference!$C$41, Reference!$D$41, IF(Q233=Reference!$C$42, Reference!$D$42, IF(Q233=Reference!$C$43, Reference!$D$43, IF(Q233=Reference!$C$44, Reference!$D$44, 0))))</f>
        <v>0</v>
      </c>
      <c r="AE233" s="12">
        <f t="shared" si="35"/>
        <v>1</v>
      </c>
    </row>
    <row r="234" spans="1:31" ht="13.15">
      <c r="A234" s="8"/>
      <c r="B234" s="9"/>
      <c r="C234" s="9"/>
      <c r="D234" s="10"/>
      <c r="E234" s="10"/>
      <c r="F234" s="9"/>
      <c r="G234" s="9"/>
      <c r="H234" s="9"/>
      <c r="I234" s="9"/>
      <c r="J234" s="9"/>
      <c r="K234" s="9"/>
      <c r="L234" s="9"/>
      <c r="M234" s="9"/>
      <c r="N234" s="9"/>
      <c r="O234" s="9"/>
      <c r="P234" s="11" t="str">
        <f>IF(AC234&gt;=Reference!$H$2, Reference!$G$2, IF(AC234&gt;=Reference!$H$3, Reference!$G$3, IF(AC234&gt;=Reference!$H$4, Reference!$G$4, IF(AC234&gt;=Reference!$H$5, Reference!$G$5, ""))))</f>
        <v/>
      </c>
      <c r="Q234" s="11" t="str">
        <f t="shared" si="34"/>
        <v/>
      </c>
      <c r="R234" s="11" t="str">
        <f>IF(AE234&gt;=Reference!$D$2, Reference!$G$2, IF(AE234&gt;=Reference!$D$3, Reference!$E$3, IF(AE234&gt;=Reference!$D$4, Reference!$E$4, IF(AE234&gt;=Reference!$D$5, Reference!$E$5, ""))))</f>
        <v>Low</v>
      </c>
      <c r="S234" s="13"/>
      <c r="T234" s="12"/>
      <c r="U234" s="9"/>
      <c r="V234" s="9"/>
      <c r="W234" s="9"/>
      <c r="Y234" s="12">
        <f>IF(H234=Reference!$A$12, Reference!$C$12, IF(H234=Reference!$A$11, Reference!$C$11, IF(H234=Reference!$A$10, Reference!$C$10, IF(H234=Reference!$A$9, Reference!$C$9, 0))))</f>
        <v>0</v>
      </c>
      <c r="Z234" s="12">
        <f>IF(J234=Reference!$A$20, Reference!$C$20, IF(J234=Reference!$A$19, Reference!$C$19, IF(J234=Reference!$A$18, Reference!$C$18, IF(J234=Reference!$A$17, Reference!$C$17, 0))))</f>
        <v>0</v>
      </c>
      <c r="AA234" s="12">
        <f>IF(L234=Reference!$A$28, Reference!$C$28, IF(L234=Reference!$A$27, Reference!$C$27, IF(L234=Reference!$A$26, Reference!$C$26, IF(L234=Reference!$A$25, Reference!$C$25, 0))))</f>
        <v>0</v>
      </c>
      <c r="AB234" s="12">
        <f>IF(N234=Reference!$A$36, Reference!$C$36, IF(N234=Reference!$A$35, Reference!$C$35, IF(N234=Reference!$A$34, Reference!$C$34, IF(N234=Reference!$A$33, Reference!$C$33, 0))))</f>
        <v>0</v>
      </c>
      <c r="AC234" s="12">
        <f>(Reference!$B$2*Y234 + Reference!$B$3*AA234 + Reference!$B$4*Z234 + Reference!$B$5 * AB234)/4</f>
        <v>0</v>
      </c>
      <c r="AD234" s="12">
        <f>IF(Q234=Reference!$C$41, Reference!$D$41, IF(Q234=Reference!$C$42, Reference!$D$42, IF(Q234=Reference!$C$43, Reference!$D$43, IF(Q234=Reference!$C$44, Reference!$D$44, 0))))</f>
        <v>0</v>
      </c>
      <c r="AE234" s="12">
        <f t="shared" si="35"/>
        <v>1</v>
      </c>
    </row>
    <row r="235" spans="1:31" ht="13.15">
      <c r="A235" s="8"/>
      <c r="B235" s="9"/>
      <c r="C235" s="9"/>
      <c r="D235" s="10"/>
      <c r="E235" s="10"/>
      <c r="F235" s="9"/>
      <c r="G235" s="9"/>
      <c r="H235" s="9"/>
      <c r="I235" s="9"/>
      <c r="J235" s="9"/>
      <c r="K235" s="9"/>
      <c r="L235" s="9"/>
      <c r="M235" s="9"/>
      <c r="N235" s="9"/>
      <c r="O235" s="9"/>
      <c r="P235" s="11" t="str">
        <f>IF(AC235&gt;=Reference!$H$2, Reference!$G$2, IF(AC235&gt;=Reference!$H$3, Reference!$G$3, IF(AC235&gt;=Reference!$H$4, Reference!$G$4, IF(AC235&gt;=Reference!$H$5, Reference!$G$5, ""))))</f>
        <v/>
      </c>
      <c r="Q235" s="11" t="str">
        <f t="shared" si="34"/>
        <v/>
      </c>
      <c r="R235" s="11" t="str">
        <f>IF(AE235&gt;=Reference!$D$2, Reference!$G$2, IF(AE235&gt;=Reference!$D$3, Reference!$E$3, IF(AE235&gt;=Reference!$D$4, Reference!$E$4, IF(AE235&gt;=Reference!$D$5, Reference!$E$5, ""))))</f>
        <v>Low</v>
      </c>
      <c r="S235" s="13"/>
      <c r="T235" s="12"/>
      <c r="U235" s="9"/>
      <c r="V235" s="9"/>
      <c r="W235" s="9"/>
      <c r="Y235" s="12">
        <f>IF(H235=Reference!$A$12, Reference!$C$12, IF(H235=Reference!$A$11, Reference!$C$11, IF(H235=Reference!$A$10, Reference!$C$10, IF(H235=Reference!$A$9, Reference!$C$9, 0))))</f>
        <v>0</v>
      </c>
      <c r="Z235" s="12">
        <f>IF(J235=Reference!$A$20, Reference!$C$20, IF(J235=Reference!$A$19, Reference!$C$19, IF(J235=Reference!$A$18, Reference!$C$18, IF(J235=Reference!$A$17, Reference!$C$17, 0))))</f>
        <v>0</v>
      </c>
      <c r="AA235" s="12">
        <f>IF(L235=Reference!$A$28, Reference!$C$28, IF(L235=Reference!$A$27, Reference!$C$27, IF(L235=Reference!$A$26, Reference!$C$26, IF(L235=Reference!$A$25, Reference!$C$25, 0))))</f>
        <v>0</v>
      </c>
      <c r="AB235" s="12">
        <f>IF(N235=Reference!$A$36, Reference!$C$36, IF(N235=Reference!$A$35, Reference!$C$35, IF(N235=Reference!$A$34, Reference!$C$34, IF(N235=Reference!$A$33, Reference!$C$33, 0))))</f>
        <v>0</v>
      </c>
      <c r="AC235" s="12">
        <f>(Reference!$B$2*Y235 + Reference!$B$3*AA235 + Reference!$B$4*Z235 + Reference!$B$5 * AB235)/4</f>
        <v>0</v>
      </c>
      <c r="AD235" s="12">
        <f>IF(Q235=Reference!$C$41, Reference!$D$41, IF(Q235=Reference!$C$42, Reference!$D$42, IF(Q235=Reference!$C$43, Reference!$D$43, IF(Q235=Reference!$C$44, Reference!$D$44, 0))))</f>
        <v>0</v>
      </c>
      <c r="AE235" s="12">
        <f t="shared" si="35"/>
        <v>1</v>
      </c>
    </row>
    <row r="236" spans="1:31" ht="13.15">
      <c r="A236" s="8"/>
      <c r="B236" s="9"/>
      <c r="C236" s="9"/>
      <c r="D236" s="10"/>
      <c r="E236" s="10"/>
      <c r="F236" s="9"/>
      <c r="G236" s="9"/>
      <c r="H236" s="9"/>
      <c r="I236" s="9"/>
      <c r="J236" s="9"/>
      <c r="K236" s="9"/>
      <c r="L236" s="9"/>
      <c r="M236" s="9"/>
      <c r="N236" s="9"/>
      <c r="O236" s="9"/>
      <c r="P236" s="11" t="str">
        <f>IF(AC236&gt;=Reference!$H$2, Reference!$G$2, IF(AC236&gt;=Reference!$H$3, Reference!$G$3, IF(AC236&gt;=Reference!$H$4, Reference!$G$4, IF(AC236&gt;=Reference!$H$5, Reference!$G$5, ""))))</f>
        <v/>
      </c>
      <c r="Q236" s="11" t="str">
        <f t="shared" si="34"/>
        <v/>
      </c>
      <c r="R236" s="11" t="str">
        <f>IF(AE236&gt;=Reference!$D$2, Reference!$G$2, IF(AE236&gt;=Reference!$D$3, Reference!$E$3, IF(AE236&gt;=Reference!$D$4, Reference!$E$4, IF(AE236&gt;=Reference!$D$5, Reference!$E$5, ""))))</f>
        <v>Low</v>
      </c>
      <c r="S236" s="13"/>
      <c r="T236" s="12"/>
      <c r="U236" s="9"/>
      <c r="V236" s="9"/>
      <c r="W236" s="9"/>
      <c r="Y236" s="12">
        <f>IF(H236=Reference!$A$12, Reference!$C$12, IF(H236=Reference!$A$11, Reference!$C$11, IF(H236=Reference!$A$10, Reference!$C$10, IF(H236=Reference!$A$9, Reference!$C$9, 0))))</f>
        <v>0</v>
      </c>
      <c r="Z236" s="12">
        <f>IF(J236=Reference!$A$20, Reference!$C$20, IF(J236=Reference!$A$19, Reference!$C$19, IF(J236=Reference!$A$18, Reference!$C$18, IF(J236=Reference!$A$17, Reference!$C$17, 0))))</f>
        <v>0</v>
      </c>
      <c r="AA236" s="12">
        <f>IF(L236=Reference!$A$28, Reference!$C$28, IF(L236=Reference!$A$27, Reference!$C$27, IF(L236=Reference!$A$26, Reference!$C$26, IF(L236=Reference!$A$25, Reference!$C$25, 0))))</f>
        <v>0</v>
      </c>
      <c r="AB236" s="12">
        <f>IF(N236=Reference!$A$36, Reference!$C$36, IF(N236=Reference!$A$35, Reference!$C$35, IF(N236=Reference!$A$34, Reference!$C$34, IF(N236=Reference!$A$33, Reference!$C$33, 0))))</f>
        <v>0</v>
      </c>
      <c r="AC236" s="12">
        <f>(Reference!$B$2*Y236 + Reference!$B$3*AA236 + Reference!$B$4*Z236 + Reference!$B$5 * AB236)/4</f>
        <v>0</v>
      </c>
      <c r="AD236" s="12">
        <f>IF(Q236=Reference!$C$41, Reference!$D$41, IF(Q236=Reference!$C$42, Reference!$D$42, IF(Q236=Reference!$C$43, Reference!$D$43, IF(Q236=Reference!$C$44, Reference!$D$44, 0))))</f>
        <v>0</v>
      </c>
      <c r="AE236" s="12">
        <f t="shared" si="35"/>
        <v>1</v>
      </c>
    </row>
    <row r="237" spans="1:31" ht="13.15">
      <c r="A237" s="8"/>
      <c r="B237" s="9"/>
      <c r="C237" s="9"/>
      <c r="D237" s="10"/>
      <c r="E237" s="10"/>
      <c r="F237" s="9"/>
      <c r="G237" s="9"/>
      <c r="H237" s="9"/>
      <c r="I237" s="9"/>
      <c r="J237" s="9"/>
      <c r="K237" s="19"/>
      <c r="L237" s="9"/>
      <c r="M237" s="9"/>
      <c r="N237" s="9"/>
      <c r="O237" s="9"/>
      <c r="P237" s="11" t="str">
        <f>IF(AC237&gt;=Reference!$H$2, Reference!$G$2, IF(AC237&gt;=Reference!$H$3, Reference!$G$3, IF(AC237&gt;=Reference!$H$4, Reference!$G$4, IF(AC237&gt;=Reference!$H$5, Reference!$G$5, ""))))</f>
        <v/>
      </c>
      <c r="Q237" s="11" t="str">
        <f t="shared" si="34"/>
        <v/>
      </c>
      <c r="R237" s="11" t="str">
        <f>IF(AE237&gt;=Reference!$D$2, Reference!$G$2, IF(AE237&gt;=Reference!$D$3, Reference!$E$3, IF(AE237&gt;=Reference!$D$4, Reference!$E$4, IF(AE237&gt;=Reference!$D$5, Reference!$E$5, ""))))</f>
        <v>Low</v>
      </c>
      <c r="S237" s="13"/>
      <c r="T237" s="12"/>
      <c r="U237" s="9"/>
      <c r="V237" s="9"/>
      <c r="W237" s="9"/>
      <c r="Y237" s="12">
        <f>IF(H237=Reference!$A$12, Reference!$C$12, IF(H237=Reference!$A$11, Reference!$C$11, IF(H237=Reference!$A$10, Reference!$C$10, IF(H237=Reference!$A$9, Reference!$C$9, 0))))</f>
        <v>0</v>
      </c>
      <c r="Z237" s="12">
        <f>IF(J237=Reference!$A$20, Reference!$C$20, IF(J237=Reference!$A$19, Reference!$C$19, IF(J237=Reference!$A$18, Reference!$C$18, IF(J237=Reference!$A$17, Reference!$C$17, 0))))</f>
        <v>0</v>
      </c>
      <c r="AA237" s="12">
        <f>IF(L237=Reference!$A$28, Reference!$C$28, IF(L237=Reference!$A$27, Reference!$C$27, IF(L237=Reference!$A$26, Reference!$C$26, IF(L237=Reference!$A$25, Reference!$C$25, 0))))</f>
        <v>0</v>
      </c>
      <c r="AB237" s="12">
        <f>IF(N237=Reference!$A$36, Reference!$C$36, IF(N237=Reference!$A$35, Reference!$C$35, IF(N237=Reference!$A$34, Reference!$C$34, IF(N237=Reference!$A$33, Reference!$C$33, 0))))</f>
        <v>0</v>
      </c>
      <c r="AC237" s="12">
        <f>(Reference!$B$2*Y237 + Reference!$B$3*AA237 + Reference!$B$4*Z237 + Reference!$B$5 * AB237)/4</f>
        <v>0</v>
      </c>
      <c r="AD237" s="12">
        <f>IF(Q237=Reference!$C$41, Reference!$D$41, IF(Q237=Reference!$C$42, Reference!$D$42, IF(Q237=Reference!$C$43, Reference!$D$43, IF(Q237=Reference!$C$44, Reference!$D$44, 0))))</f>
        <v>0</v>
      </c>
      <c r="AE237" s="12">
        <f t="shared" si="35"/>
        <v>1</v>
      </c>
    </row>
    <row r="238" spans="1:31" ht="13.15">
      <c r="A238" s="8"/>
      <c r="B238" s="9"/>
      <c r="C238" s="9"/>
      <c r="D238" s="10"/>
      <c r="E238" s="18"/>
      <c r="F238" s="9"/>
      <c r="G238" s="9"/>
      <c r="H238" s="9"/>
      <c r="I238" s="19"/>
      <c r="J238" s="9"/>
      <c r="K238" s="19"/>
      <c r="L238" s="9"/>
      <c r="M238" s="19"/>
      <c r="N238" s="9"/>
      <c r="O238" s="19"/>
      <c r="P238" s="11" t="str">
        <f>IF(AC238&gt;=Reference!$H$2, Reference!$G$2, IF(AC238&gt;=Reference!$H$3, Reference!$G$3, IF(AC238&gt;=Reference!$H$4, Reference!$G$4, IF(AC238&gt;=Reference!$H$5, Reference!$G$5, ""))))</f>
        <v/>
      </c>
      <c r="Q238" s="11" t="str">
        <f t="shared" si="34"/>
        <v/>
      </c>
      <c r="R238" s="11" t="str">
        <f>IF(AE238&gt;=Reference!$D$2, Reference!$G$2, IF(AE238&gt;=Reference!$D$3, Reference!$E$3, IF(AE238&gt;=Reference!$D$4, Reference!$E$4, IF(AE238&gt;=Reference!$D$5, Reference!$E$5, ""))))</f>
        <v>Low</v>
      </c>
      <c r="S238" s="13"/>
      <c r="T238" s="12"/>
      <c r="U238" s="9"/>
      <c r="V238" s="9"/>
      <c r="W238" s="9"/>
      <c r="Y238" s="12">
        <f>IF(H238=Reference!$A$12, Reference!$C$12, IF(H238=Reference!$A$11, Reference!$C$11, IF(H238=Reference!$A$10, Reference!$C$10, IF(H238=Reference!$A$9, Reference!$C$9, 0))))</f>
        <v>0</v>
      </c>
      <c r="Z238" s="12">
        <f>IF(J238=Reference!$A$20, Reference!$C$20, IF(J238=Reference!$A$19, Reference!$C$19, IF(J238=Reference!$A$18, Reference!$C$18, IF(J238=Reference!$A$17, Reference!$C$17, 0))))</f>
        <v>0</v>
      </c>
      <c r="AA238" s="12">
        <f>IF(L238=Reference!$A$28, Reference!$C$28, IF(L238=Reference!$A$27, Reference!$C$27, IF(L238=Reference!$A$26, Reference!$C$26, IF(L238=Reference!$A$25, Reference!$C$25, 0))))</f>
        <v>0</v>
      </c>
      <c r="AB238" s="12">
        <f>IF(N238=Reference!$A$36, Reference!$C$36, IF(N238=Reference!$A$35, Reference!$C$35, IF(N238=Reference!$A$34, Reference!$C$34, IF(N238=Reference!$A$33, Reference!$C$33, 0))))</f>
        <v>0</v>
      </c>
      <c r="AC238" s="12">
        <f>(Reference!$B$2*Y238 + Reference!$B$3*AA238 + Reference!$B$4*Z238 + Reference!$B$5 * AB238)/4</f>
        <v>0</v>
      </c>
      <c r="AD238" s="12">
        <f>IF(Q238=Reference!$C$41, Reference!$D$41, IF(Q238=Reference!$C$42, Reference!$D$42, IF(Q238=Reference!$C$43, Reference!$D$43, IF(Q238=Reference!$C$44, Reference!$D$44, 0))))</f>
        <v>0</v>
      </c>
      <c r="AE238" s="12">
        <f t="shared" si="35"/>
        <v>1</v>
      </c>
    </row>
    <row r="239" spans="1:31" ht="13.15">
      <c r="A239" s="8"/>
      <c r="B239" s="9"/>
      <c r="C239" s="9"/>
      <c r="D239" s="10"/>
      <c r="E239" s="10"/>
      <c r="F239" s="9"/>
      <c r="G239" s="9"/>
      <c r="H239" s="9"/>
      <c r="I239" s="9"/>
      <c r="J239" s="9"/>
      <c r="K239" s="19"/>
      <c r="L239" s="9"/>
      <c r="M239" s="9"/>
      <c r="N239" s="9"/>
      <c r="O239" s="9"/>
      <c r="P239" s="11" t="str">
        <f>IF(AC239&gt;=Reference!$H$2, Reference!$G$2, IF(AC239&gt;=Reference!$H$3, Reference!$G$3, IF(AC239&gt;=Reference!$H$4, Reference!$G$4, IF(AC239&gt;=Reference!$H$5, Reference!$G$5, ""))))</f>
        <v/>
      </c>
      <c r="Q239" s="11" t="str">
        <f t="shared" si="34"/>
        <v/>
      </c>
      <c r="R239" s="11" t="str">
        <f>IF(AE239&gt;=Reference!$D$2, Reference!$G$2, IF(AE239&gt;=Reference!$D$3, Reference!$E$3, IF(AE239&gt;=Reference!$D$4, Reference!$E$4, IF(AE239&gt;=Reference!$D$5, Reference!$E$5, ""))))</f>
        <v>Low</v>
      </c>
      <c r="S239" s="13"/>
      <c r="T239" s="12"/>
      <c r="U239" s="9"/>
      <c r="V239" s="9"/>
      <c r="W239" s="9"/>
      <c r="Y239" s="12">
        <f>IF(H239=Reference!$A$12, Reference!$C$12, IF(H239=Reference!$A$11, Reference!$C$11, IF(H239=Reference!$A$10, Reference!$C$10, IF(H239=Reference!$A$9, Reference!$C$9, 0))))</f>
        <v>0</v>
      </c>
      <c r="Z239" s="12">
        <f>IF(J239=Reference!$A$20, Reference!$C$20, IF(J239=Reference!$A$19, Reference!$C$19, IF(J239=Reference!$A$18, Reference!$C$18, IF(J239=Reference!$A$17, Reference!$C$17, 0))))</f>
        <v>0</v>
      </c>
      <c r="AA239" s="12">
        <f>IF(L239=Reference!$A$28, Reference!$C$28, IF(L239=Reference!$A$27, Reference!$C$27, IF(L239=Reference!$A$26, Reference!$C$26, IF(L239=Reference!$A$25, Reference!$C$25, 0))))</f>
        <v>0</v>
      </c>
      <c r="AB239" s="12">
        <f>IF(N239=Reference!$A$36, Reference!$C$36, IF(N239=Reference!$A$35, Reference!$C$35, IF(N239=Reference!$A$34, Reference!$C$34, IF(N239=Reference!$A$33, Reference!$C$33, 0))))</f>
        <v>0</v>
      </c>
      <c r="AC239" s="12">
        <f>(Reference!$B$2*Y239 + Reference!$B$3*AA239 + Reference!$B$4*Z239 + Reference!$B$5 * AB239)/4</f>
        <v>0</v>
      </c>
      <c r="AD239" s="12">
        <f>IF(Q239=Reference!$C$41, Reference!$D$41, IF(Q239=Reference!$C$42, Reference!$D$42, IF(Q239=Reference!$C$43, Reference!$D$43, IF(Q239=Reference!$C$44, Reference!$D$44, 0))))</f>
        <v>0</v>
      </c>
      <c r="AE239" s="12">
        <f t="shared" si="35"/>
        <v>1</v>
      </c>
    </row>
    <row r="240" spans="1:31" ht="13.15">
      <c r="A240" s="8"/>
      <c r="B240" s="9"/>
      <c r="C240" s="9"/>
      <c r="D240" s="10"/>
      <c r="E240" s="10"/>
      <c r="F240" s="9"/>
      <c r="G240" s="9"/>
      <c r="H240" s="9"/>
      <c r="I240" s="9"/>
      <c r="J240" s="9"/>
      <c r="K240" s="9"/>
      <c r="L240" s="9"/>
      <c r="M240" s="9"/>
      <c r="N240" s="9"/>
      <c r="O240" s="9"/>
      <c r="P240" s="11" t="str">
        <f>IF(AC240&gt;=Reference!$H$2, Reference!$G$2, IF(AC240&gt;=Reference!$H$3, Reference!$G$3, IF(AC240&gt;=Reference!$H$4, Reference!$G$4, IF(AC240&gt;=Reference!$H$5, Reference!$G$5, ""))))</f>
        <v/>
      </c>
      <c r="Q240" s="11" t="str">
        <f t="shared" si="34"/>
        <v/>
      </c>
      <c r="R240" s="11" t="str">
        <f>IF(AE240&gt;=Reference!$D$2, Reference!$G$2, IF(AE240&gt;=Reference!$D$3, Reference!$E$3, IF(AE240&gt;=Reference!$D$4, Reference!$E$4, IF(AE240&gt;=Reference!$D$5, Reference!$E$5, ""))))</f>
        <v>Low</v>
      </c>
      <c r="S240" s="13"/>
      <c r="T240" s="12"/>
      <c r="U240" s="9"/>
      <c r="V240" s="12"/>
      <c r="W240" s="9"/>
      <c r="X240" s="1"/>
      <c r="Y240" s="12">
        <f>IF(H240=Reference!$A$12, Reference!$C$12, IF(H240=Reference!$A$11, Reference!$C$11, IF(H240=Reference!$A$10, Reference!$C$10, IF(H240=Reference!$A$9, Reference!$C$9, 0))))</f>
        <v>0</v>
      </c>
      <c r="Z240" s="12">
        <f>IF(J240=Reference!$A$20, Reference!$C$20, IF(J240=Reference!$A$19, Reference!$C$19, IF(J240=Reference!$A$18, Reference!$C$18, IF(J240=Reference!$A$17, Reference!$C$17, 0))))</f>
        <v>0</v>
      </c>
      <c r="AA240" s="12">
        <f>IF(L240=Reference!$A$28, Reference!$C$28, IF(L240=Reference!$A$27, Reference!$C$27, IF(L240=Reference!$A$26, Reference!$C$26, IF(L240=Reference!$A$25, Reference!$C$25, 0))))</f>
        <v>0</v>
      </c>
      <c r="AB240" s="12">
        <f>IF(N240=Reference!$A$36, Reference!$C$36, IF(N240=Reference!$A$35, Reference!$C$35, IF(N240=Reference!$A$34, Reference!$C$34, IF(N240=Reference!$A$33, Reference!$C$33, 0))))</f>
        <v>0</v>
      </c>
      <c r="AC240" s="12">
        <f>(Reference!$B$2*Y240 + Reference!$B$3*AA240 + Reference!$B$4*Z240 + Reference!$B$5 * AB240)/4</f>
        <v>0</v>
      </c>
      <c r="AD240" s="12">
        <f>IF(Q240=Reference!$C$41, Reference!$D$41, IF(Q240=Reference!$C$42, Reference!$D$42, IF(Q240=Reference!$C$43, Reference!$D$43, IF(Q240=Reference!$C$44, Reference!$D$44, 0))))</f>
        <v>0</v>
      </c>
      <c r="AE240" s="12">
        <f t="shared" si="35"/>
        <v>1</v>
      </c>
    </row>
    <row r="241" spans="1:31" ht="13.15">
      <c r="A241" s="8"/>
      <c r="B241" s="9"/>
      <c r="C241" s="9"/>
      <c r="D241" s="10"/>
      <c r="E241" s="10"/>
      <c r="F241" s="9"/>
      <c r="G241" s="9"/>
      <c r="H241" s="9"/>
      <c r="I241" s="9"/>
      <c r="J241" s="9"/>
      <c r="K241" s="19"/>
      <c r="L241" s="9"/>
      <c r="M241" s="9"/>
      <c r="N241" s="9"/>
      <c r="O241" s="9"/>
      <c r="P241" s="11" t="str">
        <f>IF(AC241&gt;=Reference!$H$2, Reference!$G$2, IF(AC241&gt;=Reference!$H$3, Reference!$G$3, IF(AC241&gt;=Reference!$H$4, Reference!$G$4, IF(AC241&gt;=Reference!$H$5, Reference!$G$5, ""))))</f>
        <v/>
      </c>
      <c r="Q241" s="11" t="str">
        <f t="shared" si="34"/>
        <v/>
      </c>
      <c r="R241" s="11" t="str">
        <f>IF(AE241&gt;=Reference!$D$2, Reference!$G$2, IF(AE241&gt;=Reference!$D$3, Reference!$E$3, IF(AE241&gt;=Reference!$D$4, Reference!$E$4, IF(AE241&gt;=Reference!$D$5, Reference!$E$5, ""))))</f>
        <v>Low</v>
      </c>
      <c r="S241" s="13"/>
      <c r="T241" s="12"/>
      <c r="U241" s="9"/>
      <c r="V241" s="9"/>
      <c r="W241" s="9"/>
      <c r="Y241" s="12">
        <f>IF(H241=Reference!$A$12, Reference!$C$12, IF(H241=Reference!$A$11, Reference!$C$11, IF(H241=Reference!$A$10, Reference!$C$10, IF(H241=Reference!$A$9, Reference!$C$9, 0))))</f>
        <v>0</v>
      </c>
      <c r="Z241" s="12">
        <f>IF(J241=Reference!$A$20, Reference!$C$20, IF(J241=Reference!$A$19, Reference!$C$19, IF(J241=Reference!$A$18, Reference!$C$18, IF(J241=Reference!$A$17, Reference!$C$17, 0))))</f>
        <v>0</v>
      </c>
      <c r="AA241" s="12">
        <f>IF(L241=Reference!$A$28, Reference!$C$28, IF(L241=Reference!$A$27, Reference!$C$27, IF(L241=Reference!$A$26, Reference!$C$26, IF(L241=Reference!$A$25, Reference!$C$25, 0))))</f>
        <v>0</v>
      </c>
      <c r="AB241" s="12">
        <f>IF(N241=Reference!$A$36, Reference!$C$36, IF(N241=Reference!$A$35, Reference!$C$35, IF(N241=Reference!$A$34, Reference!$C$34, IF(N241=Reference!$A$33, Reference!$C$33, 0))))</f>
        <v>0</v>
      </c>
      <c r="AC241" s="12">
        <f>(Reference!$B$2*Y241 + Reference!$B$3*AA241 + Reference!$B$4*Z241 + Reference!$B$5 * AB241)/4</f>
        <v>0</v>
      </c>
      <c r="AD241" s="12">
        <f>IF(Q241=Reference!$C$41, Reference!$D$41, IF(Q241=Reference!$C$42, Reference!$D$42, IF(Q241=Reference!$C$43, Reference!$D$43, IF(Q241=Reference!$C$44, Reference!$D$44, 0))))</f>
        <v>0</v>
      </c>
      <c r="AE241" s="12">
        <f t="shared" si="35"/>
        <v>1</v>
      </c>
    </row>
    <row r="242" spans="1:31" ht="13.15">
      <c r="A242" s="8"/>
      <c r="B242" s="9"/>
      <c r="C242" s="9"/>
      <c r="D242" s="10"/>
      <c r="E242" s="18"/>
      <c r="F242" s="9"/>
      <c r="G242" s="9"/>
      <c r="H242" s="9"/>
      <c r="I242" s="9"/>
      <c r="J242" s="9"/>
      <c r="K242" s="19"/>
      <c r="L242" s="9"/>
      <c r="M242" s="19"/>
      <c r="N242" s="9"/>
      <c r="O242" s="19"/>
      <c r="P242" s="11" t="str">
        <f>IF(AC242&gt;=Reference!$H$2, Reference!$G$2, IF(AC242&gt;=Reference!$H$3, Reference!$G$3, IF(AC242&gt;=Reference!$H$4, Reference!$G$4, IF(AC242&gt;=Reference!$H$5, Reference!$G$5, ""))))</f>
        <v/>
      </c>
      <c r="Q242" s="11" t="str">
        <f t="shared" si="34"/>
        <v/>
      </c>
      <c r="R242" s="11" t="str">
        <f>IF(AE242&gt;=Reference!$D$2, Reference!$G$2, IF(AE242&gt;=Reference!$D$3, Reference!$E$3, IF(AE242&gt;=Reference!$D$4, Reference!$E$4, IF(AE242&gt;=Reference!$D$5, Reference!$E$5, ""))))</f>
        <v>Low</v>
      </c>
      <c r="S242" s="13"/>
      <c r="T242" s="12"/>
      <c r="U242" s="9"/>
      <c r="V242" s="9"/>
      <c r="W242" s="9"/>
      <c r="Y242" s="12">
        <f>IF(H242=Reference!$A$12, Reference!$C$12, IF(H242=Reference!$A$11, Reference!$C$11, IF(H242=Reference!$A$10, Reference!$C$10, IF(H242=Reference!$A$9, Reference!$C$9, 0))))</f>
        <v>0</v>
      </c>
      <c r="Z242" s="12">
        <f>IF(J242=Reference!$A$20, Reference!$C$20, IF(J242=Reference!$A$19, Reference!$C$19, IF(J242=Reference!$A$18, Reference!$C$18, IF(J242=Reference!$A$17, Reference!$C$17, 0))))</f>
        <v>0</v>
      </c>
      <c r="AA242" s="12">
        <f>IF(L242=Reference!$A$28, Reference!$C$28, IF(L242=Reference!$A$27, Reference!$C$27, IF(L242=Reference!$A$26, Reference!$C$26, IF(L242=Reference!$A$25, Reference!$C$25, 0))))</f>
        <v>0</v>
      </c>
      <c r="AB242" s="12">
        <f>IF(N242=Reference!$A$36, Reference!$C$36, IF(N242=Reference!$A$35, Reference!$C$35, IF(N242=Reference!$A$34, Reference!$C$34, IF(N242=Reference!$A$33, Reference!$C$33, 0))))</f>
        <v>0</v>
      </c>
      <c r="AC242" s="12">
        <f>(Reference!$B$2*Y242 + Reference!$B$3*AA242 + Reference!$B$4*Z242 + Reference!$B$5 * AB242)/4</f>
        <v>0</v>
      </c>
      <c r="AD242" s="12">
        <f>IF(Q242=Reference!$C$41, Reference!$D$41, IF(Q242=Reference!$C$42, Reference!$D$42, IF(Q242=Reference!$C$43, Reference!$D$43, IF(Q242=Reference!$C$44, Reference!$D$44, 0))))</f>
        <v>0</v>
      </c>
      <c r="AE242" s="12">
        <f t="shared" si="35"/>
        <v>1</v>
      </c>
    </row>
    <row r="243" spans="1:31" ht="13.15">
      <c r="A243" s="9"/>
      <c r="C243" s="9"/>
      <c r="D243" s="10"/>
      <c r="E243" s="10"/>
      <c r="F243" s="9"/>
      <c r="G243" s="9"/>
      <c r="H243" s="9"/>
      <c r="I243" s="9"/>
      <c r="J243" s="9"/>
      <c r="K243" s="9"/>
      <c r="L243" s="9"/>
      <c r="M243" s="9"/>
      <c r="N243" s="9"/>
      <c r="O243" s="9"/>
      <c r="P243" s="11" t="str">
        <f>IF(AC243&gt;=Reference!$H$2, Reference!$G$2, IF(AC243&gt;=Reference!$H$3, Reference!$G$3, IF(AC243&gt;=Reference!$H$4, Reference!$G$4, IF(AC243&gt;=Reference!$H$5, Reference!$G$5, ""))))</f>
        <v/>
      </c>
      <c r="Q243" s="11" t="str">
        <f t="shared" si="34"/>
        <v/>
      </c>
      <c r="R243" s="11" t="str">
        <f>IF(AE243&gt;=Reference!$D$2, Reference!$G$2, IF(AE243&gt;=Reference!$D$3, Reference!$E$3, IF(AE243&gt;=Reference!$D$4, Reference!$E$4, IF(AE243&gt;=Reference!$D$5, Reference!$E$5, ""))))</f>
        <v>Low</v>
      </c>
      <c r="S243" s="13"/>
      <c r="T243" s="12"/>
      <c r="U243" s="9"/>
      <c r="V243" s="9"/>
      <c r="W243" s="9"/>
      <c r="Y243" s="12">
        <f>IF(H243=Reference!$A$12, Reference!$C$12, IF(H243=Reference!$A$11, Reference!$C$11, IF(H243=Reference!$A$10, Reference!$C$10, IF(H243=Reference!$A$9, Reference!$C$9, 0))))</f>
        <v>0</v>
      </c>
      <c r="Z243" s="12">
        <f>IF(J243=Reference!$A$20, Reference!$C$20, IF(J243=Reference!$A$19, Reference!$C$19, IF(J243=Reference!$A$18, Reference!$C$18, IF(J243=Reference!$A$17, Reference!$C$17, 0))))</f>
        <v>0</v>
      </c>
      <c r="AA243" s="12">
        <f>IF(L243=Reference!$A$28, Reference!$C$28, IF(L243=Reference!$A$27, Reference!$C$27, IF(L243=Reference!$A$26, Reference!$C$26, IF(L243=Reference!$A$25, Reference!$C$25, 0))))</f>
        <v>0</v>
      </c>
      <c r="AB243" s="12">
        <f>IF(N243=Reference!$A$36, Reference!$C$36, IF(N243=Reference!$A$35, Reference!$C$35, IF(N243=Reference!$A$34, Reference!$C$34, IF(N243=Reference!$A$33, Reference!$C$33, 0))))</f>
        <v>0</v>
      </c>
      <c r="AC243" s="12">
        <f>(Reference!$B$2*Y243 + Reference!$B$3*AA243 + Reference!$B$4*Z243 + Reference!$B$5 * AB243)/4</f>
        <v>0</v>
      </c>
      <c r="AD243" s="12">
        <f>IF(Q243=Reference!$C$41, Reference!$D$41, IF(Q243=Reference!$C$42, Reference!$D$42, IF(Q243=Reference!$C$43, Reference!$D$43, IF(Q243=Reference!$C$44, Reference!$D$44, 0))))</f>
        <v>0</v>
      </c>
      <c r="AE243" s="12">
        <f t="shared" si="35"/>
        <v>1</v>
      </c>
    </row>
    <row r="244" spans="1:31" ht="13.15">
      <c r="A244" s="8"/>
      <c r="B244" s="9"/>
      <c r="C244" s="9"/>
      <c r="D244" s="10"/>
      <c r="E244" s="10"/>
      <c r="F244" s="9"/>
      <c r="G244" s="9"/>
      <c r="H244" s="9"/>
      <c r="I244" s="9"/>
      <c r="J244" s="9"/>
      <c r="K244" s="9"/>
      <c r="L244" s="9"/>
      <c r="M244" s="9"/>
      <c r="N244" s="9"/>
      <c r="O244" s="9"/>
      <c r="P244" s="11" t="str">
        <f>IF(AC244&gt;=Reference!$H$2, Reference!$G$2, IF(AC244&gt;=Reference!$H$3, Reference!$G$3, IF(AC244&gt;=Reference!$H$4, Reference!$G$4, IF(AC244&gt;=Reference!$H$5, Reference!$G$5, ""))))</f>
        <v/>
      </c>
      <c r="Q244" s="11" t="str">
        <f t="shared" si="34"/>
        <v/>
      </c>
      <c r="R244" s="11" t="str">
        <f>IF(AE244&gt;=Reference!$D$2, Reference!$G$2, IF(AE244&gt;=Reference!$D$3, Reference!$E$3, IF(AE244&gt;=Reference!$D$4, Reference!$E$4, IF(AE244&gt;=Reference!$D$5, Reference!$E$5, ""))))</f>
        <v>Low</v>
      </c>
      <c r="S244" s="13"/>
      <c r="T244" s="12"/>
      <c r="U244" s="9"/>
      <c r="V244" s="9"/>
      <c r="W244" s="9"/>
      <c r="Y244" s="12">
        <f>IF(H244=Reference!$A$12, Reference!$C$12, IF(H244=Reference!$A$11, Reference!$C$11, IF(H244=Reference!$A$10, Reference!$C$10, IF(H244=Reference!$A$9, Reference!$C$9, 0))))</f>
        <v>0</v>
      </c>
      <c r="Z244" s="12">
        <f>IF(J244=Reference!$A$20, Reference!$C$20, IF(J244=Reference!$A$19, Reference!$C$19, IF(J244=Reference!$A$18, Reference!$C$18, IF(J244=Reference!$A$17, Reference!$C$17, 0))))</f>
        <v>0</v>
      </c>
      <c r="AA244" s="12">
        <f>IF(L244=Reference!$A$28, Reference!$C$28, IF(L244=Reference!$A$27, Reference!$C$27, IF(L244=Reference!$A$26, Reference!$C$26, IF(L244=Reference!$A$25, Reference!$C$25, 0))))</f>
        <v>0</v>
      </c>
      <c r="AB244" s="12">
        <f>IF(N244=Reference!$A$36, Reference!$C$36, IF(N244=Reference!$A$35, Reference!$C$35, IF(N244=Reference!$A$34, Reference!$C$34, IF(N244=Reference!$A$33, Reference!$C$33, 0))))</f>
        <v>0</v>
      </c>
      <c r="AC244" s="12">
        <f>(Reference!$B$2*Y244 + Reference!$B$3*AA244 + Reference!$B$4*Z244 + Reference!$B$5 * AB244)/4</f>
        <v>0</v>
      </c>
      <c r="AD244" s="12">
        <f>IF(Q244=Reference!$C$41, Reference!$D$41, IF(Q244=Reference!$C$42, Reference!$D$42, IF(Q244=Reference!$C$43, Reference!$D$43, IF(Q244=Reference!$C$44, Reference!$D$44, 0))))</f>
        <v>0</v>
      </c>
      <c r="AE244" s="12">
        <f t="shared" si="35"/>
        <v>1</v>
      </c>
    </row>
    <row r="245" spans="1:31" ht="13.15">
      <c r="A245" s="8"/>
      <c r="B245" s="9"/>
      <c r="C245" s="9"/>
      <c r="D245" s="10"/>
      <c r="E245" s="10"/>
      <c r="F245" s="9"/>
      <c r="G245" s="9"/>
      <c r="H245" s="9"/>
      <c r="I245" s="9"/>
      <c r="J245" s="9"/>
      <c r="K245" s="19"/>
      <c r="L245" s="9"/>
      <c r="M245" s="9"/>
      <c r="N245" s="9"/>
      <c r="O245" s="9"/>
      <c r="P245" s="11" t="str">
        <f>IF(AC245&gt;=Reference!$H$2, Reference!$G$2, IF(AC245&gt;=Reference!$H$3, Reference!$G$3, IF(AC245&gt;=Reference!$H$4, Reference!$G$4, IF(AC245&gt;=Reference!$H$5, Reference!$G$5, ""))))</f>
        <v/>
      </c>
      <c r="Q245" s="11" t="str">
        <f t="shared" si="34"/>
        <v/>
      </c>
      <c r="R245" s="11" t="str">
        <f>IF(AE245&gt;=Reference!$D$2, Reference!$G$2, IF(AE245&gt;=Reference!$D$3, Reference!$E$3, IF(AE245&gt;=Reference!$D$4, Reference!$E$4, IF(AE245&gt;=Reference!$D$5, Reference!$E$5, ""))))</f>
        <v>Low</v>
      </c>
      <c r="S245" s="13"/>
      <c r="T245" s="12"/>
      <c r="U245" s="9"/>
      <c r="V245" s="9"/>
      <c r="W245" s="9"/>
      <c r="Y245" s="12">
        <f>IF(H245=Reference!$A$12, Reference!$C$12, IF(H245=Reference!$A$11, Reference!$C$11, IF(H245=Reference!$A$10, Reference!$C$10, IF(H245=Reference!$A$9, Reference!$C$9, 0))))</f>
        <v>0</v>
      </c>
      <c r="Z245" s="12">
        <f>IF(J245=Reference!$A$20, Reference!$C$20, IF(J245=Reference!$A$19, Reference!$C$19, IF(J245=Reference!$A$18, Reference!$C$18, IF(J245=Reference!$A$17, Reference!$C$17, 0))))</f>
        <v>0</v>
      </c>
      <c r="AA245" s="12">
        <f>IF(L245=Reference!$A$28, Reference!$C$28, IF(L245=Reference!$A$27, Reference!$C$27, IF(L245=Reference!$A$26, Reference!$C$26, IF(L245=Reference!$A$25, Reference!$C$25, 0))))</f>
        <v>0</v>
      </c>
      <c r="AB245" s="12">
        <f>IF(N245=Reference!$A$36, Reference!$C$36, IF(N245=Reference!$A$35, Reference!$C$35, IF(N245=Reference!$A$34, Reference!$C$34, IF(N245=Reference!$A$33, Reference!$C$33, 0))))</f>
        <v>0</v>
      </c>
      <c r="AC245" s="12">
        <f>(Reference!$B$2*Y245 + Reference!$B$3*AA245 + Reference!$B$4*Z245 + Reference!$B$5 * AB245)/4</f>
        <v>0</v>
      </c>
      <c r="AD245" s="12">
        <f>IF(Q245=Reference!$C$41, Reference!$D$41, IF(Q245=Reference!$C$42, Reference!$D$42, IF(Q245=Reference!$C$43, Reference!$D$43, IF(Q245=Reference!$C$44, Reference!$D$44, 0))))</f>
        <v>0</v>
      </c>
      <c r="AE245" s="12">
        <f t="shared" si="35"/>
        <v>1</v>
      </c>
    </row>
    <row r="246" spans="1:31" ht="13.15">
      <c r="A246" s="8"/>
      <c r="B246" s="9"/>
      <c r="C246" s="9"/>
      <c r="D246" s="10"/>
      <c r="E246" s="10"/>
      <c r="F246" s="9"/>
      <c r="G246" s="9"/>
      <c r="H246" s="9"/>
      <c r="I246" s="9"/>
      <c r="J246" s="9"/>
      <c r="K246" s="9"/>
      <c r="L246" s="9"/>
      <c r="M246" s="9"/>
      <c r="N246" s="9"/>
      <c r="O246" s="9"/>
      <c r="P246" s="11" t="str">
        <f>IF(AC246&gt;=Reference!$H$2, Reference!$G$2, IF(AC246&gt;=Reference!$H$3, Reference!$G$3, IF(AC246&gt;=Reference!$H$4, Reference!$G$4, IF(AC246&gt;=Reference!$H$5, Reference!$G$5, ""))))</f>
        <v/>
      </c>
      <c r="Q246" s="11" t="str">
        <f t="shared" si="34"/>
        <v/>
      </c>
      <c r="R246" s="11" t="str">
        <f>IF(AE246&gt;=Reference!$D$2, Reference!$G$2, IF(AE246&gt;=Reference!$D$3, Reference!$E$3, IF(AE246&gt;=Reference!$D$4, Reference!$E$4, IF(AE246&gt;=Reference!$D$5, Reference!$E$5, ""))))</f>
        <v>Low</v>
      </c>
      <c r="S246" s="13"/>
      <c r="T246" s="23"/>
      <c r="U246" s="9"/>
      <c r="V246" s="15"/>
      <c r="W246" s="16"/>
      <c r="Y246" s="12">
        <f>IF(H246=Reference!$A$12, Reference!$C$12, IF(H246=Reference!$A$11, Reference!$C$11, IF(H246=Reference!$A$10, Reference!$C$10, IF(H246=Reference!$A$9, Reference!$C$9, 0))))</f>
        <v>0</v>
      </c>
      <c r="Z246" s="12">
        <f>IF(J246=Reference!$A$20, Reference!$C$20, IF(J246=Reference!$A$19, Reference!$C$19, IF(J246=Reference!$A$18, Reference!$C$18, IF(J246=Reference!$A$17, Reference!$C$17, 0))))</f>
        <v>0</v>
      </c>
      <c r="AA246" s="12">
        <f>IF(L246=Reference!$A$28, Reference!$C$28, IF(L246=Reference!$A$27, Reference!$C$27, IF(L246=Reference!$A$26, Reference!$C$26, IF(L246=Reference!$A$25, Reference!$C$25, 0))))</f>
        <v>0</v>
      </c>
      <c r="AB246" s="12">
        <f>IF(N246=Reference!$A$36, Reference!$C$36, IF(N246=Reference!$A$35, Reference!$C$35, IF(N246=Reference!$A$34, Reference!$C$34, IF(N246=Reference!$A$33, Reference!$C$33, 0))))</f>
        <v>0</v>
      </c>
      <c r="AC246" s="12">
        <f>(Reference!$B$2*Y246 + Reference!$B$3*AA246 + Reference!$B$4*Z246 + Reference!$B$5 * AB246)/4</f>
        <v>0</v>
      </c>
      <c r="AD246" s="12">
        <f>IF(Q246=Reference!$C$41, Reference!$D$41, IF(Q246=Reference!$C$42, Reference!$D$42, IF(Q246=Reference!$C$43, Reference!$D$43, IF(Q246=Reference!$C$44, Reference!$D$44, 0))))</f>
        <v>0</v>
      </c>
      <c r="AE246" s="12">
        <f t="shared" si="35"/>
        <v>1</v>
      </c>
    </row>
    <row r="247" spans="1:31" ht="13.15">
      <c r="A247" s="8"/>
      <c r="B247" s="9"/>
      <c r="C247" s="9"/>
      <c r="D247" s="18"/>
      <c r="E247" s="10"/>
      <c r="F247" s="9"/>
      <c r="G247" s="9"/>
      <c r="H247" s="9"/>
      <c r="I247" s="9"/>
      <c r="J247" s="9"/>
      <c r="K247" s="9"/>
      <c r="L247" s="9"/>
      <c r="M247" s="9"/>
      <c r="N247" s="9"/>
      <c r="O247" s="9"/>
      <c r="P247" s="11" t="str">
        <f>IF(AC247&gt;=Reference!$H$2, Reference!$G$2, IF(AC247&gt;=Reference!$H$3, Reference!$G$3, IF(AC247&gt;=Reference!$H$4, Reference!$G$4, IF(AC247&gt;=Reference!$H$5, Reference!$G$5, ""))))</f>
        <v/>
      </c>
      <c r="Q247" s="11" t="str">
        <f t="shared" si="34"/>
        <v/>
      </c>
      <c r="R247" s="11" t="str">
        <f>IF(AE247&gt;=Reference!$D$2, Reference!$G$2, IF(AE247&gt;=Reference!$D$3, Reference!$E$3, IF(AE247&gt;=Reference!$D$4, Reference!$E$4, IF(AE247&gt;=Reference!$D$5, Reference!$E$5, ""))))</f>
        <v>Low</v>
      </c>
      <c r="S247" s="13"/>
      <c r="T247" s="12"/>
      <c r="U247" s="9"/>
      <c r="V247" s="9"/>
      <c r="W247" s="9"/>
      <c r="Y247" s="12">
        <f>IF(H247=Reference!$A$12, Reference!$C$12, IF(H247=Reference!$A$11, Reference!$C$11, IF(H247=Reference!$A$10, Reference!$C$10, IF(H247=Reference!$A$9, Reference!$C$9, 0))))</f>
        <v>0</v>
      </c>
      <c r="Z247" s="12">
        <f>IF(J247=Reference!$A$20, Reference!$C$20, IF(J247=Reference!$A$19, Reference!$C$19, IF(J247=Reference!$A$18, Reference!$C$18, IF(J247=Reference!$A$17, Reference!$C$17, 0))))</f>
        <v>0</v>
      </c>
      <c r="AA247" s="12">
        <f>IF(L247=Reference!$A$28, Reference!$C$28, IF(L247=Reference!$A$27, Reference!$C$27, IF(L247=Reference!$A$26, Reference!$C$26, IF(L247=Reference!$A$25, Reference!$C$25, 0))))</f>
        <v>0</v>
      </c>
      <c r="AB247" s="12">
        <f>IF(N247=Reference!$A$36, Reference!$C$36, IF(N247=Reference!$A$35, Reference!$C$35, IF(N247=Reference!$A$34, Reference!$C$34, IF(N247=Reference!$A$33, Reference!$C$33, 0))))</f>
        <v>0</v>
      </c>
      <c r="AC247" s="12">
        <f>(Reference!$B$2*Y247 + Reference!$B$3*AA247 + Reference!$B$4*Z247 + Reference!$B$5 * AB247)/4</f>
        <v>0</v>
      </c>
      <c r="AD247" s="12">
        <f>IF(Q247=Reference!$C$41, Reference!$D$41, IF(Q247=Reference!$C$42, Reference!$D$42, IF(Q247=Reference!$C$43, Reference!$D$43, IF(Q247=Reference!$C$44, Reference!$D$44, 0))))</f>
        <v>0</v>
      </c>
      <c r="AE247" s="12">
        <f t="shared" si="35"/>
        <v>1</v>
      </c>
    </row>
    <row r="248" spans="1:31" ht="13.15">
      <c r="A248" s="8"/>
      <c r="B248" s="9"/>
      <c r="C248" s="9"/>
      <c r="D248" s="10"/>
      <c r="E248" s="10"/>
      <c r="F248" s="1"/>
      <c r="G248" s="9"/>
      <c r="H248" s="9"/>
      <c r="I248" s="9"/>
      <c r="J248" s="9"/>
      <c r="K248" s="9"/>
      <c r="L248" s="9"/>
      <c r="M248" s="9"/>
      <c r="N248" s="9"/>
      <c r="O248" s="9"/>
      <c r="P248" s="11" t="str">
        <f>IF(AC248&gt;=Reference!$H$2, Reference!$G$2, IF(AC248&gt;=Reference!$H$3, Reference!$G$3, IF(AC248&gt;=Reference!$H$4, Reference!$G$4, IF(AC248&gt;=Reference!$H$5, Reference!$G$5, ""))))</f>
        <v/>
      </c>
      <c r="Q248" s="11" t="str">
        <f t="shared" si="34"/>
        <v/>
      </c>
      <c r="R248" s="11" t="str">
        <f>IF(AE248&gt;=Reference!$D$2, Reference!$G$2, IF(AE248&gt;=Reference!$D$3, Reference!$E$3, IF(AE248&gt;=Reference!$D$4, Reference!$E$4, IF(AE248&gt;=Reference!$D$5, Reference!$E$5, ""))))</f>
        <v>Low</v>
      </c>
      <c r="S248" s="13"/>
      <c r="T248" s="12"/>
      <c r="U248" s="9"/>
      <c r="V248" s="9"/>
      <c r="W248" s="9"/>
      <c r="Y248" s="12">
        <f>IF(H248=Reference!$A$12, Reference!$C$12, IF(H248=Reference!$A$11, Reference!$C$11, IF(H248=Reference!$A$10, Reference!$C$10, IF(H248=Reference!$A$9, Reference!$C$9, 0))))</f>
        <v>0</v>
      </c>
      <c r="Z248" s="12">
        <f>IF(J248=Reference!$A$20, Reference!$C$20, IF(J248=Reference!$A$19, Reference!$C$19, IF(J248=Reference!$A$18, Reference!$C$18, IF(J248=Reference!$A$17, Reference!$C$17, 0))))</f>
        <v>0</v>
      </c>
      <c r="AA248" s="12">
        <f>IF(L248=Reference!$A$28, Reference!$C$28, IF(L248=Reference!$A$27, Reference!$C$27, IF(L248=Reference!$A$26, Reference!$C$26, IF(L248=Reference!$A$25, Reference!$C$25, 0))))</f>
        <v>0</v>
      </c>
      <c r="AB248" s="12">
        <f>IF(N248=Reference!$A$36, Reference!$C$36, IF(N248=Reference!$A$35, Reference!$C$35, IF(N248=Reference!$A$34, Reference!$C$34, IF(N248=Reference!$A$33, Reference!$C$33, 0))))</f>
        <v>0</v>
      </c>
      <c r="AC248" s="12">
        <f>(Reference!$B$2*Y248 + Reference!$B$3*AA248 + Reference!$B$4*Z248 + Reference!$B$5 * AB248)/4</f>
        <v>0</v>
      </c>
      <c r="AD248" s="12">
        <f>IF(Q248=Reference!$C$41, Reference!$D$41, IF(Q248=Reference!$C$42, Reference!$D$42, IF(Q248=Reference!$C$43, Reference!$D$43, IF(Q248=Reference!$C$44, Reference!$D$44, 0))))</f>
        <v>0</v>
      </c>
      <c r="AE248" s="12">
        <f t="shared" si="35"/>
        <v>1</v>
      </c>
    </row>
    <row r="249" spans="1:31" ht="14.45">
      <c r="A249" s="8"/>
      <c r="B249" s="9"/>
      <c r="C249" s="9"/>
      <c r="D249" s="28"/>
      <c r="E249" s="9"/>
      <c r="F249" s="9"/>
      <c r="G249" s="28"/>
      <c r="H249" s="9"/>
      <c r="I249" s="9"/>
      <c r="J249" s="9"/>
      <c r="K249" s="9"/>
      <c r="L249" s="9"/>
      <c r="M249" s="9"/>
      <c r="N249" s="9"/>
      <c r="O249" s="9"/>
      <c r="P249" s="11" t="str">
        <f>IF(AC249&gt;=Reference!$H$2, Reference!$G$2, IF(AC249&gt;=Reference!$H$3, Reference!$G$3, IF(AC249&gt;=Reference!$H$4, Reference!$G$4, IF(AC249&gt;=Reference!$H$5, Reference!$G$5, ""))))</f>
        <v/>
      </c>
      <c r="Q249" s="11" t="str">
        <f t="shared" si="34"/>
        <v/>
      </c>
      <c r="R249" s="11" t="str">
        <f>IF(AE249&gt;=Reference!$D$2, Reference!$G$2, IF(AE249&gt;=Reference!$D$3, Reference!$E$3, IF(AE249&gt;=Reference!$D$4, Reference!$E$4, IF(AE249&gt;=Reference!$D$5, Reference!$E$5, ""))))</f>
        <v>Low</v>
      </c>
      <c r="S249" s="13"/>
      <c r="T249" s="12"/>
      <c r="U249" s="9"/>
      <c r="V249" s="9"/>
      <c r="W249" s="9"/>
      <c r="Y249" s="12">
        <f>IF(H249=Reference!$A$12, Reference!$C$12, IF(H249=Reference!$A$11, Reference!$C$11, IF(H249=Reference!$A$10, Reference!$C$10, IF(H249=Reference!$A$9, Reference!$C$9, 0))))</f>
        <v>0</v>
      </c>
      <c r="Z249" s="12">
        <f>IF(J249=Reference!$A$20, Reference!$C$20, IF(J249=Reference!$A$19, Reference!$C$19, IF(J249=Reference!$A$18, Reference!$C$18, IF(J249=Reference!$A$17, Reference!$C$17, 0))))</f>
        <v>0</v>
      </c>
      <c r="AA249" s="12">
        <f>IF(L249=Reference!$A$28, Reference!$C$28, IF(L249=Reference!$A$27, Reference!$C$27, IF(L249=Reference!$A$26, Reference!$C$26, IF(L249=Reference!$A$25, Reference!$C$25, 0))))</f>
        <v>0</v>
      </c>
      <c r="AB249" s="12">
        <f>IF(N249=Reference!$A$36, Reference!$C$36, IF(N249=Reference!$A$35, Reference!$C$35, IF(N249=Reference!$A$34, Reference!$C$34, IF(N249=Reference!$A$33, Reference!$C$33, 0))))</f>
        <v>0</v>
      </c>
      <c r="AC249" s="12">
        <f>(Reference!$B$2*Y249 + Reference!$B$3*AA249 + Reference!$B$4*Z249 + Reference!$B$5 * AB249)/4</f>
        <v>0</v>
      </c>
      <c r="AD249" s="12">
        <f>IF(Q249=Reference!$C$41, Reference!$D$41, IF(Q249=Reference!$C$42, Reference!$D$42, IF(Q249=Reference!$C$43, Reference!$D$43, IF(Q249=Reference!$C$44, Reference!$D$44, 0))))</f>
        <v>0</v>
      </c>
      <c r="AE249" s="12">
        <f t="shared" si="35"/>
        <v>1</v>
      </c>
    </row>
    <row r="250" spans="1:31" ht="13.15">
      <c r="A250" s="8"/>
      <c r="B250" s="9"/>
      <c r="C250" s="9"/>
      <c r="D250" s="10"/>
      <c r="E250" s="10"/>
      <c r="F250" s="9"/>
      <c r="G250" s="9"/>
      <c r="H250" s="9"/>
      <c r="I250" s="9"/>
      <c r="J250" s="9"/>
      <c r="K250" s="9"/>
      <c r="L250" s="9"/>
      <c r="M250" s="9"/>
      <c r="N250" s="9"/>
      <c r="O250" s="9"/>
      <c r="P250" s="11" t="str">
        <f>IF(AC250&gt;=Reference!$H$2, Reference!$G$2, IF(AC250&gt;=Reference!$H$3, Reference!$G$3, IF(AC250&gt;=Reference!$H$4, Reference!$G$4, IF(AC250&gt;=Reference!$H$5, Reference!$G$5, ""))))</f>
        <v/>
      </c>
      <c r="Q250" s="11" t="str">
        <f t="shared" si="34"/>
        <v/>
      </c>
      <c r="R250" s="11" t="str">
        <f>IF(AE250&gt;=Reference!$D$2, Reference!$G$2, IF(AE250&gt;=Reference!$D$3, Reference!$E$3, IF(AE250&gt;=Reference!$D$4, Reference!$E$4, IF(AE250&gt;=Reference!$D$5, Reference!$E$5, ""))))</f>
        <v>Low</v>
      </c>
      <c r="S250" s="13"/>
      <c r="T250" s="22"/>
      <c r="U250" s="9"/>
      <c r="V250" s="9"/>
      <c r="W250" s="29"/>
      <c r="Y250" s="12">
        <f>IF(H250=Reference!$A$12, Reference!$C$12, IF(H250=Reference!$A$11, Reference!$C$11, IF(H250=Reference!$A$10, Reference!$C$10, IF(H250=Reference!$A$9, Reference!$C$9, 0))))</f>
        <v>0</v>
      </c>
      <c r="Z250" s="12">
        <f>IF(J250=Reference!$A$20, Reference!$C$20, IF(J250=Reference!$A$19, Reference!$C$19, IF(J250=Reference!$A$18, Reference!$C$18, IF(J250=Reference!$A$17, Reference!$C$17, 0))))</f>
        <v>0</v>
      </c>
      <c r="AA250" s="12">
        <f>IF(L250=Reference!$A$28, Reference!$C$28, IF(L250=Reference!$A$27, Reference!$C$27, IF(L250=Reference!$A$26, Reference!$C$26, IF(L250=Reference!$A$25, Reference!$C$25, 0))))</f>
        <v>0</v>
      </c>
      <c r="AB250" s="12">
        <f>IF(N250=Reference!$A$36, Reference!$C$36, IF(N250=Reference!$A$35, Reference!$C$35, IF(N250=Reference!$A$34, Reference!$C$34, IF(N250=Reference!$A$33, Reference!$C$33, 0))))</f>
        <v>0</v>
      </c>
      <c r="AC250" s="12">
        <f>(Reference!$B$2*Y250 + Reference!$B$3*AA250 + Reference!$B$4*Z250 + Reference!$B$5 * AB250)/4</f>
        <v>0</v>
      </c>
      <c r="AD250" s="12">
        <f>IF(Q250=Reference!$C$41, Reference!$D$41, IF(Q250=Reference!$C$42, Reference!$D$42, IF(Q250=Reference!$C$43, Reference!$D$43, IF(Q250=Reference!$C$44, Reference!$D$44, 0))))</f>
        <v>0</v>
      </c>
      <c r="AE250" s="12">
        <f t="shared" si="35"/>
        <v>1</v>
      </c>
    </row>
    <row r="251" spans="1:31" ht="13.15">
      <c r="A251" s="8"/>
      <c r="B251" s="9"/>
      <c r="C251" s="9"/>
      <c r="D251" s="10"/>
      <c r="E251" s="10"/>
      <c r="F251" s="9"/>
      <c r="G251" s="9"/>
      <c r="H251" s="9"/>
      <c r="I251" s="9"/>
      <c r="J251" s="9"/>
      <c r="K251" s="9"/>
      <c r="L251" s="9"/>
      <c r="M251" s="9"/>
      <c r="N251" s="9"/>
      <c r="O251" s="9"/>
      <c r="P251" s="11" t="str">
        <f>IF(AC251&gt;=Reference!$H$2, Reference!$G$2, IF(AC251&gt;=Reference!$H$3, Reference!$G$3, IF(AC251&gt;=Reference!$H$4, Reference!$G$4, IF(AC251&gt;=Reference!$H$5, Reference!$G$5, ""))))</f>
        <v/>
      </c>
      <c r="Q251" s="11" t="str">
        <f t="shared" si="34"/>
        <v/>
      </c>
      <c r="R251" s="11" t="str">
        <f>IF(AE251&gt;=Reference!$D$2, Reference!$G$2, IF(AE251&gt;=Reference!$D$3, Reference!$E$3, IF(AE251&gt;=Reference!$D$4, Reference!$E$4, IF(AE251&gt;=Reference!$D$5, Reference!$E$5, ""))))</f>
        <v>Low</v>
      </c>
      <c r="S251" s="13"/>
      <c r="T251" s="12"/>
      <c r="U251" s="9"/>
      <c r="V251" s="9"/>
      <c r="W251" s="9"/>
      <c r="Y251" s="12">
        <f>IF(H251=Reference!$A$12, Reference!$C$12, IF(H251=Reference!$A$11, Reference!$C$11, IF(H251=Reference!$A$10, Reference!$C$10, IF(H251=Reference!$A$9, Reference!$C$9, 0))))</f>
        <v>0</v>
      </c>
      <c r="Z251" s="12">
        <f>IF(J251=Reference!$A$20, Reference!$C$20, IF(J251=Reference!$A$19, Reference!$C$19, IF(J251=Reference!$A$18, Reference!$C$18, IF(J251=Reference!$A$17, Reference!$C$17, 0))))</f>
        <v>0</v>
      </c>
      <c r="AA251" s="12">
        <f>IF(L251=Reference!$A$28, Reference!$C$28, IF(L251=Reference!$A$27, Reference!$C$27, IF(L251=Reference!$A$26, Reference!$C$26, IF(L251=Reference!$A$25, Reference!$C$25, 0))))</f>
        <v>0</v>
      </c>
      <c r="AB251" s="12">
        <f>IF(N251=Reference!$A$36, Reference!$C$36, IF(N251=Reference!$A$35, Reference!$C$35, IF(N251=Reference!$A$34, Reference!$C$34, IF(N251=Reference!$A$33, Reference!$C$33, 0))))</f>
        <v>0</v>
      </c>
      <c r="AC251" s="12">
        <f>(Reference!$B$2*Y251 + Reference!$B$3*AA251 + Reference!$B$4*Z251 + Reference!$B$5 * AB251)/4</f>
        <v>0</v>
      </c>
      <c r="AD251" s="12">
        <f>IF(Q251=Reference!$C$41, Reference!$D$41, IF(Q251=Reference!$C$42, Reference!$D$42, IF(Q251=Reference!$C$43, Reference!$D$43, IF(Q251=Reference!$C$44, Reference!$D$44, 0))))</f>
        <v>0</v>
      </c>
      <c r="AE251" s="12">
        <f t="shared" si="35"/>
        <v>1</v>
      </c>
    </row>
    <row r="252" spans="1:31" ht="13.15">
      <c r="A252" s="8"/>
      <c r="B252" s="9"/>
      <c r="C252" s="9"/>
      <c r="E252" s="10"/>
      <c r="F252" s="9"/>
      <c r="G252" s="9"/>
      <c r="H252" s="9"/>
      <c r="I252" s="9"/>
      <c r="J252" s="9"/>
      <c r="K252" s="9"/>
      <c r="L252" s="9"/>
      <c r="M252" s="9"/>
      <c r="N252" s="9"/>
      <c r="O252" s="9"/>
      <c r="P252" s="11" t="str">
        <f>IF(AC252&gt;=Reference!$H$2, Reference!$G$2, IF(AC252&gt;=Reference!$H$3, Reference!$G$3, IF(AC252&gt;=Reference!$H$4, Reference!$G$4, IF(AC252&gt;=Reference!$H$5, Reference!$G$5, ""))))</f>
        <v/>
      </c>
      <c r="Q252" s="11" t="str">
        <f t="shared" si="34"/>
        <v/>
      </c>
      <c r="R252" s="11" t="str">
        <f>IF(AE252&gt;=Reference!$D$2, Reference!$G$2, IF(AE252&gt;=Reference!$D$3, Reference!$E$3, IF(AE252&gt;=Reference!$D$4, Reference!$E$4, IF(AE252&gt;=Reference!$D$5, Reference!$E$5, ""))))</f>
        <v>Low</v>
      </c>
      <c r="S252" s="13"/>
      <c r="T252" s="12"/>
      <c r="U252" s="9"/>
      <c r="V252" s="9"/>
      <c r="W252" s="9"/>
      <c r="Y252" s="12">
        <f>IF(H252=Reference!$A$12, Reference!$C$12, IF(H252=Reference!$A$11, Reference!$C$11, IF(H252=Reference!$A$10, Reference!$C$10, IF(H252=Reference!$A$9, Reference!$C$9, 0))))</f>
        <v>0</v>
      </c>
      <c r="Z252" s="12">
        <f>IF(J252=Reference!$A$20, Reference!$C$20, IF(J252=Reference!$A$19, Reference!$C$19, IF(J252=Reference!$A$18, Reference!$C$18, IF(J252=Reference!$A$17, Reference!$C$17, 0))))</f>
        <v>0</v>
      </c>
      <c r="AA252" s="12">
        <f>IF(L252=Reference!$A$28, Reference!$C$28, IF(L252=Reference!$A$27, Reference!$C$27, IF(L252=Reference!$A$26, Reference!$C$26, IF(L252=Reference!$A$25, Reference!$C$25, 0))))</f>
        <v>0</v>
      </c>
      <c r="AB252" s="12">
        <f>IF(N252=Reference!$A$36, Reference!$C$36, IF(N252=Reference!$A$35, Reference!$C$35, IF(N252=Reference!$A$34, Reference!$C$34, IF(N252=Reference!$A$33, Reference!$C$33, 0))))</f>
        <v>0</v>
      </c>
      <c r="AC252" s="12">
        <f>(Reference!$B$2*Y252 + Reference!$B$3*AA252 + Reference!$B$4*Z252 + Reference!$B$5 * AB252)/4</f>
        <v>0</v>
      </c>
      <c r="AD252" s="12">
        <f>IF(Q252=Reference!$C$41, Reference!$D$41, IF(Q252=Reference!$C$42, Reference!$D$42, IF(Q252=Reference!$C$43, Reference!$D$43, IF(Q252=Reference!$C$44, Reference!$D$44, 0))))</f>
        <v>0</v>
      </c>
      <c r="AE252" s="12">
        <f t="shared" si="35"/>
        <v>1</v>
      </c>
    </row>
    <row r="253" spans="1:31" ht="13.15">
      <c r="A253" s="8"/>
      <c r="B253" s="9"/>
      <c r="C253" s="9"/>
      <c r="D253" s="10"/>
      <c r="E253" s="10"/>
      <c r="F253" s="9"/>
      <c r="G253" s="9"/>
      <c r="H253" s="9"/>
      <c r="I253" s="9"/>
      <c r="J253" s="9"/>
      <c r="K253" s="9"/>
      <c r="L253" s="9"/>
      <c r="M253" s="9"/>
      <c r="N253" s="9"/>
      <c r="O253" s="9"/>
      <c r="P253" s="11" t="str">
        <f>IF(AC253&gt;=Reference!$H$2, Reference!$G$2, IF(AC253&gt;=Reference!$H$3, Reference!$G$3, IF(AC253&gt;=Reference!$H$4, Reference!$G$4, IF(AC253&gt;=Reference!$H$5, Reference!$G$5, ""))))</f>
        <v/>
      </c>
      <c r="Q253" s="11" t="str">
        <f t="shared" si="34"/>
        <v/>
      </c>
      <c r="R253" s="11" t="str">
        <f>IF(AE253&gt;=Reference!$D$2, Reference!$G$2, IF(AE253&gt;=Reference!$D$3, Reference!$E$3, IF(AE253&gt;=Reference!$D$4, Reference!$E$4, IF(AE253&gt;=Reference!$D$5, Reference!$E$5, ""))))</f>
        <v>Low</v>
      </c>
      <c r="S253" s="13"/>
      <c r="T253" s="23"/>
      <c r="U253" s="9"/>
      <c r="V253" s="16"/>
      <c r="W253" s="9"/>
      <c r="Y253" s="12">
        <f>IF(H253=Reference!$A$12, Reference!$C$12, IF(H253=Reference!$A$11, Reference!$C$11, IF(H253=Reference!$A$10, Reference!$C$10, IF(H253=Reference!$A$9, Reference!$C$9, 0))))</f>
        <v>0</v>
      </c>
      <c r="Z253" s="12">
        <f>IF(J253=Reference!$A$20, Reference!$C$20, IF(J253=Reference!$A$19, Reference!$C$19, IF(J253=Reference!$A$18, Reference!$C$18, IF(J253=Reference!$A$17, Reference!$C$17, 0))))</f>
        <v>0</v>
      </c>
      <c r="AA253" s="12">
        <f>IF(L253=Reference!$A$28, Reference!$C$28, IF(L253=Reference!$A$27, Reference!$C$27, IF(L253=Reference!$A$26, Reference!$C$26, IF(L253=Reference!$A$25, Reference!$C$25, 0))))</f>
        <v>0</v>
      </c>
      <c r="AB253" s="12">
        <f>IF(N253=Reference!$A$36, Reference!$C$36, IF(N253=Reference!$A$35, Reference!$C$35, IF(N253=Reference!$A$34, Reference!$C$34, IF(N253=Reference!$A$33, Reference!$C$33, 0))))</f>
        <v>0</v>
      </c>
      <c r="AC253" s="12">
        <f>(Reference!$B$2*Y253 + Reference!$B$3*AA253 + Reference!$B$4*Z253 + Reference!$B$5 * AB253)/4</f>
        <v>0</v>
      </c>
      <c r="AD253" s="12">
        <f>IF(Q253=Reference!$C$41, Reference!$D$41, IF(Q253=Reference!$C$42, Reference!$D$42, IF(Q253=Reference!$C$43, Reference!$D$43, IF(Q253=Reference!$C$44, Reference!$D$44, 0))))</f>
        <v>0</v>
      </c>
      <c r="AE253" s="12">
        <f t="shared" si="35"/>
        <v>1</v>
      </c>
    </row>
    <row r="254" spans="1:31" ht="13.15">
      <c r="A254" s="8"/>
      <c r="B254" s="9"/>
      <c r="C254" s="9"/>
      <c r="D254" s="10"/>
      <c r="E254" s="18"/>
      <c r="F254" s="9"/>
      <c r="G254" s="9"/>
      <c r="H254" s="9"/>
      <c r="I254" s="9"/>
      <c r="J254" s="9"/>
      <c r="K254" s="9"/>
      <c r="L254" s="9"/>
      <c r="M254" s="19"/>
      <c r="N254" s="9"/>
      <c r="O254" s="9"/>
      <c r="P254" s="11" t="str">
        <f>IF(AC254&gt;=Reference!$H$2, Reference!$G$2, IF(AC254&gt;=Reference!$H$3, Reference!$G$3, IF(AC254&gt;=Reference!$H$4, Reference!$G$4, IF(AC254&gt;=Reference!$H$5, Reference!$G$5, ""))))</f>
        <v/>
      </c>
      <c r="Q254" s="11" t="str">
        <f t="shared" si="34"/>
        <v/>
      </c>
      <c r="R254" s="11" t="str">
        <f>IF(AE254&gt;=Reference!$D$2, Reference!$G$2, IF(AE254&gt;=Reference!$D$3, Reference!$E$3, IF(AE254&gt;=Reference!$D$4, Reference!$E$4, IF(AE254&gt;=Reference!$D$5, Reference!$E$5, ""))))</f>
        <v>Low</v>
      </c>
      <c r="S254" s="13"/>
      <c r="T254" s="23"/>
      <c r="U254" s="9"/>
      <c r="V254" s="16"/>
      <c r="W254" s="9"/>
      <c r="Y254" s="12">
        <f>IF(H254=Reference!$A$12, Reference!$C$12, IF(H254=Reference!$A$11, Reference!$C$11, IF(H254=Reference!$A$10, Reference!$C$10, IF(H254=Reference!$A$9, Reference!$C$9, 0))))</f>
        <v>0</v>
      </c>
      <c r="Z254" s="12">
        <f>IF(J254=Reference!$A$20, Reference!$C$20, IF(J254=Reference!$A$19, Reference!$C$19, IF(J254=Reference!$A$18, Reference!$C$18, IF(J254=Reference!$A$17, Reference!$C$17, 0))))</f>
        <v>0</v>
      </c>
      <c r="AA254" s="12">
        <f>IF(L254=Reference!$A$28, Reference!$C$28, IF(L254=Reference!$A$27, Reference!$C$27, IF(L254=Reference!$A$26, Reference!$C$26, IF(L254=Reference!$A$25, Reference!$C$25, 0))))</f>
        <v>0</v>
      </c>
      <c r="AB254" s="12">
        <f>IF(N254=Reference!$A$36, Reference!$C$36, IF(N254=Reference!$A$35, Reference!$C$35, IF(N254=Reference!$A$34, Reference!$C$34, IF(N254=Reference!$A$33, Reference!$C$33, 0))))</f>
        <v>0</v>
      </c>
      <c r="AC254" s="12">
        <f>(Reference!$B$2*Y254 + Reference!$B$3*AA254 + Reference!$B$4*Z254 + Reference!$B$5 * AB254)/4</f>
        <v>0</v>
      </c>
      <c r="AD254" s="12">
        <f>IF(Q254=Reference!$C$41, Reference!$D$41, IF(Q254=Reference!$C$42, Reference!$D$42, IF(Q254=Reference!$C$43, Reference!$D$43, IF(Q254=Reference!$C$44, Reference!$D$44, 0))))</f>
        <v>0</v>
      </c>
      <c r="AE254" s="12">
        <f t="shared" si="35"/>
        <v>1</v>
      </c>
    </row>
    <row r="255" spans="1:31" ht="13.15">
      <c r="A255" s="8"/>
      <c r="B255" s="9"/>
      <c r="C255" s="9"/>
      <c r="D255" s="10"/>
      <c r="E255" s="10"/>
      <c r="F255" s="9"/>
      <c r="G255" s="9"/>
      <c r="H255" s="9"/>
      <c r="I255" s="9"/>
      <c r="J255" s="9"/>
      <c r="K255" s="9"/>
      <c r="L255" s="9"/>
      <c r="M255" s="9"/>
      <c r="N255" s="9"/>
      <c r="O255" s="9"/>
      <c r="P255" s="11" t="str">
        <f>IF(AC255&gt;=Reference!$H$2, Reference!$G$2, IF(AC255&gt;=Reference!$H$3, Reference!$G$3, IF(AC255&gt;=Reference!$H$4, Reference!$G$4, IF(AC255&gt;=Reference!$H$5, Reference!$G$5, ""))))</f>
        <v/>
      </c>
      <c r="Q255" s="11" t="str">
        <f t="shared" si="34"/>
        <v/>
      </c>
      <c r="R255" s="11" t="str">
        <f>IF(AE255&gt;=Reference!$D$2, Reference!$G$2, IF(AE255&gt;=Reference!$D$3, Reference!$E$3, IF(AE255&gt;=Reference!$D$4, Reference!$E$4, IF(AE255&gt;=Reference!$D$5, Reference!$E$5, ""))))</f>
        <v>Low</v>
      </c>
      <c r="S255" s="13"/>
      <c r="T255" s="19"/>
      <c r="U255" s="9"/>
      <c r="V255" s="9"/>
      <c r="W255" s="9"/>
      <c r="Y255" s="12">
        <f>IF(H255=Reference!$A$12, Reference!$C$12, IF(H255=Reference!$A$11, Reference!$C$11, IF(H255=Reference!$A$10, Reference!$C$10, IF(H255=Reference!$A$9, Reference!$C$9, 0))))</f>
        <v>0</v>
      </c>
      <c r="Z255" s="12">
        <f>IF(J255=Reference!$A$20, Reference!$C$20, IF(J255=Reference!$A$19, Reference!$C$19, IF(J255=Reference!$A$18, Reference!$C$18, IF(J255=Reference!$A$17, Reference!$C$17, 0))))</f>
        <v>0</v>
      </c>
      <c r="AA255" s="12">
        <f>IF(L255=Reference!$A$28, Reference!$C$28, IF(L255=Reference!$A$27, Reference!$C$27, IF(L255=Reference!$A$26, Reference!$C$26, IF(L255=Reference!$A$25, Reference!$C$25, 0))))</f>
        <v>0</v>
      </c>
      <c r="AB255" s="12">
        <f>IF(N255=Reference!$A$36, Reference!$C$36, IF(N255=Reference!$A$35, Reference!$C$35, IF(N255=Reference!$A$34, Reference!$C$34, IF(N255=Reference!$A$33, Reference!$C$33, 0))))</f>
        <v>0</v>
      </c>
      <c r="AC255" s="12">
        <f>(Reference!$B$2*Y255 + Reference!$B$3*AA255 + Reference!$B$4*Z255 + Reference!$B$5 * AB255)/4</f>
        <v>0</v>
      </c>
      <c r="AD255" s="12">
        <f>IF(Q255=Reference!$C$41, Reference!$D$41, IF(Q255=Reference!$C$42, Reference!$D$42, IF(Q255=Reference!$C$43, Reference!$D$43, IF(Q255=Reference!$C$44, Reference!$D$44, 0))))</f>
        <v>0</v>
      </c>
      <c r="AE255" s="12">
        <f t="shared" si="35"/>
        <v>1</v>
      </c>
    </row>
    <row r="256" spans="1:31" ht="13.15">
      <c r="A256" s="8"/>
      <c r="B256" s="9"/>
      <c r="C256" s="9"/>
      <c r="D256" s="10"/>
      <c r="E256" s="10"/>
      <c r="F256" s="9"/>
      <c r="G256" s="19"/>
      <c r="H256" s="9"/>
      <c r="I256" s="9"/>
      <c r="J256" s="9"/>
      <c r="K256" s="9"/>
      <c r="L256" s="9"/>
      <c r="M256" s="9"/>
      <c r="N256" s="9"/>
      <c r="O256" s="9"/>
      <c r="P256" s="11" t="str">
        <f>IF(AC256&gt;=Reference!$H$2, Reference!$G$2, IF(AC256&gt;=Reference!$H$3, Reference!$G$3, IF(AC256&gt;=Reference!$H$4, Reference!$G$4, IF(AC256&gt;=Reference!$H$5, Reference!$G$5, ""))))</f>
        <v/>
      </c>
      <c r="Q256" s="11" t="str">
        <f t="shared" si="34"/>
        <v/>
      </c>
      <c r="R256" s="11" t="str">
        <f>IF(AE256&gt;=Reference!$D$2, Reference!$G$2, IF(AE256&gt;=Reference!$D$3, Reference!$E$3, IF(AE256&gt;=Reference!$D$4, Reference!$E$4, IF(AE256&gt;=Reference!$D$5, Reference!$E$5, ""))))</f>
        <v>Low</v>
      </c>
      <c r="S256" s="13"/>
      <c r="T256" s="26"/>
      <c r="U256" s="9"/>
      <c r="V256" s="9"/>
      <c r="W256" s="29"/>
      <c r="Y256" s="12">
        <f>IF(H256=Reference!$A$12, Reference!$C$12, IF(H256=Reference!$A$11, Reference!$C$11, IF(H256=Reference!$A$10, Reference!$C$10, IF(H256=Reference!$A$9, Reference!$C$9, 0))))</f>
        <v>0</v>
      </c>
      <c r="Z256" s="12">
        <f>IF(J256=Reference!$A$20, Reference!$C$20, IF(J256=Reference!$A$19, Reference!$C$19, IF(J256=Reference!$A$18, Reference!$C$18, IF(J256=Reference!$A$17, Reference!$C$17, 0))))</f>
        <v>0</v>
      </c>
      <c r="AA256" s="12">
        <f>IF(L256=Reference!$A$28, Reference!$C$28, IF(L256=Reference!$A$27, Reference!$C$27, IF(L256=Reference!$A$26, Reference!$C$26, IF(L256=Reference!$A$25, Reference!$C$25, 0))))</f>
        <v>0</v>
      </c>
      <c r="AB256" s="12">
        <f>IF(N256=Reference!$A$36, Reference!$C$36, IF(N256=Reference!$A$35, Reference!$C$35, IF(N256=Reference!$A$34, Reference!$C$34, IF(N256=Reference!$A$33, Reference!$C$33, 0))))</f>
        <v>0</v>
      </c>
      <c r="AC256" s="12">
        <f>(Reference!$B$2*Y256 + Reference!$B$3*AA256 + Reference!$B$4*Z256 + Reference!$B$5 * AB256)/4</f>
        <v>0</v>
      </c>
      <c r="AD256" s="12">
        <f>IF(Q256=Reference!$C$41, Reference!$D$41, IF(Q256=Reference!$C$42, Reference!$D$42, IF(Q256=Reference!$C$43, Reference!$D$43, IF(Q256=Reference!$C$44, Reference!$D$44, 0))))</f>
        <v>0</v>
      </c>
      <c r="AE256" s="12">
        <f t="shared" si="35"/>
        <v>1</v>
      </c>
    </row>
    <row r="257" spans="1:31" ht="13.15">
      <c r="A257" s="8"/>
      <c r="B257" s="9"/>
      <c r="C257" s="9"/>
      <c r="D257" s="10"/>
      <c r="E257" s="10"/>
      <c r="F257" s="9"/>
      <c r="G257" s="9"/>
      <c r="H257" s="9"/>
      <c r="I257" s="101"/>
      <c r="J257" s="9"/>
      <c r="K257" s="19"/>
      <c r="L257" s="9"/>
      <c r="M257" s="9"/>
      <c r="N257" s="9"/>
      <c r="O257" s="101"/>
      <c r="P257" s="11" t="str">
        <f>IF(AC257&gt;=Reference!$H$2, Reference!$G$2, IF(AC257&gt;=Reference!$H$3, Reference!$G$3, IF(AC257&gt;=Reference!$H$4, Reference!$G$4, IF(AC257&gt;=Reference!$H$5, Reference!$G$5, ""))))</f>
        <v/>
      </c>
      <c r="Q257" s="11" t="str">
        <f t="shared" si="34"/>
        <v/>
      </c>
      <c r="R257" s="11" t="str">
        <f>IF(AE257&gt;=Reference!$D$2, Reference!$G$2, IF(AE257&gt;=Reference!$D$3, Reference!$E$3, IF(AE257&gt;=Reference!$D$4, Reference!$E$4, IF(AE257&gt;=Reference!$D$5, Reference!$E$5, ""))))</f>
        <v>Low</v>
      </c>
      <c r="S257" s="13"/>
      <c r="T257" s="12"/>
      <c r="U257" s="9"/>
      <c r="V257" s="9"/>
      <c r="W257" s="9"/>
      <c r="Y257" s="12">
        <f>IF(H257=Reference!$A$12, Reference!$C$12, IF(H257=Reference!$A$11, Reference!$C$11, IF(H257=Reference!$A$10, Reference!$C$10, IF(H257=Reference!$A$9, Reference!$C$9, 0))))</f>
        <v>0</v>
      </c>
      <c r="Z257" s="12">
        <f>IF(J257=Reference!$A$20, Reference!$C$20, IF(J257=Reference!$A$19, Reference!$C$19, IF(J257=Reference!$A$18, Reference!$C$18, IF(J257=Reference!$A$17, Reference!$C$17, 0))))</f>
        <v>0</v>
      </c>
      <c r="AA257" s="12">
        <f>IF(L257=Reference!$A$28, Reference!$C$28, IF(L257=Reference!$A$27, Reference!$C$27, IF(L257=Reference!$A$26, Reference!$C$26, IF(L257=Reference!$A$25, Reference!$C$25, 0))))</f>
        <v>0</v>
      </c>
      <c r="AB257" s="12">
        <f>IF(N257=Reference!$A$36, Reference!$C$36, IF(N257=Reference!$A$35, Reference!$C$35, IF(N257=Reference!$A$34, Reference!$C$34, IF(N257=Reference!$A$33, Reference!$C$33, 0))))</f>
        <v>0</v>
      </c>
      <c r="AC257" s="12">
        <f>(Reference!$B$2*Y257 + Reference!$B$3*AA257 + Reference!$B$4*Z257 + Reference!$B$5 * AB257)/4</f>
        <v>0</v>
      </c>
      <c r="AD257" s="12">
        <f>IF(Q257=Reference!$C$41, Reference!$D$41, IF(Q257=Reference!$C$42, Reference!$D$42, IF(Q257=Reference!$C$43, Reference!$D$43, IF(Q257=Reference!$C$44, Reference!$D$44, 0))))</f>
        <v>0</v>
      </c>
      <c r="AE257" s="12">
        <f t="shared" si="35"/>
        <v>1</v>
      </c>
    </row>
    <row r="258" spans="1:31" ht="13.15">
      <c r="A258" s="8"/>
      <c r="B258" s="9"/>
      <c r="C258" s="9"/>
      <c r="D258" s="10"/>
      <c r="E258" s="10"/>
      <c r="F258" s="9"/>
      <c r="G258" s="9"/>
      <c r="H258" s="9"/>
      <c r="I258" s="9"/>
      <c r="J258" s="9"/>
      <c r="K258" s="9"/>
      <c r="L258" s="9"/>
      <c r="M258" s="9"/>
      <c r="N258" s="9"/>
      <c r="O258" s="9"/>
      <c r="P258" s="11" t="str">
        <f>IF(AC258&gt;=Reference!$H$2, Reference!$G$2, IF(AC258&gt;=Reference!$H$3, Reference!$G$3, IF(AC258&gt;=Reference!$H$4, Reference!$G$4, IF(AC258&gt;=Reference!$H$5, Reference!$G$5, ""))))</f>
        <v/>
      </c>
      <c r="Q258" s="11" t="str">
        <f t="shared" si="34"/>
        <v/>
      </c>
      <c r="R258" s="11" t="str">
        <f>IF(AE258&gt;=Reference!$D$2, Reference!$G$2, IF(AE258&gt;=Reference!$D$3, Reference!$E$3, IF(AE258&gt;=Reference!$D$4, Reference!$E$4, IF(AE258&gt;=Reference!$D$5, Reference!$E$5, ""))))</f>
        <v>Low</v>
      </c>
      <c r="S258" s="13"/>
      <c r="T258" s="12"/>
      <c r="U258" s="9"/>
      <c r="V258" s="9"/>
      <c r="W258" s="9"/>
      <c r="Y258" s="12">
        <f>IF(H258=Reference!$A$12, Reference!$C$12, IF(H258=Reference!$A$11, Reference!$C$11, IF(H258=Reference!$A$10, Reference!$C$10, IF(H258=Reference!$A$9, Reference!$C$9, 0))))</f>
        <v>0</v>
      </c>
      <c r="Z258" s="12">
        <f>IF(J258=Reference!$A$20, Reference!$C$20, IF(J258=Reference!$A$19, Reference!$C$19, IF(J258=Reference!$A$18, Reference!$C$18, IF(J258=Reference!$A$17, Reference!$C$17, 0))))</f>
        <v>0</v>
      </c>
      <c r="AA258" s="12">
        <f>IF(L258=Reference!$A$28, Reference!$C$28, IF(L258=Reference!$A$27, Reference!$C$27, IF(L258=Reference!$A$26, Reference!$C$26, IF(L258=Reference!$A$25, Reference!$C$25, 0))))</f>
        <v>0</v>
      </c>
      <c r="AB258" s="12">
        <f>IF(N258=Reference!$A$36, Reference!$C$36, IF(N258=Reference!$A$35, Reference!$C$35, IF(N258=Reference!$A$34, Reference!$C$34, IF(N258=Reference!$A$33, Reference!$C$33, 0))))</f>
        <v>0</v>
      </c>
      <c r="AC258" s="12">
        <f>(Reference!$B$2*Y258 + Reference!$B$3*AA258 + Reference!$B$4*Z258 + Reference!$B$5 * AB258)/4</f>
        <v>0</v>
      </c>
      <c r="AD258" s="12">
        <f>IF(Q258=Reference!$C$41, Reference!$D$41, IF(Q258=Reference!$C$42, Reference!$D$42, IF(Q258=Reference!$C$43, Reference!$D$43, IF(Q258=Reference!$C$44, Reference!$D$44, 0))))</f>
        <v>0</v>
      </c>
      <c r="AE258" s="12">
        <f t="shared" si="35"/>
        <v>1</v>
      </c>
    </row>
    <row r="259" spans="1:31" ht="13.15">
      <c r="A259" s="8"/>
      <c r="B259" s="9"/>
      <c r="C259" s="9"/>
      <c r="D259" s="18"/>
      <c r="E259" s="10"/>
      <c r="F259" s="9"/>
      <c r="G259" s="9"/>
      <c r="H259" s="9"/>
      <c r="I259" s="9"/>
      <c r="J259" s="9"/>
      <c r="K259" s="9"/>
      <c r="L259" s="9"/>
      <c r="M259" s="9"/>
      <c r="N259" s="9"/>
      <c r="O259" s="9"/>
      <c r="P259" s="11" t="str">
        <f>IF(AC259&gt;=Reference!$H$2, Reference!$G$2, IF(AC259&gt;=Reference!$H$3, Reference!$G$3, IF(AC259&gt;=Reference!$H$4, Reference!$G$4, IF(AC259&gt;=Reference!$H$5, Reference!$G$5, ""))))</f>
        <v/>
      </c>
      <c r="Q259" s="11" t="str">
        <f t="shared" si="34"/>
        <v/>
      </c>
      <c r="R259" s="11" t="str">
        <f>IF(AE259&gt;=Reference!$D$2, Reference!$G$2, IF(AE259&gt;=Reference!$D$3, Reference!$E$3, IF(AE259&gt;=Reference!$D$4, Reference!$E$4, IF(AE259&gt;=Reference!$D$5, Reference!$E$5, ""))))</f>
        <v>Low</v>
      </c>
      <c r="S259" s="13"/>
      <c r="T259" s="12"/>
      <c r="U259" s="9"/>
      <c r="V259" s="19"/>
      <c r="W259" s="9"/>
      <c r="Y259" s="12">
        <f>IF(H259=Reference!$A$12, Reference!$C$12, IF(H259=Reference!$A$11, Reference!$C$11, IF(H259=Reference!$A$10, Reference!$C$10, IF(H259=Reference!$A$9, Reference!$C$9, 0))))</f>
        <v>0</v>
      </c>
      <c r="Z259" s="12">
        <f>IF(J259=Reference!$A$20, Reference!$C$20, IF(J259=Reference!$A$19, Reference!$C$19, IF(J259=Reference!$A$18, Reference!$C$18, IF(J259=Reference!$A$17, Reference!$C$17, 0))))</f>
        <v>0</v>
      </c>
      <c r="AA259" s="12">
        <f>IF(L259=Reference!$A$28, Reference!$C$28, IF(L259=Reference!$A$27, Reference!$C$27, IF(L259=Reference!$A$26, Reference!$C$26, IF(L259=Reference!$A$25, Reference!$C$25, 0))))</f>
        <v>0</v>
      </c>
      <c r="AB259" s="12">
        <f>IF(N259=Reference!$A$36, Reference!$C$36, IF(N259=Reference!$A$35, Reference!$C$35, IF(N259=Reference!$A$34, Reference!$C$34, IF(N259=Reference!$A$33, Reference!$C$33, 0))))</f>
        <v>0</v>
      </c>
      <c r="AC259" s="12">
        <f>(Reference!$B$2*Y259 + Reference!$B$3*AA259 + Reference!$B$4*Z259 + Reference!$B$5 * AB259)/4</f>
        <v>0</v>
      </c>
      <c r="AD259" s="12">
        <f>IF(Q259=Reference!$C$41, Reference!$D$41, IF(Q259=Reference!$C$42, Reference!$D$42, IF(Q259=Reference!$C$43, Reference!$D$43, IF(Q259=Reference!$C$44, Reference!$D$44, 0))))</f>
        <v>0</v>
      </c>
      <c r="AE259" s="12">
        <f t="shared" si="35"/>
        <v>1</v>
      </c>
    </row>
    <row r="260" spans="1:31" ht="13.15">
      <c r="A260" s="8"/>
      <c r="B260" s="9"/>
      <c r="C260" s="9"/>
      <c r="D260" s="10"/>
      <c r="E260" s="10"/>
      <c r="F260" s="9"/>
      <c r="G260" s="9"/>
      <c r="H260" s="9"/>
      <c r="I260" s="9"/>
      <c r="J260" s="9"/>
      <c r="K260" s="9"/>
      <c r="L260" s="9"/>
      <c r="M260" s="9"/>
      <c r="N260" s="9"/>
      <c r="O260" s="9"/>
      <c r="P260" s="11" t="str">
        <f>IF(AC260&gt;=Reference!$H$2, Reference!$G$2, IF(AC260&gt;=Reference!$H$3, Reference!$G$3, IF(AC260&gt;=Reference!$H$4, Reference!$G$4, IF(AC260&gt;=Reference!$H$5, Reference!$G$5, ""))))</f>
        <v/>
      </c>
      <c r="Q260" s="11" t="str">
        <f t="shared" si="34"/>
        <v/>
      </c>
      <c r="R260" s="11" t="str">
        <f>IF(AE260&gt;=Reference!$D$2, Reference!$G$2, IF(AE260&gt;=Reference!$D$3, Reference!$E$3, IF(AE260&gt;=Reference!$D$4, Reference!$E$4, IF(AE260&gt;=Reference!$D$5, Reference!$E$5, ""))))</f>
        <v>Low</v>
      </c>
      <c r="S260" s="13"/>
      <c r="T260" s="12"/>
      <c r="U260" s="9"/>
      <c r="V260" s="9"/>
      <c r="W260" s="9"/>
      <c r="Y260" s="12">
        <f>IF(H260=Reference!$A$12, Reference!$C$12, IF(H260=Reference!$A$11, Reference!$C$11, IF(H260=Reference!$A$10, Reference!$C$10, IF(H260=Reference!$A$9, Reference!$C$9, 0))))</f>
        <v>0</v>
      </c>
      <c r="Z260" s="12">
        <f>IF(J260=Reference!$A$20, Reference!$C$20, IF(J260=Reference!$A$19, Reference!$C$19, IF(J260=Reference!$A$18, Reference!$C$18, IF(J260=Reference!$A$17, Reference!$C$17, 0))))</f>
        <v>0</v>
      </c>
      <c r="AA260" s="12">
        <f>IF(L260=Reference!$A$28, Reference!$C$28, IF(L260=Reference!$A$27, Reference!$C$27, IF(L260=Reference!$A$26, Reference!$C$26, IF(L260=Reference!$A$25, Reference!$C$25, 0))))</f>
        <v>0</v>
      </c>
      <c r="AB260" s="12">
        <f>IF(N260=Reference!$A$36, Reference!$C$36, IF(N260=Reference!$A$35, Reference!$C$35, IF(N260=Reference!$A$34, Reference!$C$34, IF(N260=Reference!$A$33, Reference!$C$33, 0))))</f>
        <v>0</v>
      </c>
      <c r="AC260" s="12">
        <f>(Reference!$B$2*Y260 + Reference!$B$3*AA260 + Reference!$B$4*Z260 + Reference!$B$5 * AB260)/4</f>
        <v>0</v>
      </c>
      <c r="AD260" s="12">
        <f>IF(Q260=Reference!$C$41, Reference!$D$41, IF(Q260=Reference!$C$42, Reference!$D$42, IF(Q260=Reference!$C$43, Reference!$D$43, IF(Q260=Reference!$C$44, Reference!$D$44, 0))))</f>
        <v>0</v>
      </c>
      <c r="AE260" s="12">
        <f t="shared" si="35"/>
        <v>1</v>
      </c>
    </row>
    <row r="261" spans="1:31" ht="14.45">
      <c r="A261" s="8"/>
      <c r="B261" s="9"/>
      <c r="C261" s="9"/>
      <c r="D261" s="10"/>
      <c r="E261" s="10"/>
      <c r="F261" s="9"/>
      <c r="G261" s="9"/>
      <c r="H261" s="9"/>
      <c r="I261" s="9"/>
      <c r="J261" s="9"/>
      <c r="K261" s="9"/>
      <c r="L261" s="9"/>
      <c r="M261" s="9"/>
      <c r="N261" s="9"/>
      <c r="O261" s="9"/>
      <c r="P261" s="11" t="str">
        <f>IF(AC261&gt;=Reference!$H$2, Reference!$G$2, IF(AC261&gt;=Reference!$H$3, Reference!$G$3, IF(AC261&gt;=Reference!$H$4, Reference!$G$4, IF(AC261&gt;=Reference!$H$5, Reference!$G$5, ""))))</f>
        <v/>
      </c>
      <c r="Q261" s="11" t="str">
        <f t="shared" si="34"/>
        <v/>
      </c>
      <c r="R261" s="11" t="str">
        <f>IF(AE261&gt;=Reference!$D$2, Reference!$G$2, IF(AE261&gt;=Reference!$D$3, Reference!$E$3, IF(AE261&gt;=Reference!$D$4, Reference!$E$4, IF(AE261&gt;=Reference!$D$5, Reference!$E$5, ""))))</f>
        <v>Low</v>
      </c>
      <c r="S261" s="13"/>
      <c r="T261" s="28"/>
      <c r="U261" s="9"/>
      <c r="V261" s="9"/>
      <c r="W261" s="9"/>
      <c r="Y261" s="12">
        <f>IF(H261=Reference!$A$12, Reference!$C$12, IF(H261=Reference!$A$11, Reference!$C$11, IF(H261=Reference!$A$10, Reference!$C$10, IF(H261=Reference!$A$9, Reference!$C$9, 0))))</f>
        <v>0</v>
      </c>
      <c r="Z261" s="12">
        <f>IF(J261=Reference!$A$20, Reference!$C$20, IF(J261=Reference!$A$19, Reference!$C$19, IF(J261=Reference!$A$18, Reference!$C$18, IF(J261=Reference!$A$17, Reference!$C$17, 0))))</f>
        <v>0</v>
      </c>
      <c r="AA261" s="12">
        <f>IF(L261=Reference!$A$28, Reference!$C$28, IF(L261=Reference!$A$27, Reference!$C$27, IF(L261=Reference!$A$26, Reference!$C$26, IF(L261=Reference!$A$25, Reference!$C$25, 0))))</f>
        <v>0</v>
      </c>
      <c r="AB261" s="12">
        <f>IF(N261=Reference!$A$36, Reference!$C$36, IF(N261=Reference!$A$35, Reference!$C$35, IF(N261=Reference!$A$34, Reference!$C$34, IF(N261=Reference!$A$33, Reference!$C$33, 0))))</f>
        <v>0</v>
      </c>
      <c r="AC261" s="12">
        <f>(Reference!$B$2*Y261 + Reference!$B$3*AA261 + Reference!$B$4*Z261 + Reference!$B$5 * AB261)/4</f>
        <v>0</v>
      </c>
      <c r="AD261" s="12">
        <f>IF(Q261=Reference!$C$41, Reference!$D$41, IF(Q261=Reference!$C$42, Reference!$D$42, IF(Q261=Reference!$C$43, Reference!$D$43, IF(Q261=Reference!$C$44, Reference!$D$44, 0))))</f>
        <v>0</v>
      </c>
      <c r="AE261" s="12">
        <f t="shared" si="35"/>
        <v>1</v>
      </c>
    </row>
    <row r="262" spans="1:31" ht="13.15">
      <c r="A262" s="8"/>
      <c r="B262" s="9"/>
      <c r="C262" s="9"/>
      <c r="D262" s="10"/>
      <c r="E262" s="10"/>
      <c r="F262" s="9"/>
      <c r="G262" s="9"/>
      <c r="H262" s="9"/>
      <c r="I262" s="9"/>
      <c r="J262" s="9"/>
      <c r="K262" s="9"/>
      <c r="L262" s="9"/>
      <c r="M262" s="9"/>
      <c r="N262" s="9"/>
      <c r="O262" s="9"/>
      <c r="P262" s="11" t="str">
        <f>IF(AC262&gt;=Reference!$H$2, Reference!$G$2, IF(AC262&gt;=Reference!$H$3, Reference!$G$3, IF(AC262&gt;=Reference!$H$4, Reference!$G$4, IF(AC262&gt;=Reference!$H$5, Reference!$G$5, ""))))</f>
        <v/>
      </c>
      <c r="Q262" s="11" t="str">
        <f t="shared" si="34"/>
        <v/>
      </c>
      <c r="R262" s="11" t="str">
        <f>IF(AE262&gt;=Reference!$D$2, Reference!$G$2, IF(AE262&gt;=Reference!$D$3, Reference!$E$3, IF(AE262&gt;=Reference!$D$4, Reference!$E$4, IF(AE262&gt;=Reference!$D$5, Reference!$E$5, ""))))</f>
        <v>Low</v>
      </c>
      <c r="S262" s="13"/>
      <c r="T262" s="12"/>
      <c r="U262" s="9"/>
      <c r="V262" s="9"/>
      <c r="W262" s="9"/>
      <c r="Y262" s="12">
        <f>IF(H262=Reference!$A$12, Reference!$C$12, IF(H262=Reference!$A$11, Reference!$C$11, IF(H262=Reference!$A$10, Reference!$C$10, IF(H262=Reference!$A$9, Reference!$C$9, 0))))</f>
        <v>0</v>
      </c>
      <c r="Z262" s="12">
        <f>IF(J262=Reference!$A$20, Reference!$C$20, IF(J262=Reference!$A$19, Reference!$C$19, IF(J262=Reference!$A$18, Reference!$C$18, IF(J262=Reference!$A$17, Reference!$C$17, 0))))</f>
        <v>0</v>
      </c>
      <c r="AA262" s="12">
        <f>IF(L262=Reference!$A$28, Reference!$C$28, IF(L262=Reference!$A$27, Reference!$C$27, IF(L262=Reference!$A$26, Reference!$C$26, IF(L262=Reference!$A$25, Reference!$C$25, 0))))</f>
        <v>0</v>
      </c>
      <c r="AB262" s="12">
        <f>IF(N262=Reference!$A$36, Reference!$C$36, IF(N262=Reference!$A$35, Reference!$C$35, IF(N262=Reference!$A$34, Reference!$C$34, IF(N262=Reference!$A$33, Reference!$C$33, 0))))</f>
        <v>0</v>
      </c>
      <c r="AC262" s="12">
        <f>(Reference!$B$2*Y262 + Reference!$B$3*AA262 + Reference!$B$4*Z262 + Reference!$B$5 * AB262)/4</f>
        <v>0</v>
      </c>
      <c r="AD262" s="12">
        <f>IF(Q262=Reference!$C$41, Reference!$D$41, IF(Q262=Reference!$C$42, Reference!$D$42, IF(Q262=Reference!$C$43, Reference!$D$43, IF(Q262=Reference!$C$44, Reference!$D$44, 0))))</f>
        <v>0</v>
      </c>
      <c r="AE262" s="12">
        <f t="shared" si="35"/>
        <v>1</v>
      </c>
    </row>
    <row r="263" spans="1:31" ht="14.45">
      <c r="A263" s="8"/>
      <c r="B263" s="9"/>
      <c r="C263" s="9"/>
      <c r="D263" s="10"/>
      <c r="E263" s="28"/>
      <c r="F263" s="9"/>
      <c r="G263" s="9"/>
      <c r="H263" s="9"/>
      <c r="I263" s="9"/>
      <c r="J263" s="9"/>
      <c r="K263" s="9"/>
      <c r="L263" s="9"/>
      <c r="M263" s="9"/>
      <c r="N263" s="9"/>
      <c r="O263" s="9"/>
      <c r="P263" s="11" t="str">
        <f>IF(AC263&gt;=Reference!$H$2, Reference!$G$2, IF(AC263&gt;=Reference!$H$3, Reference!$G$3, IF(AC263&gt;=Reference!$H$4, Reference!$G$4, IF(AC263&gt;=Reference!$H$5, Reference!$G$5, ""))))</f>
        <v/>
      </c>
      <c r="Q263" s="11" t="str">
        <f t="shared" si="34"/>
        <v/>
      </c>
      <c r="R263" s="11" t="str">
        <f>IF(AE263&gt;=Reference!$D$2, Reference!$G$2, IF(AE263&gt;=Reference!$D$3, Reference!$E$3, IF(AE263&gt;=Reference!$D$4, Reference!$E$4, IF(AE263&gt;=Reference!$D$5, Reference!$E$5, ""))))</f>
        <v>Low</v>
      </c>
      <c r="S263" s="13"/>
      <c r="T263" s="28"/>
      <c r="U263" s="9"/>
      <c r="V263" s="9"/>
      <c r="W263" s="9"/>
      <c r="Y263" s="12">
        <f>IF(H263=Reference!$A$12, Reference!$C$12, IF(H263=Reference!$A$11, Reference!$C$11, IF(H263=Reference!$A$10, Reference!$C$10, IF(H263=Reference!$A$9, Reference!$C$9, 0))))</f>
        <v>0</v>
      </c>
      <c r="Z263" s="12">
        <f>IF(J263=Reference!$A$20, Reference!$C$20, IF(J263=Reference!$A$19, Reference!$C$19, IF(J263=Reference!$A$18, Reference!$C$18, IF(J263=Reference!$A$17, Reference!$C$17, 0))))</f>
        <v>0</v>
      </c>
      <c r="AA263" s="12">
        <f>IF(L263=Reference!$A$28, Reference!$C$28, IF(L263=Reference!$A$27, Reference!$C$27, IF(L263=Reference!$A$26, Reference!$C$26, IF(L263=Reference!$A$25, Reference!$C$25, 0))))</f>
        <v>0</v>
      </c>
      <c r="AB263" s="12">
        <f>IF(N263=Reference!$A$36, Reference!$C$36, IF(N263=Reference!$A$35, Reference!$C$35, IF(N263=Reference!$A$34, Reference!$C$34, IF(N263=Reference!$A$33, Reference!$C$33, 0))))</f>
        <v>0</v>
      </c>
      <c r="AC263" s="12">
        <f>(Reference!$B$2*Y263 + Reference!$B$3*AA263 + Reference!$B$4*Z263 + Reference!$B$5 * AB263)/4</f>
        <v>0</v>
      </c>
      <c r="AD263" s="12">
        <f>IF(Q263=Reference!$C$41, Reference!$D$41, IF(Q263=Reference!$C$42, Reference!$D$42, IF(Q263=Reference!$C$43, Reference!$D$43, IF(Q263=Reference!$C$44, Reference!$D$44, 0))))</f>
        <v>0</v>
      </c>
      <c r="AE263" s="12">
        <f t="shared" si="35"/>
        <v>1</v>
      </c>
    </row>
    <row r="264" spans="1:31" ht="13.15">
      <c r="A264" s="8"/>
      <c r="B264" s="9"/>
      <c r="C264" s="9"/>
      <c r="D264" s="10"/>
      <c r="E264" s="10"/>
      <c r="F264" s="9"/>
      <c r="G264" s="19"/>
      <c r="H264" s="9"/>
      <c r="I264" s="9"/>
      <c r="J264" s="9"/>
      <c r="K264" s="9"/>
      <c r="L264" s="9"/>
      <c r="M264" s="19"/>
      <c r="N264" s="9"/>
      <c r="O264" s="19"/>
      <c r="P264" s="11" t="str">
        <f>IF(AC264&gt;=Reference!$H$2, Reference!$G$2, IF(AC264&gt;=Reference!$H$3, Reference!$G$3, IF(AC264&gt;=Reference!$H$4, Reference!$G$4, IF(AC264&gt;=Reference!$H$5, Reference!$G$5, ""))))</f>
        <v/>
      </c>
      <c r="Q264" s="11" t="str">
        <f t="shared" si="34"/>
        <v/>
      </c>
      <c r="R264" s="11" t="str">
        <f>IF(AE264&gt;=Reference!$D$2, Reference!$G$2, IF(AE264&gt;=Reference!$D$3, Reference!$E$3, IF(AE264&gt;=Reference!$D$4, Reference!$E$4, IF(AE264&gt;=Reference!$D$5, Reference!$E$5, ""))))</f>
        <v>Low</v>
      </c>
      <c r="S264" s="13"/>
      <c r="T264" s="19"/>
      <c r="U264" s="9"/>
      <c r="V264" s="9"/>
      <c r="W264" s="9"/>
      <c r="Y264" s="12">
        <f>IF(H264=Reference!$A$12, Reference!$C$12, IF(H264=Reference!$A$11, Reference!$C$11, IF(H264=Reference!$A$10, Reference!$C$10, IF(H264=Reference!$A$9, Reference!$C$9, 0))))</f>
        <v>0</v>
      </c>
      <c r="Z264" s="12">
        <f>IF(J264=Reference!$A$20, Reference!$C$20, IF(J264=Reference!$A$19, Reference!$C$19, IF(J264=Reference!$A$18, Reference!$C$18, IF(J264=Reference!$A$17, Reference!$C$17, 0))))</f>
        <v>0</v>
      </c>
      <c r="AA264" s="12">
        <f>IF(L264=Reference!$A$28, Reference!$C$28, IF(L264=Reference!$A$27, Reference!$C$27, IF(L264=Reference!$A$26, Reference!$C$26, IF(L264=Reference!$A$25, Reference!$C$25, 0))))</f>
        <v>0</v>
      </c>
      <c r="AB264" s="12">
        <f>IF(N264=Reference!$A$36, Reference!$C$36, IF(N264=Reference!$A$35, Reference!$C$35, IF(N264=Reference!$A$34, Reference!$C$34, IF(N264=Reference!$A$33, Reference!$C$33, 0))))</f>
        <v>0</v>
      </c>
      <c r="AC264" s="12">
        <f>(Reference!$B$2*Y264 + Reference!$B$3*AA264 + Reference!$B$4*Z264 + Reference!$B$5 * AB264)/4</f>
        <v>0</v>
      </c>
      <c r="AD264" s="12">
        <f>IF(Q264=Reference!$C$41, Reference!$D$41, IF(Q264=Reference!$C$42, Reference!$D$42, IF(Q264=Reference!$C$43, Reference!$D$43, IF(Q264=Reference!$C$44, Reference!$D$44, 0))))</f>
        <v>0</v>
      </c>
      <c r="AE264" s="12">
        <f t="shared" si="35"/>
        <v>1</v>
      </c>
    </row>
    <row r="265" spans="1:31" ht="13.15">
      <c r="A265" s="8"/>
      <c r="B265" s="9"/>
      <c r="C265" s="9"/>
      <c r="D265" s="10"/>
      <c r="E265" s="10"/>
      <c r="F265" s="9"/>
      <c r="G265" s="9"/>
      <c r="H265" s="9"/>
      <c r="I265" s="9"/>
      <c r="J265" s="9"/>
      <c r="K265" s="9"/>
      <c r="L265" s="9"/>
      <c r="M265" s="9"/>
      <c r="N265" s="9"/>
      <c r="O265" s="9"/>
      <c r="P265" s="11" t="str">
        <f>IF(AC265&gt;=Reference!$H$2, Reference!$G$2, IF(AC265&gt;=Reference!$H$3, Reference!$G$3, IF(AC265&gt;=Reference!$H$4, Reference!$G$4, IF(AC265&gt;=Reference!$H$5, Reference!$G$5, ""))))</f>
        <v/>
      </c>
      <c r="Q265" s="11" t="str">
        <f t="shared" si="34"/>
        <v/>
      </c>
      <c r="R265" s="11" t="str">
        <f>IF(AE265&gt;=Reference!$D$2, Reference!$G$2, IF(AE265&gt;=Reference!$D$3, Reference!$E$3, IF(AE265&gt;=Reference!$D$4, Reference!$E$4, IF(AE265&gt;=Reference!$D$5, Reference!$E$5, ""))))</f>
        <v>Low</v>
      </c>
      <c r="S265" s="13"/>
      <c r="T265" s="12"/>
      <c r="U265" s="9"/>
      <c r="V265" s="9"/>
      <c r="W265" s="9"/>
      <c r="Y265" s="12">
        <f>IF(H265=Reference!$A$12, Reference!$C$12, IF(H265=Reference!$A$11, Reference!$C$11, IF(H265=Reference!$A$10, Reference!$C$10, IF(H265=Reference!$A$9, Reference!$C$9, 0))))</f>
        <v>0</v>
      </c>
      <c r="Z265" s="12">
        <f>IF(J265=Reference!$A$20, Reference!$C$20, IF(J265=Reference!$A$19, Reference!$C$19, IF(J265=Reference!$A$18, Reference!$C$18, IF(J265=Reference!$A$17, Reference!$C$17, 0))))</f>
        <v>0</v>
      </c>
      <c r="AA265" s="12">
        <f>IF(L265=Reference!$A$28, Reference!$C$28, IF(L265=Reference!$A$27, Reference!$C$27, IF(L265=Reference!$A$26, Reference!$C$26, IF(L265=Reference!$A$25, Reference!$C$25, 0))))</f>
        <v>0</v>
      </c>
      <c r="AB265" s="12">
        <f>IF(N265=Reference!$A$36, Reference!$C$36, IF(N265=Reference!$A$35, Reference!$C$35, IF(N265=Reference!$A$34, Reference!$C$34, IF(N265=Reference!$A$33, Reference!$C$33, 0))))</f>
        <v>0</v>
      </c>
      <c r="AC265" s="12">
        <f>(Reference!$B$2*Y265 + Reference!$B$3*AA265 + Reference!$B$4*Z265 + Reference!$B$5 * AB265)/4</f>
        <v>0</v>
      </c>
      <c r="AD265" s="12">
        <f>IF(Q265=Reference!$C$41, Reference!$D$41, IF(Q265=Reference!$C$42, Reference!$D$42, IF(Q265=Reference!$C$43, Reference!$D$43, IF(Q265=Reference!$C$44, Reference!$D$44, 0))))</f>
        <v>0</v>
      </c>
      <c r="AE265" s="12">
        <f t="shared" si="35"/>
        <v>1</v>
      </c>
    </row>
    <row r="266" spans="1:31" ht="13.15">
      <c r="A266" s="8"/>
      <c r="B266" s="9"/>
      <c r="C266" s="9"/>
      <c r="D266" s="10"/>
      <c r="E266" s="10"/>
      <c r="F266" s="9"/>
      <c r="G266" s="9"/>
      <c r="H266" s="9"/>
      <c r="I266" s="9"/>
      <c r="J266" s="9"/>
      <c r="K266" s="9"/>
      <c r="L266" s="9"/>
      <c r="M266" s="9"/>
      <c r="N266" s="9"/>
      <c r="O266" s="9"/>
      <c r="P266" s="11" t="str">
        <f>IF(AC266&gt;=Reference!$H$2, Reference!$G$2, IF(AC266&gt;=Reference!$H$3, Reference!$G$3, IF(AC266&gt;=Reference!$H$4, Reference!$G$4, IF(AC266&gt;=Reference!$H$5, Reference!$G$5, ""))))</f>
        <v/>
      </c>
      <c r="Q266" s="11" t="str">
        <f t="shared" si="34"/>
        <v/>
      </c>
      <c r="R266" s="11" t="str">
        <f>IF(AE266&gt;=Reference!$D$2, Reference!$G$2, IF(AE266&gt;=Reference!$D$3, Reference!$E$3, IF(AE266&gt;=Reference!$D$4, Reference!$E$4, IF(AE266&gt;=Reference!$D$5, Reference!$E$5, ""))))</f>
        <v>Low</v>
      </c>
      <c r="S266" s="13"/>
      <c r="T266" s="12"/>
      <c r="U266" s="9"/>
      <c r="V266" s="9"/>
      <c r="W266" s="9"/>
      <c r="Y266" s="12">
        <f>IF(H266=Reference!$A$12, Reference!$C$12, IF(H266=Reference!$A$11, Reference!$C$11, IF(H266=Reference!$A$10, Reference!$C$10, IF(H266=Reference!$A$9, Reference!$C$9, 0))))</f>
        <v>0</v>
      </c>
      <c r="Z266" s="12">
        <f>IF(J266=Reference!$A$20, Reference!$C$20, IF(J266=Reference!$A$19, Reference!$C$19, IF(J266=Reference!$A$18, Reference!$C$18, IF(J266=Reference!$A$17, Reference!$C$17, 0))))</f>
        <v>0</v>
      </c>
      <c r="AA266" s="12">
        <f>IF(L266=Reference!$A$28, Reference!$C$28, IF(L266=Reference!$A$27, Reference!$C$27, IF(L266=Reference!$A$26, Reference!$C$26, IF(L266=Reference!$A$25, Reference!$C$25, 0))))</f>
        <v>0</v>
      </c>
      <c r="AB266" s="12">
        <f>IF(N266=Reference!$A$36, Reference!$C$36, IF(N266=Reference!$A$35, Reference!$C$35, IF(N266=Reference!$A$34, Reference!$C$34, IF(N266=Reference!$A$33, Reference!$C$33, 0))))</f>
        <v>0</v>
      </c>
      <c r="AC266" s="12">
        <f>(Reference!$B$2*Y266 + Reference!$B$3*AA266 + Reference!$B$4*Z266 + Reference!$B$5 * AB266)/4</f>
        <v>0</v>
      </c>
      <c r="AD266" s="12">
        <f>IF(Q266=Reference!$C$41, Reference!$D$41, IF(Q266=Reference!$C$42, Reference!$D$42, IF(Q266=Reference!$C$43, Reference!$D$43, IF(Q266=Reference!$C$44, Reference!$D$44, 0))))</f>
        <v>0</v>
      </c>
      <c r="AE266" s="12">
        <f t="shared" si="35"/>
        <v>1</v>
      </c>
    </row>
    <row r="267" spans="1:31" ht="13.15">
      <c r="A267" s="8"/>
      <c r="B267" s="9"/>
      <c r="C267" s="9"/>
      <c r="D267" s="10"/>
      <c r="E267" s="10"/>
      <c r="F267" s="9"/>
      <c r="G267" s="9"/>
      <c r="H267" s="9"/>
      <c r="I267" s="9"/>
      <c r="J267" s="9"/>
      <c r="K267" s="9"/>
      <c r="L267" s="9"/>
      <c r="M267" s="9"/>
      <c r="N267" s="9"/>
      <c r="O267" s="9"/>
      <c r="P267" s="11" t="str">
        <f>IF(AC267&gt;=Reference!$H$2, Reference!$G$2, IF(AC267&gt;=Reference!$H$3, Reference!$G$3, IF(AC267&gt;=Reference!$H$4, Reference!$G$4, IF(AC267&gt;=Reference!$H$5, Reference!$G$5, ""))))</f>
        <v/>
      </c>
      <c r="Q267" s="11" t="str">
        <f t="shared" si="34"/>
        <v/>
      </c>
      <c r="R267" s="11" t="str">
        <f>IF(AE267&gt;=Reference!$D$2, Reference!$G$2, IF(AE267&gt;=Reference!$D$3, Reference!$E$3, IF(AE267&gt;=Reference!$D$4, Reference!$E$4, IF(AE267&gt;=Reference!$D$5, Reference!$E$5, ""))))</f>
        <v>Low</v>
      </c>
      <c r="S267" s="13"/>
      <c r="T267" s="12"/>
      <c r="U267" s="9"/>
      <c r="V267" s="9"/>
      <c r="W267" s="9"/>
      <c r="Y267" s="12">
        <f>IF(H267=Reference!$A$12, Reference!$C$12, IF(H267=Reference!$A$11, Reference!$C$11, IF(H267=Reference!$A$10, Reference!$C$10, IF(H267=Reference!$A$9, Reference!$C$9, 0))))</f>
        <v>0</v>
      </c>
      <c r="Z267" s="12">
        <f>IF(J267=Reference!$A$20, Reference!$C$20, IF(J267=Reference!$A$19, Reference!$C$19, IF(J267=Reference!$A$18, Reference!$C$18, IF(J267=Reference!$A$17, Reference!$C$17, 0))))</f>
        <v>0</v>
      </c>
      <c r="AA267" s="12">
        <f>IF(L267=Reference!$A$28, Reference!$C$28, IF(L267=Reference!$A$27, Reference!$C$27, IF(L267=Reference!$A$26, Reference!$C$26, IF(L267=Reference!$A$25, Reference!$C$25, 0))))</f>
        <v>0</v>
      </c>
      <c r="AB267" s="12">
        <f>IF(N267=Reference!$A$36, Reference!$C$36, IF(N267=Reference!$A$35, Reference!$C$35, IF(N267=Reference!$A$34, Reference!$C$34, IF(N267=Reference!$A$33, Reference!$C$33, 0))))</f>
        <v>0</v>
      </c>
      <c r="AC267" s="12">
        <f>(Reference!$B$2*Y267 + Reference!$B$3*AA267 + Reference!$B$4*Z267 + Reference!$B$5 * AB267)/4</f>
        <v>0</v>
      </c>
      <c r="AD267" s="12">
        <f>IF(Q267=Reference!$C$41, Reference!$D$41, IF(Q267=Reference!$C$42, Reference!$D$42, IF(Q267=Reference!$C$43, Reference!$D$43, IF(Q267=Reference!$C$44, Reference!$D$44, 0))))</f>
        <v>0</v>
      </c>
      <c r="AE267" s="12">
        <f t="shared" si="35"/>
        <v>1</v>
      </c>
    </row>
    <row r="268" spans="1:31" ht="13.15">
      <c r="A268" s="8"/>
      <c r="B268" s="9"/>
      <c r="C268" s="9"/>
      <c r="D268" s="10"/>
      <c r="E268" s="10"/>
      <c r="F268" s="9"/>
      <c r="G268" s="9"/>
      <c r="H268" s="9"/>
      <c r="I268" s="9"/>
      <c r="J268" s="9"/>
      <c r="K268" s="9"/>
      <c r="L268" s="9"/>
      <c r="M268" s="9"/>
      <c r="N268" s="9"/>
      <c r="O268" s="9"/>
      <c r="P268" s="11" t="str">
        <f>IF(AC268&gt;=Reference!$H$2, Reference!$G$2, IF(AC268&gt;=Reference!$H$3, Reference!$G$3, IF(AC268&gt;=Reference!$H$4, Reference!$G$4, IF(AC268&gt;=Reference!$H$5, Reference!$G$5, ""))))</f>
        <v/>
      </c>
      <c r="Q268" s="11" t="str">
        <f t="shared" si="34"/>
        <v/>
      </c>
      <c r="R268" s="11" t="str">
        <f>IF(AE268&gt;=Reference!$D$2, Reference!$G$2, IF(AE268&gt;=Reference!$D$3, Reference!$E$3, IF(AE268&gt;=Reference!$D$4, Reference!$E$4, IF(AE268&gt;=Reference!$D$5, Reference!$E$5, ""))))</f>
        <v>Low</v>
      </c>
      <c r="S268" s="13"/>
      <c r="T268" s="12"/>
      <c r="U268" s="9"/>
      <c r="V268" s="9"/>
      <c r="W268" s="9"/>
      <c r="Y268" s="12">
        <f>IF(H268=Reference!$A$12, Reference!$C$12, IF(H268=Reference!$A$11, Reference!$C$11, IF(H268=Reference!$A$10, Reference!$C$10, IF(H268=Reference!$A$9, Reference!$C$9, 0))))</f>
        <v>0</v>
      </c>
      <c r="Z268" s="12">
        <f>IF(J268=Reference!$A$20, Reference!$C$20, IF(J268=Reference!$A$19, Reference!$C$19, IF(J268=Reference!$A$18, Reference!$C$18, IF(J268=Reference!$A$17, Reference!$C$17, 0))))</f>
        <v>0</v>
      </c>
      <c r="AA268" s="12">
        <f>IF(L268=Reference!$A$28, Reference!$C$28, IF(L268=Reference!$A$27, Reference!$C$27, IF(L268=Reference!$A$26, Reference!$C$26, IF(L268=Reference!$A$25, Reference!$C$25, 0))))</f>
        <v>0</v>
      </c>
      <c r="AB268" s="12">
        <f>IF(N268=Reference!$A$36, Reference!$C$36, IF(N268=Reference!$A$35, Reference!$C$35, IF(N268=Reference!$A$34, Reference!$C$34, IF(N268=Reference!$A$33, Reference!$C$33, 0))))</f>
        <v>0</v>
      </c>
      <c r="AC268" s="12">
        <f>(Reference!$B$2*Y268 + Reference!$B$3*AA268 + Reference!$B$4*Z268 + Reference!$B$5 * AB268)/4</f>
        <v>0</v>
      </c>
      <c r="AD268" s="12">
        <f>IF(Q268=Reference!$C$41, Reference!$D$41, IF(Q268=Reference!$C$42, Reference!$D$42, IF(Q268=Reference!$C$43, Reference!$D$43, IF(Q268=Reference!$C$44, Reference!$D$44, 0))))</f>
        <v>0</v>
      </c>
      <c r="AE268" s="12">
        <f t="shared" si="35"/>
        <v>1</v>
      </c>
    </row>
    <row r="269" spans="1:31" ht="13.15">
      <c r="A269" s="8"/>
      <c r="B269" s="9"/>
      <c r="C269" s="9"/>
      <c r="D269" s="10"/>
      <c r="E269" s="10"/>
      <c r="F269" s="9"/>
      <c r="G269" s="9"/>
      <c r="H269" s="9"/>
      <c r="I269" s="9"/>
      <c r="J269" s="9"/>
      <c r="K269" s="9"/>
      <c r="L269" s="9"/>
      <c r="M269" s="9"/>
      <c r="N269" s="9"/>
      <c r="O269" s="9"/>
      <c r="P269" s="11" t="str">
        <f>IF(AC269&gt;=Reference!$H$2, Reference!$G$2, IF(AC269&gt;=Reference!$H$3, Reference!$G$3, IF(AC269&gt;=Reference!$H$4, Reference!$G$4, IF(AC269&gt;=Reference!$H$5, Reference!$G$5, ""))))</f>
        <v/>
      </c>
      <c r="Q269" s="11" t="str">
        <f t="shared" si="34"/>
        <v/>
      </c>
      <c r="R269" s="11" t="str">
        <f>IF(AE269&gt;=Reference!$D$2, Reference!$G$2, IF(AE269&gt;=Reference!$D$3, Reference!$E$3, IF(AE269&gt;=Reference!$D$4, Reference!$E$4, IF(AE269&gt;=Reference!$D$5, Reference!$E$5, ""))))</f>
        <v>Low</v>
      </c>
      <c r="S269" s="13"/>
      <c r="T269" s="12"/>
      <c r="U269" s="9"/>
      <c r="V269" s="9"/>
      <c r="W269" s="9"/>
      <c r="X269" s="1"/>
      <c r="Y269" s="12">
        <f>IF(H269=Reference!$A$12, Reference!$C$12, IF(H269=Reference!$A$11, Reference!$C$11, IF(H269=Reference!$A$10, Reference!$C$10, IF(H269=Reference!$A$9, Reference!$C$9, 0))))</f>
        <v>0</v>
      </c>
      <c r="Z269" s="12">
        <f>IF(J269=Reference!$A$20, Reference!$C$20, IF(J269=Reference!$A$19, Reference!$C$19, IF(J269=Reference!$A$18, Reference!$C$18, IF(J269=Reference!$A$17, Reference!$C$17, 0))))</f>
        <v>0</v>
      </c>
      <c r="AA269" s="12">
        <f>IF(L269=Reference!$A$28, Reference!$C$28, IF(L269=Reference!$A$27, Reference!$C$27, IF(L269=Reference!$A$26, Reference!$C$26, IF(L269=Reference!$A$25, Reference!$C$25, 0))))</f>
        <v>0</v>
      </c>
      <c r="AB269" s="12">
        <f>IF(N269=Reference!$A$36, Reference!$C$36, IF(N269=Reference!$A$35, Reference!$C$35, IF(N269=Reference!$A$34, Reference!$C$34, IF(N269=Reference!$A$33, Reference!$C$33, 0))))</f>
        <v>0</v>
      </c>
      <c r="AC269" s="12">
        <f>(Reference!$B$2*Y269 + Reference!$B$3*AA269 + Reference!$B$4*Z269 + Reference!$B$5 * AB269)/4</f>
        <v>0</v>
      </c>
      <c r="AD269" s="12">
        <f>IF(Q269=Reference!$C$41, Reference!$D$41, IF(Q269=Reference!$C$42, Reference!$D$42, IF(Q269=Reference!$C$43, Reference!$D$43, IF(Q269=Reference!$C$44, Reference!$D$44, 0))))</f>
        <v>0</v>
      </c>
      <c r="AE269" s="12">
        <f t="shared" si="35"/>
        <v>1</v>
      </c>
    </row>
    <row r="270" spans="1:31" ht="13.15">
      <c r="A270" s="8"/>
      <c r="B270" s="9"/>
      <c r="C270" s="9"/>
      <c r="D270" s="10"/>
      <c r="E270" s="10"/>
      <c r="F270" s="9"/>
      <c r="G270" s="9"/>
      <c r="H270" s="9"/>
      <c r="I270" s="9"/>
      <c r="J270" s="9"/>
      <c r="K270" s="9"/>
      <c r="L270" s="9"/>
      <c r="M270" s="9"/>
      <c r="N270" s="9"/>
      <c r="O270" s="9"/>
      <c r="P270" s="11" t="str">
        <f>IF(AC270&gt;=Reference!$H$2, Reference!$G$2, IF(AC270&gt;=Reference!$H$3, Reference!$G$3, IF(AC270&gt;=Reference!$H$4, Reference!$G$4, IF(AC270&gt;=Reference!$H$5, Reference!$G$5, ""))))</f>
        <v/>
      </c>
      <c r="Q270" s="11" t="str">
        <f t="shared" si="34"/>
        <v/>
      </c>
      <c r="R270" s="11" t="str">
        <f>IF(AE270&gt;=Reference!$D$2, Reference!$G$2, IF(AE270&gt;=Reference!$D$3, Reference!$E$3, IF(AE270&gt;=Reference!$D$4, Reference!$E$4, IF(AE270&gt;=Reference!$D$5, Reference!$E$5, ""))))</f>
        <v>Low</v>
      </c>
      <c r="S270" s="13"/>
      <c r="T270" s="26"/>
      <c r="U270" s="9"/>
      <c r="V270" s="9"/>
      <c r="W270" s="29"/>
      <c r="Y270" s="12">
        <f>IF(H270=Reference!$A$12, Reference!$C$12, IF(H270=Reference!$A$11, Reference!$C$11, IF(H270=Reference!$A$10, Reference!$C$10, IF(H270=Reference!$A$9, Reference!$C$9, 0))))</f>
        <v>0</v>
      </c>
      <c r="Z270" s="12">
        <f>IF(J270=Reference!$A$20, Reference!$C$20, IF(J270=Reference!$A$19, Reference!$C$19, IF(J270=Reference!$A$18, Reference!$C$18, IF(J270=Reference!$A$17, Reference!$C$17, 0))))</f>
        <v>0</v>
      </c>
      <c r="AA270" s="12">
        <f>IF(L270=Reference!$A$28, Reference!$C$28, IF(L270=Reference!$A$27, Reference!$C$27, IF(L270=Reference!$A$26, Reference!$C$26, IF(L270=Reference!$A$25, Reference!$C$25, 0))))</f>
        <v>0</v>
      </c>
      <c r="AB270" s="12">
        <f>IF(N270=Reference!$A$36, Reference!$C$36, IF(N270=Reference!$A$35, Reference!$C$35, IF(N270=Reference!$A$34, Reference!$C$34, IF(N270=Reference!$A$33, Reference!$C$33, 0))))</f>
        <v>0</v>
      </c>
      <c r="AC270" s="12">
        <f>(Reference!$B$2*Y270 + Reference!$B$3*AA270 + Reference!$B$4*Z270 + Reference!$B$5 * AB270)/4</f>
        <v>0</v>
      </c>
      <c r="AD270" s="12">
        <f>IF(Q270=Reference!$C$41, Reference!$D$41, IF(Q270=Reference!$C$42, Reference!$D$42, IF(Q270=Reference!$C$43, Reference!$D$43, IF(Q270=Reference!$C$44, Reference!$D$44, 0))))</f>
        <v>0</v>
      </c>
      <c r="AE270" s="12">
        <f t="shared" si="35"/>
        <v>1</v>
      </c>
    </row>
    <row r="271" spans="1:31" ht="13.15">
      <c r="A271" s="8"/>
      <c r="B271" s="9"/>
      <c r="C271" s="9"/>
      <c r="D271" s="10"/>
      <c r="E271" s="18"/>
      <c r="F271" s="9"/>
      <c r="G271" s="9"/>
      <c r="H271" s="9"/>
      <c r="I271" s="19"/>
      <c r="J271" s="9"/>
      <c r="K271" s="19"/>
      <c r="L271" s="9"/>
      <c r="M271" s="19"/>
      <c r="N271" s="9"/>
      <c r="O271" s="19"/>
      <c r="P271" s="11" t="str">
        <f>IF(AC271&gt;=Reference!$H$2, Reference!$G$2, IF(AC271&gt;=Reference!$H$3, Reference!$G$3, IF(AC271&gt;=Reference!$H$4, Reference!$G$4, IF(AC271&gt;=Reference!$H$5, Reference!$G$5, ""))))</f>
        <v/>
      </c>
      <c r="Q271" s="11" t="str">
        <f t="shared" si="34"/>
        <v/>
      </c>
      <c r="R271" s="11" t="str">
        <f>IF(AE271&gt;=Reference!$D$2, Reference!$G$2, IF(AE271&gt;=Reference!$D$3, Reference!$E$3, IF(AE271&gt;=Reference!$D$4, Reference!$E$4, IF(AE271&gt;=Reference!$D$5, Reference!$E$5, ""))))</f>
        <v>Low</v>
      </c>
      <c r="S271" s="13"/>
      <c r="T271" s="21"/>
      <c r="U271" s="19"/>
      <c r="V271" s="19"/>
      <c r="W271" s="9"/>
      <c r="Y271" s="12">
        <f>IF(H271=Reference!$A$12, Reference!$C$12, IF(H271=Reference!$A$11, Reference!$C$11, IF(H271=Reference!$A$10, Reference!$C$10, IF(H271=Reference!$A$9, Reference!$C$9, 0))))</f>
        <v>0</v>
      </c>
      <c r="Z271" s="12">
        <f>IF(J271=Reference!$A$20, Reference!$C$20, IF(J271=Reference!$A$19, Reference!$C$19, IF(J271=Reference!$A$18, Reference!$C$18, IF(J271=Reference!$A$17, Reference!$C$17, 0))))</f>
        <v>0</v>
      </c>
      <c r="AA271" s="12">
        <f>IF(L271=Reference!$A$28, Reference!$C$28, IF(L271=Reference!$A$27, Reference!$C$27, IF(L271=Reference!$A$26, Reference!$C$26, IF(L271=Reference!$A$25, Reference!$C$25, 0))))</f>
        <v>0</v>
      </c>
      <c r="AB271" s="12">
        <f>IF(N271=Reference!$A$36, Reference!$C$36, IF(N271=Reference!$A$35, Reference!$C$35, IF(N271=Reference!$A$34, Reference!$C$34, IF(N271=Reference!$A$33, Reference!$C$33, 0))))</f>
        <v>0</v>
      </c>
      <c r="AC271" s="12">
        <f>(Reference!$B$2*Y271 + Reference!$B$3*AA271 + Reference!$B$4*Z271 + Reference!$B$5 * AB271)/4</f>
        <v>0</v>
      </c>
      <c r="AD271" s="12">
        <f>IF(Q271=Reference!$C$41, Reference!$D$41, IF(Q271=Reference!$C$42, Reference!$D$42, IF(Q271=Reference!$C$43, Reference!$D$43, IF(Q271=Reference!$C$44, Reference!$D$44, 0))))</f>
        <v>0</v>
      </c>
      <c r="AE271" s="12">
        <f t="shared" si="35"/>
        <v>1</v>
      </c>
    </row>
    <row r="272" spans="1:31" ht="13.15">
      <c r="A272" s="8"/>
      <c r="B272" s="9"/>
      <c r="C272" s="9"/>
      <c r="D272" s="10"/>
      <c r="E272" s="18"/>
      <c r="F272" s="9"/>
      <c r="G272" s="9"/>
      <c r="H272" s="9"/>
      <c r="I272" s="19"/>
      <c r="J272" s="9"/>
      <c r="K272" s="19"/>
      <c r="L272" s="9"/>
      <c r="M272" s="19"/>
      <c r="N272" s="9"/>
      <c r="O272" s="19"/>
      <c r="P272" s="11" t="str">
        <f>IF(AC272&gt;=Reference!$H$2, Reference!$G$2, IF(AC272&gt;=Reference!$H$3, Reference!$G$3, IF(AC272&gt;=Reference!$H$4, Reference!$G$4, IF(AC272&gt;=Reference!$H$5, Reference!$G$5, ""))))</f>
        <v/>
      </c>
      <c r="Q272" s="11" t="str">
        <f t="shared" si="34"/>
        <v/>
      </c>
      <c r="R272" s="11" t="str">
        <f>IF(AE272&gt;=Reference!$D$2, Reference!$G$2, IF(AE272&gt;=Reference!$D$3, Reference!$E$3, IF(AE272&gt;=Reference!$D$4, Reference!$E$4, IF(AE272&gt;=Reference!$D$5, Reference!$E$5, ""))))</f>
        <v>Low</v>
      </c>
      <c r="S272" s="13"/>
      <c r="T272" s="12"/>
      <c r="U272" s="19"/>
      <c r="V272" s="19"/>
      <c r="W272" s="9"/>
      <c r="Y272" s="12">
        <f>IF(H272=Reference!$A$12, Reference!$C$12, IF(H272=Reference!$A$11, Reference!$C$11, IF(H272=Reference!$A$10, Reference!$C$10, IF(H272=Reference!$A$9, Reference!$C$9, 0))))</f>
        <v>0</v>
      </c>
      <c r="Z272" s="12">
        <f>IF(J272=Reference!$A$20, Reference!$C$20, IF(J272=Reference!$A$19, Reference!$C$19, IF(J272=Reference!$A$18, Reference!$C$18, IF(J272=Reference!$A$17, Reference!$C$17, 0))))</f>
        <v>0</v>
      </c>
      <c r="AA272" s="12">
        <f>IF(L272=Reference!$A$28, Reference!$C$28, IF(L272=Reference!$A$27, Reference!$C$27, IF(L272=Reference!$A$26, Reference!$C$26, IF(L272=Reference!$A$25, Reference!$C$25, 0))))</f>
        <v>0</v>
      </c>
      <c r="AB272" s="12">
        <f>IF(N272=Reference!$A$36, Reference!$C$36, IF(N272=Reference!$A$35, Reference!$C$35, IF(N272=Reference!$A$34, Reference!$C$34, IF(N272=Reference!$A$33, Reference!$C$33, 0))))</f>
        <v>0</v>
      </c>
      <c r="AC272" s="12">
        <f>(Reference!$B$2*Y272 + Reference!$B$3*AA272 + Reference!$B$4*Z272 + Reference!$B$5 * AB272)/4</f>
        <v>0</v>
      </c>
      <c r="AD272" s="12">
        <f>IF(Q272=Reference!$C$41, Reference!$D$41, IF(Q272=Reference!$C$42, Reference!$D$42, IF(Q272=Reference!$C$43, Reference!$D$43, IF(Q272=Reference!$C$44, Reference!$D$44, 0))))</f>
        <v>0</v>
      </c>
      <c r="AE272" s="12">
        <f t="shared" si="35"/>
        <v>1</v>
      </c>
    </row>
    <row r="273" spans="1:31" ht="13.15">
      <c r="A273" s="8"/>
      <c r="B273" s="9"/>
      <c r="C273" s="9"/>
      <c r="D273" s="10"/>
      <c r="E273" s="10"/>
      <c r="F273" s="9"/>
      <c r="G273" s="9"/>
      <c r="H273" s="9"/>
      <c r="I273" s="9"/>
      <c r="J273" s="9"/>
      <c r="K273" s="19"/>
      <c r="L273" s="9"/>
      <c r="M273" s="9"/>
      <c r="N273" s="9"/>
      <c r="O273" s="9"/>
      <c r="P273" s="11" t="str">
        <f>IF(AC273&gt;=Reference!$H$2, Reference!$G$2, IF(AC273&gt;=Reference!$H$3, Reference!$G$3, IF(AC273&gt;=Reference!$H$4, Reference!$G$4, IF(AC273&gt;=Reference!$H$5, Reference!$G$5, ""))))</f>
        <v/>
      </c>
      <c r="Q273" s="11" t="str">
        <f t="shared" ref="Q273:Q338" si="36">IF(F273="Physical", "Very Low", IF(F273="Local", "Low", IF(F273="Adjacent", "Medium", IF(F273="Network", "High", ""))))</f>
        <v/>
      </c>
      <c r="R273" s="11" t="str">
        <f>IF(AE273&gt;=Reference!$D$2, Reference!$G$2, IF(AE273&gt;=Reference!$D$3, Reference!$E$3, IF(AE273&gt;=Reference!$D$4, Reference!$E$4, IF(AE273&gt;=Reference!$D$5, Reference!$E$5, ""))))</f>
        <v>Low</v>
      </c>
      <c r="S273" s="13"/>
      <c r="T273" s="12"/>
      <c r="U273" s="9"/>
      <c r="V273" s="9"/>
      <c r="W273" s="9"/>
      <c r="Y273" s="12">
        <f>IF(H273=Reference!$A$12, Reference!$C$12, IF(H273=Reference!$A$11, Reference!$C$11, IF(H273=Reference!$A$10, Reference!$C$10, IF(H273=Reference!$A$9, Reference!$C$9, 0))))</f>
        <v>0</v>
      </c>
      <c r="Z273" s="12">
        <f>IF(J273=Reference!$A$20, Reference!$C$20, IF(J273=Reference!$A$19, Reference!$C$19, IF(J273=Reference!$A$18, Reference!$C$18, IF(J273=Reference!$A$17, Reference!$C$17, 0))))</f>
        <v>0</v>
      </c>
      <c r="AA273" s="12">
        <f>IF(L273=Reference!$A$28, Reference!$C$28, IF(L273=Reference!$A$27, Reference!$C$27, IF(L273=Reference!$A$26, Reference!$C$26, IF(L273=Reference!$A$25, Reference!$C$25, 0))))</f>
        <v>0</v>
      </c>
      <c r="AB273" s="12">
        <f>IF(N273=Reference!$A$36, Reference!$C$36, IF(N273=Reference!$A$35, Reference!$C$35, IF(N273=Reference!$A$34, Reference!$C$34, IF(N273=Reference!$A$33, Reference!$C$33, 0))))</f>
        <v>0</v>
      </c>
      <c r="AC273" s="12">
        <f>(Reference!$B$2*Y273 + Reference!$B$3*AA273 + Reference!$B$4*Z273 + Reference!$B$5 * AB273)/4</f>
        <v>0</v>
      </c>
      <c r="AD273" s="12">
        <f>IF(Q273=Reference!$C$41, Reference!$D$41, IF(Q273=Reference!$C$42, Reference!$D$42, IF(Q273=Reference!$C$43, Reference!$D$43, IF(Q273=Reference!$C$44, Reference!$D$44, 0))))</f>
        <v>0</v>
      </c>
      <c r="AE273" s="12">
        <f t="shared" ref="AE273:AE336" si="37">1 + (AC273 * AD273)</f>
        <v>1</v>
      </c>
    </row>
    <row r="274" spans="1:31" ht="13.15">
      <c r="A274" s="8"/>
      <c r="B274" s="9"/>
      <c r="C274" s="9"/>
      <c r="D274" s="10"/>
      <c r="E274" s="10"/>
      <c r="F274" s="9"/>
      <c r="G274" s="9"/>
      <c r="H274" s="9"/>
      <c r="I274" s="9"/>
      <c r="J274" s="9"/>
      <c r="K274" s="9"/>
      <c r="L274" s="9"/>
      <c r="M274" s="9"/>
      <c r="N274" s="9"/>
      <c r="O274" s="9"/>
      <c r="P274" s="11" t="str">
        <f>IF(AC274&gt;=Reference!$H$2, Reference!$G$2, IF(AC274&gt;=Reference!$H$3, Reference!$G$3, IF(AC274&gt;=Reference!$H$4, Reference!$G$4, IF(AC274&gt;=Reference!$H$5, Reference!$G$5, ""))))</f>
        <v/>
      </c>
      <c r="Q274" s="11" t="str">
        <f t="shared" si="36"/>
        <v/>
      </c>
      <c r="R274" s="11" t="str">
        <f>IF(AE274&gt;=Reference!$D$2, Reference!$G$2, IF(AE274&gt;=Reference!$D$3, Reference!$E$3, IF(AE274&gt;=Reference!$D$4, Reference!$E$4, IF(AE274&gt;=Reference!$D$5, Reference!$E$5, ""))))</f>
        <v>Low</v>
      </c>
      <c r="S274" s="13"/>
      <c r="T274" s="12"/>
      <c r="U274" s="9"/>
      <c r="V274" s="9"/>
      <c r="W274" s="9"/>
      <c r="Y274" s="12">
        <f>IF(H274=Reference!$A$12, Reference!$C$12, IF(H274=Reference!$A$11, Reference!$C$11, IF(H274=Reference!$A$10, Reference!$C$10, IF(H274=Reference!$A$9, Reference!$C$9, 0))))</f>
        <v>0</v>
      </c>
      <c r="Z274" s="12">
        <f>IF(J274=Reference!$A$20, Reference!$C$20, IF(J274=Reference!$A$19, Reference!$C$19, IF(J274=Reference!$A$18, Reference!$C$18, IF(J274=Reference!$A$17, Reference!$C$17, 0))))</f>
        <v>0</v>
      </c>
      <c r="AA274" s="12">
        <f>IF(L274=Reference!$A$28, Reference!$C$28, IF(L274=Reference!$A$27, Reference!$C$27, IF(L274=Reference!$A$26, Reference!$C$26, IF(L274=Reference!$A$25, Reference!$C$25, 0))))</f>
        <v>0</v>
      </c>
      <c r="AB274" s="12">
        <f>IF(N274=Reference!$A$36, Reference!$C$36, IF(N274=Reference!$A$35, Reference!$C$35, IF(N274=Reference!$A$34, Reference!$C$34, IF(N274=Reference!$A$33, Reference!$C$33, 0))))</f>
        <v>0</v>
      </c>
      <c r="AC274" s="12">
        <f>(Reference!$B$2*Y274 + Reference!$B$3*AA274 + Reference!$B$4*Z274 + Reference!$B$5 * AB274)/4</f>
        <v>0</v>
      </c>
      <c r="AD274" s="12">
        <f>IF(Q274=Reference!$C$41, Reference!$D$41, IF(Q274=Reference!$C$42, Reference!$D$42, IF(Q274=Reference!$C$43, Reference!$D$43, IF(Q274=Reference!$C$44, Reference!$D$44, 0))))</f>
        <v>0</v>
      </c>
      <c r="AE274" s="12">
        <f t="shared" si="37"/>
        <v>1</v>
      </c>
    </row>
    <row r="275" spans="1:31" ht="13.15">
      <c r="A275" s="8"/>
      <c r="B275" s="9"/>
      <c r="C275" s="9"/>
      <c r="D275" s="10"/>
      <c r="E275" s="10"/>
      <c r="F275" s="9"/>
      <c r="G275" s="9"/>
      <c r="H275" s="9"/>
      <c r="I275" s="9"/>
      <c r="J275" s="9"/>
      <c r="K275" s="9"/>
      <c r="L275" s="9"/>
      <c r="M275" s="9"/>
      <c r="N275" s="9"/>
      <c r="O275" s="9"/>
      <c r="P275" s="11" t="str">
        <f>IF(AC275&gt;=Reference!$H$2, Reference!$G$2, IF(AC275&gt;=Reference!$H$3, Reference!$G$3, IF(AC275&gt;=Reference!$H$4, Reference!$G$4, IF(AC275&gt;=Reference!$H$5, Reference!$G$5, ""))))</f>
        <v/>
      </c>
      <c r="Q275" s="11" t="str">
        <f t="shared" si="36"/>
        <v/>
      </c>
      <c r="R275" s="11" t="str">
        <f>IF(AE275&gt;=Reference!$D$2, Reference!$G$2, IF(AE275&gt;=Reference!$D$3, Reference!$E$3, IF(AE275&gt;=Reference!$D$4, Reference!$E$4, IF(AE275&gt;=Reference!$D$5, Reference!$E$5, ""))))</f>
        <v>Low</v>
      </c>
      <c r="S275" s="13"/>
      <c r="T275" s="12"/>
      <c r="U275" s="9"/>
      <c r="V275" s="9"/>
      <c r="W275" s="9"/>
      <c r="Y275" s="12">
        <f>IF(H275=Reference!$A$12, Reference!$C$12, IF(H275=Reference!$A$11, Reference!$C$11, IF(H275=Reference!$A$10, Reference!$C$10, IF(H275=Reference!$A$9, Reference!$C$9, 0))))</f>
        <v>0</v>
      </c>
      <c r="Z275" s="12">
        <f>IF(J275=Reference!$A$20, Reference!$C$20, IF(J275=Reference!$A$19, Reference!$C$19, IF(J275=Reference!$A$18, Reference!$C$18, IF(J275=Reference!$A$17, Reference!$C$17, 0))))</f>
        <v>0</v>
      </c>
      <c r="AA275" s="12">
        <f>IF(L275=Reference!$A$28, Reference!$C$28, IF(L275=Reference!$A$27, Reference!$C$27, IF(L275=Reference!$A$26, Reference!$C$26, IF(L275=Reference!$A$25, Reference!$C$25, 0))))</f>
        <v>0</v>
      </c>
      <c r="AB275" s="12">
        <f>IF(N275=Reference!$A$36, Reference!$C$36, IF(N275=Reference!$A$35, Reference!$C$35, IF(N275=Reference!$A$34, Reference!$C$34, IF(N275=Reference!$A$33, Reference!$C$33, 0))))</f>
        <v>0</v>
      </c>
      <c r="AC275" s="12">
        <f>(Reference!$B$2*Y275 + Reference!$B$3*AA275 + Reference!$B$4*Z275 + Reference!$B$5 * AB275)/4</f>
        <v>0</v>
      </c>
      <c r="AD275" s="12">
        <f>IF(Q275=Reference!$C$41, Reference!$D$41, IF(Q275=Reference!$C$42, Reference!$D$42, IF(Q275=Reference!$C$43, Reference!$D$43, IF(Q275=Reference!$C$44, Reference!$D$44, 0))))</f>
        <v>0</v>
      </c>
      <c r="AE275" s="12">
        <f t="shared" si="37"/>
        <v>1</v>
      </c>
    </row>
    <row r="276" spans="1:31" ht="13.15">
      <c r="A276" s="8"/>
      <c r="B276" s="9"/>
      <c r="C276" s="9"/>
      <c r="D276" s="10"/>
      <c r="E276" s="10"/>
      <c r="F276" s="9"/>
      <c r="G276" s="19"/>
      <c r="H276" s="9"/>
      <c r="I276" s="19"/>
      <c r="J276" s="9"/>
      <c r="K276" s="19"/>
      <c r="L276" s="9"/>
      <c r="M276" s="19"/>
      <c r="N276" s="9"/>
      <c r="O276" s="19"/>
      <c r="P276" s="11" t="str">
        <f>IF(AC276&gt;=Reference!$H$2, Reference!$G$2, IF(AC276&gt;=Reference!$H$3, Reference!$G$3, IF(AC276&gt;=Reference!$H$4, Reference!$G$4, IF(AC276&gt;=Reference!$H$5, Reference!$G$5, ""))))</f>
        <v/>
      </c>
      <c r="Q276" s="11" t="str">
        <f t="shared" si="36"/>
        <v/>
      </c>
      <c r="R276" s="11" t="str">
        <f>IF(AE276&gt;=Reference!$D$2, Reference!$G$2, IF(AE276&gt;=Reference!$D$3, Reference!$E$3, IF(AE276&gt;=Reference!$D$4, Reference!$E$4, IF(AE276&gt;=Reference!$D$5, Reference!$E$5, ""))))</f>
        <v>Low</v>
      </c>
      <c r="S276" s="13"/>
      <c r="T276" s="19"/>
      <c r="U276" s="9"/>
      <c r="V276" s="9"/>
      <c r="W276" s="9"/>
      <c r="Y276" s="12">
        <f>IF(H276=Reference!$A$12, Reference!$C$12, IF(H276=Reference!$A$11, Reference!$C$11, IF(H276=Reference!$A$10, Reference!$C$10, IF(H276=Reference!$A$9, Reference!$C$9, 0))))</f>
        <v>0</v>
      </c>
      <c r="Z276" s="12">
        <f>IF(J276=Reference!$A$20, Reference!$C$20, IF(J276=Reference!$A$19, Reference!$C$19, IF(J276=Reference!$A$18, Reference!$C$18, IF(J276=Reference!$A$17, Reference!$C$17, 0))))</f>
        <v>0</v>
      </c>
      <c r="AA276" s="12">
        <f>IF(L276=Reference!$A$28, Reference!$C$28, IF(L276=Reference!$A$27, Reference!$C$27, IF(L276=Reference!$A$26, Reference!$C$26, IF(L276=Reference!$A$25, Reference!$C$25, 0))))</f>
        <v>0</v>
      </c>
      <c r="AB276" s="12">
        <f>IF(N276=Reference!$A$36, Reference!$C$36, IF(N276=Reference!$A$35, Reference!$C$35, IF(N276=Reference!$A$34, Reference!$C$34, IF(N276=Reference!$A$33, Reference!$C$33, 0))))</f>
        <v>0</v>
      </c>
      <c r="AC276" s="12">
        <f>(Reference!$B$2*Y276 + Reference!$B$3*AA276 + Reference!$B$4*Z276 + Reference!$B$5 * AB276)/4</f>
        <v>0</v>
      </c>
      <c r="AD276" s="12">
        <f>IF(Q276=Reference!$C$41, Reference!$D$41, IF(Q276=Reference!$C$42, Reference!$D$42, IF(Q276=Reference!$C$43, Reference!$D$43, IF(Q276=Reference!$C$44, Reference!$D$44, 0))))</f>
        <v>0</v>
      </c>
      <c r="AE276" s="12">
        <f t="shared" si="37"/>
        <v>1</v>
      </c>
    </row>
    <row r="277" spans="1:31" ht="13.15">
      <c r="A277" s="8"/>
      <c r="B277" s="9"/>
      <c r="C277" s="9"/>
      <c r="D277" s="10"/>
      <c r="E277" s="18"/>
      <c r="F277" s="9"/>
      <c r="G277" s="9"/>
      <c r="H277" s="9"/>
      <c r="I277" s="9"/>
      <c r="J277" s="9"/>
      <c r="K277" s="9"/>
      <c r="L277" s="9"/>
      <c r="M277" s="9"/>
      <c r="N277" s="9"/>
      <c r="O277" s="9"/>
      <c r="P277" s="11" t="str">
        <f>IF(AC277&gt;=Reference!$H$2, Reference!$G$2, IF(AC277&gt;=Reference!$H$3, Reference!$G$3, IF(AC277&gt;=Reference!$H$4, Reference!$G$4, IF(AC277&gt;=Reference!$H$5, Reference!$G$5, ""))))</f>
        <v/>
      </c>
      <c r="Q277" s="11" t="str">
        <f t="shared" si="36"/>
        <v/>
      </c>
      <c r="R277" s="11" t="str">
        <f>IF(AE277&gt;=Reference!$D$2, Reference!$G$2, IF(AE277&gt;=Reference!$D$3, Reference!$E$3, IF(AE277&gt;=Reference!$D$4, Reference!$E$4, IF(AE277&gt;=Reference!$D$5, Reference!$E$5, ""))))</f>
        <v>Low</v>
      </c>
      <c r="S277" s="13"/>
      <c r="T277" s="12"/>
      <c r="U277" s="9"/>
      <c r="V277" s="9"/>
      <c r="W277" s="9"/>
      <c r="Y277" s="12">
        <f>IF(H277=Reference!$A$12, Reference!$C$12, IF(H277=Reference!$A$11, Reference!$C$11, IF(H277=Reference!$A$10, Reference!$C$10, IF(H277=Reference!$A$9, Reference!$C$9, 0))))</f>
        <v>0</v>
      </c>
      <c r="Z277" s="12">
        <f>IF(J277=Reference!$A$20, Reference!$C$20, IF(J277=Reference!$A$19, Reference!$C$19, IF(J277=Reference!$A$18, Reference!$C$18, IF(J277=Reference!$A$17, Reference!$C$17, 0))))</f>
        <v>0</v>
      </c>
      <c r="AA277" s="12">
        <f>IF(L277=Reference!$A$28, Reference!$C$28, IF(L277=Reference!$A$27, Reference!$C$27, IF(L277=Reference!$A$26, Reference!$C$26, IF(L277=Reference!$A$25, Reference!$C$25, 0))))</f>
        <v>0</v>
      </c>
      <c r="AB277" s="12">
        <f>IF(N277=Reference!$A$36, Reference!$C$36, IF(N277=Reference!$A$35, Reference!$C$35, IF(N277=Reference!$A$34, Reference!$C$34, IF(N277=Reference!$A$33, Reference!$C$33, 0))))</f>
        <v>0</v>
      </c>
      <c r="AC277" s="12">
        <f>(Reference!$B$2*Y277 + Reference!$B$3*AA277 + Reference!$B$4*Z277 + Reference!$B$5 * AB277)/4</f>
        <v>0</v>
      </c>
      <c r="AD277" s="12">
        <f>IF(Q277=Reference!$C$41, Reference!$D$41, IF(Q277=Reference!$C$42, Reference!$D$42, IF(Q277=Reference!$C$43, Reference!$D$43, IF(Q277=Reference!$C$44, Reference!$D$44, 0))))</f>
        <v>0</v>
      </c>
      <c r="AE277" s="12">
        <f t="shared" si="37"/>
        <v>1</v>
      </c>
    </row>
    <row r="278" spans="1:31" ht="13.15">
      <c r="A278" s="8"/>
      <c r="B278" s="9"/>
      <c r="C278" s="9"/>
      <c r="D278" s="18"/>
      <c r="E278" s="18"/>
      <c r="F278" s="9"/>
      <c r="G278" s="9"/>
      <c r="H278" s="9"/>
      <c r="I278" s="9"/>
      <c r="J278" s="9"/>
      <c r="K278" s="101"/>
      <c r="L278" s="9"/>
      <c r="M278" s="19"/>
      <c r="N278" s="9"/>
      <c r="O278" s="9"/>
      <c r="P278" s="11" t="str">
        <f>IF(AC278&gt;=Reference!$H$2, Reference!$G$2, IF(AC278&gt;=Reference!$H$3, Reference!$G$3, IF(AC278&gt;=Reference!$H$4, Reference!$G$4, IF(AC278&gt;=Reference!$H$5, Reference!$G$5, ""))))</f>
        <v/>
      </c>
      <c r="Q278" s="11" t="str">
        <f t="shared" si="36"/>
        <v/>
      </c>
      <c r="R278" s="11" t="str">
        <f>IF(AE278&gt;=Reference!$D$2, Reference!$G$2, IF(AE278&gt;=Reference!$D$3, Reference!$E$3, IF(AE278&gt;=Reference!$D$4, Reference!$E$4, IF(AE278&gt;=Reference!$D$5, Reference!$E$5, ""))))</f>
        <v>Low</v>
      </c>
      <c r="S278" s="13"/>
      <c r="T278" s="12"/>
      <c r="U278" s="9"/>
      <c r="V278" s="9"/>
      <c r="W278" s="9"/>
      <c r="Y278" s="12">
        <f>IF(H278=Reference!$A$12, Reference!$C$12, IF(H278=Reference!$A$11, Reference!$C$11, IF(H278=Reference!$A$10, Reference!$C$10, IF(H278=Reference!$A$9, Reference!$C$9, 0))))</f>
        <v>0</v>
      </c>
      <c r="Z278" s="12">
        <f>IF(J278=Reference!$A$20, Reference!$C$20, IF(J278=Reference!$A$19, Reference!$C$19, IF(J278=Reference!$A$18, Reference!$C$18, IF(J278=Reference!$A$17, Reference!$C$17, 0))))</f>
        <v>0</v>
      </c>
      <c r="AA278" s="12">
        <f>IF(L278=Reference!$A$28, Reference!$C$28, IF(L278=Reference!$A$27, Reference!$C$27, IF(L278=Reference!$A$26, Reference!$C$26, IF(L278=Reference!$A$25, Reference!$C$25, 0))))</f>
        <v>0</v>
      </c>
      <c r="AB278" s="12">
        <f>IF(N278=Reference!$A$36, Reference!$C$36, IF(N278=Reference!$A$35, Reference!$C$35, IF(N278=Reference!$A$34, Reference!$C$34, IF(N278=Reference!$A$33, Reference!$C$33, 0))))</f>
        <v>0</v>
      </c>
      <c r="AC278" s="12">
        <f>(Reference!$B$2*Y278 + Reference!$B$3*AA278 + Reference!$B$4*Z278 + Reference!$B$5 * AB278)/4</f>
        <v>0</v>
      </c>
      <c r="AD278" s="12">
        <f>IF(Q278=Reference!$C$41, Reference!$D$41, IF(Q278=Reference!$C$42, Reference!$D$42, IF(Q278=Reference!$C$43, Reference!$D$43, IF(Q278=Reference!$C$44, Reference!$D$44, 0))))</f>
        <v>0</v>
      </c>
      <c r="AE278" s="12">
        <f t="shared" si="37"/>
        <v>1</v>
      </c>
    </row>
    <row r="279" spans="1:31" ht="13.15">
      <c r="A279" s="8"/>
      <c r="B279" s="9"/>
      <c r="C279" s="9"/>
      <c r="D279" s="18"/>
      <c r="E279" s="18"/>
      <c r="F279" s="9"/>
      <c r="G279" s="19"/>
      <c r="H279" s="9"/>
      <c r="I279" s="19"/>
      <c r="J279" s="9"/>
      <c r="K279" s="9"/>
      <c r="L279" s="9"/>
      <c r="M279" s="19"/>
      <c r="N279" s="9"/>
      <c r="O279" s="19"/>
      <c r="P279" s="11" t="str">
        <f>IF(AC279&gt;=Reference!$H$2, Reference!$G$2, IF(AC279&gt;=Reference!$H$3, Reference!$G$3, IF(AC279&gt;=Reference!$H$4, Reference!$G$4, IF(AC279&gt;=Reference!$H$5, Reference!$G$5, ""))))</f>
        <v/>
      </c>
      <c r="Q279" s="11" t="str">
        <f t="shared" si="36"/>
        <v/>
      </c>
      <c r="R279" s="11" t="str">
        <f>IF(AE279&gt;=Reference!$D$2, Reference!$G$2, IF(AE279&gt;=Reference!$D$3, Reference!$E$3, IF(AE279&gt;=Reference!$D$4, Reference!$E$4, IF(AE279&gt;=Reference!$D$5, Reference!$E$5, ""))))</f>
        <v>Low</v>
      </c>
      <c r="S279" s="13"/>
      <c r="T279" s="23"/>
      <c r="U279" s="9"/>
      <c r="V279" s="16"/>
      <c r="W279" s="9"/>
      <c r="Y279" s="12">
        <f>IF(H279=Reference!$A$12, Reference!$C$12, IF(H279=Reference!$A$11, Reference!$C$11, IF(H279=Reference!$A$10, Reference!$C$10, IF(H279=Reference!$A$9, Reference!$C$9, 0))))</f>
        <v>0</v>
      </c>
      <c r="Z279" s="12">
        <f>IF(J279=Reference!$A$20, Reference!$C$20, IF(J279=Reference!$A$19, Reference!$C$19, IF(J279=Reference!$A$18, Reference!$C$18, IF(J279=Reference!$A$17, Reference!$C$17, 0))))</f>
        <v>0</v>
      </c>
      <c r="AA279" s="12">
        <f>IF(L279=Reference!$A$28, Reference!$C$28, IF(L279=Reference!$A$27, Reference!$C$27, IF(L279=Reference!$A$26, Reference!$C$26, IF(L279=Reference!$A$25, Reference!$C$25, 0))))</f>
        <v>0</v>
      </c>
      <c r="AB279" s="12">
        <f>IF(N279=Reference!$A$36, Reference!$C$36, IF(N279=Reference!$A$35, Reference!$C$35, IF(N279=Reference!$A$34, Reference!$C$34, IF(N279=Reference!$A$33, Reference!$C$33, 0))))</f>
        <v>0</v>
      </c>
      <c r="AC279" s="12">
        <f>(Reference!$B$2*Y279 + Reference!$B$3*AA279 + Reference!$B$4*Z279 + Reference!$B$5 * AB279)/4</f>
        <v>0</v>
      </c>
      <c r="AD279" s="12">
        <f>IF(Q279=Reference!$C$41, Reference!$D$41, IF(Q279=Reference!$C$42, Reference!$D$42, IF(Q279=Reference!$C$43, Reference!$D$43, IF(Q279=Reference!$C$44, Reference!$D$44, 0))))</f>
        <v>0</v>
      </c>
      <c r="AE279" s="12">
        <f t="shared" si="37"/>
        <v>1</v>
      </c>
    </row>
    <row r="280" spans="1:31" ht="13.15">
      <c r="A280" s="8"/>
      <c r="B280" s="9"/>
      <c r="C280" s="9"/>
      <c r="D280" s="10"/>
      <c r="E280" s="10"/>
      <c r="F280" s="9"/>
      <c r="G280" s="9"/>
      <c r="H280" s="9"/>
      <c r="I280" s="9"/>
      <c r="J280" s="9"/>
      <c r="K280" s="19"/>
      <c r="L280" s="9"/>
      <c r="M280" s="9"/>
      <c r="N280" s="9"/>
      <c r="O280" s="9"/>
      <c r="P280" s="11" t="str">
        <f>IF(AC280&gt;=Reference!$H$2, Reference!$G$2, IF(AC280&gt;=Reference!$H$3, Reference!$G$3, IF(AC280&gt;=Reference!$H$4, Reference!$G$4, IF(AC280&gt;=Reference!$H$5, Reference!$G$5, ""))))</f>
        <v/>
      </c>
      <c r="Q280" s="11" t="str">
        <f t="shared" si="36"/>
        <v/>
      </c>
      <c r="R280" s="11" t="str">
        <f>IF(AE280&gt;=Reference!$D$2, Reference!$G$2, IF(AE280&gt;=Reference!$D$3, Reference!$E$3, IF(AE280&gt;=Reference!$D$4, Reference!$E$4, IF(AE280&gt;=Reference!$D$5, Reference!$E$5, ""))))</f>
        <v>Low</v>
      </c>
      <c r="S280" s="13"/>
      <c r="T280" s="12"/>
      <c r="U280" s="9"/>
      <c r="V280" s="9"/>
      <c r="W280" s="9"/>
      <c r="Y280" s="12">
        <f>IF(H280=Reference!$A$12, Reference!$C$12, IF(H280=Reference!$A$11, Reference!$C$11, IF(H280=Reference!$A$10, Reference!$C$10, IF(H280=Reference!$A$9, Reference!$C$9, 0))))</f>
        <v>0</v>
      </c>
      <c r="Z280" s="12">
        <f>IF(J280=Reference!$A$20, Reference!$C$20, IF(J280=Reference!$A$19, Reference!$C$19, IF(J280=Reference!$A$18, Reference!$C$18, IF(J280=Reference!$A$17, Reference!$C$17, 0))))</f>
        <v>0</v>
      </c>
      <c r="AA280" s="12">
        <f>IF(L280=Reference!$A$28, Reference!$C$28, IF(L280=Reference!$A$27, Reference!$C$27, IF(L280=Reference!$A$26, Reference!$C$26, IF(L280=Reference!$A$25, Reference!$C$25, 0))))</f>
        <v>0</v>
      </c>
      <c r="AB280" s="12">
        <f>IF(N280=Reference!$A$36, Reference!$C$36, IF(N280=Reference!$A$35, Reference!$C$35, IF(N280=Reference!$A$34, Reference!$C$34, IF(N280=Reference!$A$33, Reference!$C$33, 0))))</f>
        <v>0</v>
      </c>
      <c r="AC280" s="12">
        <f>(Reference!$B$2*Y280 + Reference!$B$3*AA280 + Reference!$B$4*Z280 + Reference!$B$5 * AB280)/4</f>
        <v>0</v>
      </c>
      <c r="AD280" s="12">
        <f>IF(Q280=Reference!$C$41, Reference!$D$41, IF(Q280=Reference!$C$42, Reference!$D$42, IF(Q280=Reference!$C$43, Reference!$D$43, IF(Q280=Reference!$C$44, Reference!$D$44, 0))))</f>
        <v>0</v>
      </c>
      <c r="AE280" s="12">
        <f t="shared" si="37"/>
        <v>1</v>
      </c>
    </row>
    <row r="281" spans="1:31" ht="13.15">
      <c r="A281" s="8"/>
      <c r="B281" s="9"/>
      <c r="C281" s="9"/>
      <c r="D281" s="10"/>
      <c r="E281" s="10"/>
      <c r="F281" s="9"/>
      <c r="G281" s="9"/>
      <c r="H281" s="9"/>
      <c r="I281" s="9"/>
      <c r="J281" s="9"/>
      <c r="K281" s="9"/>
      <c r="L281" s="9"/>
      <c r="M281" s="9"/>
      <c r="N281" s="9"/>
      <c r="O281" s="9"/>
      <c r="P281" s="11" t="str">
        <f>IF(AC281&gt;=Reference!$H$2, Reference!$G$2, IF(AC281&gt;=Reference!$H$3, Reference!$G$3, IF(AC281&gt;=Reference!$H$4, Reference!$G$4, IF(AC281&gt;=Reference!$H$5, Reference!$G$5, ""))))</f>
        <v/>
      </c>
      <c r="Q281" s="11" t="str">
        <f t="shared" si="36"/>
        <v/>
      </c>
      <c r="R281" s="11" t="str">
        <f>IF(AE281&gt;=Reference!$D$2, Reference!$G$2, IF(AE281&gt;=Reference!$D$3, Reference!$E$3, IF(AE281&gt;=Reference!$D$4, Reference!$E$4, IF(AE281&gt;=Reference!$D$5, Reference!$E$5, ""))))</f>
        <v>Low</v>
      </c>
      <c r="S281" s="13"/>
      <c r="T281" s="12"/>
      <c r="U281" s="9"/>
      <c r="V281" s="9"/>
      <c r="W281" s="9"/>
      <c r="X281" s="1"/>
      <c r="Y281" s="12">
        <f>IF(H281=Reference!$A$12, Reference!$C$12, IF(H281=Reference!$A$11, Reference!$C$11, IF(H281=Reference!$A$10, Reference!$C$10, IF(H281=Reference!$A$9, Reference!$C$9, 0))))</f>
        <v>0</v>
      </c>
      <c r="Z281" s="12">
        <f>IF(J281=Reference!$A$20, Reference!$C$20, IF(J281=Reference!$A$19, Reference!$C$19, IF(J281=Reference!$A$18, Reference!$C$18, IF(J281=Reference!$A$17, Reference!$C$17, 0))))</f>
        <v>0</v>
      </c>
      <c r="AA281" s="12">
        <f>IF(L281=Reference!$A$28, Reference!$C$28, IF(L281=Reference!$A$27, Reference!$C$27, IF(L281=Reference!$A$26, Reference!$C$26, IF(L281=Reference!$A$25, Reference!$C$25, 0))))</f>
        <v>0</v>
      </c>
      <c r="AB281" s="12">
        <f>IF(N281=Reference!$A$36, Reference!$C$36, IF(N281=Reference!$A$35, Reference!$C$35, IF(N281=Reference!$A$34, Reference!$C$34, IF(N281=Reference!$A$33, Reference!$C$33, 0))))</f>
        <v>0</v>
      </c>
      <c r="AC281" s="12">
        <f>(Reference!$B$2*Y281 + Reference!$B$3*AA281 + Reference!$B$4*Z281 + Reference!$B$5 * AB281)/4</f>
        <v>0</v>
      </c>
      <c r="AD281" s="12">
        <f>IF(Q281=Reference!$C$41, Reference!$D$41, IF(Q281=Reference!$C$42, Reference!$D$42, IF(Q281=Reference!$C$43, Reference!$D$43, IF(Q281=Reference!$C$44, Reference!$D$44, 0))))</f>
        <v>0</v>
      </c>
      <c r="AE281" s="12">
        <f t="shared" si="37"/>
        <v>1</v>
      </c>
    </row>
    <row r="282" spans="1:31" ht="13.15">
      <c r="A282" s="18"/>
      <c r="B282" s="9"/>
      <c r="C282" s="9"/>
      <c r="E282" s="18"/>
      <c r="F282" s="9"/>
      <c r="G282" s="19"/>
      <c r="H282" s="9"/>
      <c r="I282" s="19"/>
      <c r="J282" s="9"/>
      <c r="K282" s="9"/>
      <c r="L282" s="9"/>
      <c r="M282" s="19"/>
      <c r="N282" s="9"/>
      <c r="O282" s="19"/>
      <c r="P282" s="11" t="str">
        <f>IF(AC282&gt;=Reference!$H$2, Reference!$G$2, IF(AC282&gt;=Reference!$H$3, Reference!$G$3, IF(AC282&gt;=Reference!$H$4, Reference!$G$4, IF(AC282&gt;=Reference!$H$5, Reference!$G$5, ""))))</f>
        <v/>
      </c>
      <c r="Q282" s="11" t="str">
        <f t="shared" si="36"/>
        <v/>
      </c>
      <c r="R282" s="11" t="str">
        <f>IF(AE282&gt;=Reference!$D$2, Reference!$G$2, IF(AE282&gt;=Reference!$D$3, Reference!$E$3, IF(AE282&gt;=Reference!$D$4, Reference!$E$4, IF(AE282&gt;=Reference!$D$5, Reference!$E$5, ""))))</f>
        <v>Low</v>
      </c>
      <c r="S282" s="13"/>
      <c r="T282" s="15"/>
      <c r="U282" s="19"/>
      <c r="V282" s="15"/>
      <c r="W282" s="9"/>
      <c r="Y282" s="12">
        <f>IF(H282=Reference!$A$12, Reference!$C$12, IF(H282=Reference!$A$11, Reference!$C$11, IF(H282=Reference!$A$10, Reference!$C$10, IF(H282=Reference!$A$9, Reference!$C$9, 0))))</f>
        <v>0</v>
      </c>
      <c r="Z282" s="12">
        <f>IF(J282=Reference!$A$20, Reference!$C$20, IF(J282=Reference!$A$19, Reference!$C$19, IF(J282=Reference!$A$18, Reference!$C$18, IF(J282=Reference!$A$17, Reference!$C$17, 0))))</f>
        <v>0</v>
      </c>
      <c r="AA282" s="12">
        <f>IF(L282=Reference!$A$28, Reference!$C$28, IF(L282=Reference!$A$27, Reference!$C$27, IF(L282=Reference!$A$26, Reference!$C$26, IF(L282=Reference!$A$25, Reference!$C$25, 0))))</f>
        <v>0</v>
      </c>
      <c r="AB282" s="12">
        <f>IF(N282=Reference!$A$36, Reference!$C$36, IF(N282=Reference!$A$35, Reference!$C$35, IF(N282=Reference!$A$34, Reference!$C$34, IF(N282=Reference!$A$33, Reference!$C$33, 0))))</f>
        <v>0</v>
      </c>
      <c r="AC282" s="12">
        <f>(Reference!$B$2*Y282 + Reference!$B$3*AA282 + Reference!$B$4*Z282 + Reference!$B$5 * AB282)/4</f>
        <v>0</v>
      </c>
      <c r="AD282" s="12">
        <f>IF(Q282=Reference!$C$41, Reference!$D$41, IF(Q282=Reference!$C$42, Reference!$D$42, IF(Q282=Reference!$C$43, Reference!$D$43, IF(Q282=Reference!$C$44, Reference!$D$44, 0))))</f>
        <v>0</v>
      </c>
      <c r="AE282" s="12">
        <f t="shared" si="37"/>
        <v>1</v>
      </c>
    </row>
    <row r="283" spans="1:31" ht="13.15">
      <c r="A283" s="8"/>
      <c r="B283" s="9"/>
      <c r="C283" s="9"/>
      <c r="D283" s="10"/>
      <c r="E283" s="10"/>
      <c r="F283" s="9"/>
      <c r="G283" s="9"/>
      <c r="H283" s="9"/>
      <c r="I283" s="9"/>
      <c r="J283" s="9"/>
      <c r="K283" s="19"/>
      <c r="L283" s="9"/>
      <c r="M283" s="9"/>
      <c r="N283" s="9"/>
      <c r="O283" s="9"/>
      <c r="P283" s="11" t="str">
        <f>IF(AC283&gt;=Reference!$H$2, Reference!$G$2, IF(AC283&gt;=Reference!$H$3, Reference!$G$3, IF(AC283&gt;=Reference!$H$4, Reference!$G$4, IF(AC283&gt;=Reference!$H$5, Reference!$G$5, ""))))</f>
        <v/>
      </c>
      <c r="Q283" s="11" t="str">
        <f t="shared" si="36"/>
        <v/>
      </c>
      <c r="R283" s="11" t="str">
        <f>IF(AE283&gt;=Reference!$D$2, Reference!$G$2, IF(AE283&gt;=Reference!$D$3, Reference!$E$3, IF(AE283&gt;=Reference!$D$4, Reference!$E$4, IF(AE283&gt;=Reference!$D$5, Reference!$E$5, ""))))</f>
        <v>Low</v>
      </c>
      <c r="S283" s="13"/>
      <c r="T283" s="12"/>
      <c r="U283" s="9"/>
      <c r="V283" s="9"/>
      <c r="W283" s="9"/>
      <c r="Y283" s="12">
        <f>IF(H283=Reference!$A$12, Reference!$C$12, IF(H283=Reference!$A$11, Reference!$C$11, IF(H283=Reference!$A$10, Reference!$C$10, IF(H283=Reference!$A$9, Reference!$C$9, 0))))</f>
        <v>0</v>
      </c>
      <c r="Z283" s="12">
        <f>IF(J283=Reference!$A$20, Reference!$C$20, IF(J283=Reference!$A$19, Reference!$C$19, IF(J283=Reference!$A$18, Reference!$C$18, IF(J283=Reference!$A$17, Reference!$C$17, 0))))</f>
        <v>0</v>
      </c>
      <c r="AA283" s="12">
        <f>IF(L283=Reference!$A$28, Reference!$C$28, IF(L283=Reference!$A$27, Reference!$C$27, IF(L283=Reference!$A$26, Reference!$C$26, IF(L283=Reference!$A$25, Reference!$C$25, 0))))</f>
        <v>0</v>
      </c>
      <c r="AB283" s="12">
        <f>IF(N283=Reference!$A$36, Reference!$C$36, IF(N283=Reference!$A$35, Reference!$C$35, IF(N283=Reference!$A$34, Reference!$C$34, IF(N283=Reference!$A$33, Reference!$C$33, 0))))</f>
        <v>0</v>
      </c>
      <c r="AC283" s="12">
        <f>(Reference!$B$2*Y283 + Reference!$B$3*AA283 + Reference!$B$4*Z283 + Reference!$B$5 * AB283)/4</f>
        <v>0</v>
      </c>
      <c r="AD283" s="12">
        <f>IF(Q283=Reference!$C$41, Reference!$D$41, IF(Q283=Reference!$C$42, Reference!$D$42, IF(Q283=Reference!$C$43, Reference!$D$43, IF(Q283=Reference!$C$44, Reference!$D$44, 0))))</f>
        <v>0</v>
      </c>
      <c r="AE283" s="12">
        <f t="shared" si="37"/>
        <v>1</v>
      </c>
    </row>
    <row r="284" spans="1:31" ht="13.15">
      <c r="A284" s="8"/>
      <c r="B284" s="9"/>
      <c r="C284" s="9"/>
      <c r="D284" s="10"/>
      <c r="E284" s="10"/>
      <c r="F284" s="9"/>
      <c r="G284" s="9"/>
      <c r="H284" s="9"/>
      <c r="I284" s="9"/>
      <c r="J284" s="9"/>
      <c r="K284" s="9"/>
      <c r="L284" s="9"/>
      <c r="M284" s="9"/>
      <c r="N284" s="9"/>
      <c r="O284" s="9"/>
      <c r="P284" s="11" t="str">
        <f>IF(AC284&gt;=Reference!$H$2, Reference!$G$2, IF(AC284&gt;=Reference!$H$3, Reference!$G$3, IF(AC284&gt;=Reference!$H$4, Reference!$G$4, IF(AC284&gt;=Reference!$H$5, Reference!$G$5, ""))))</f>
        <v/>
      </c>
      <c r="Q284" s="11" t="str">
        <f t="shared" si="36"/>
        <v/>
      </c>
      <c r="R284" s="11" t="str">
        <f>IF(AE284&gt;=Reference!$D$2, Reference!$G$2, IF(AE284&gt;=Reference!$D$3, Reference!$E$3, IF(AE284&gt;=Reference!$D$4, Reference!$E$4, IF(AE284&gt;=Reference!$D$5, Reference!$E$5, ""))))</f>
        <v>Low</v>
      </c>
      <c r="S284" s="13"/>
      <c r="T284" s="12"/>
      <c r="U284" s="9"/>
      <c r="V284" s="9"/>
      <c r="W284" s="9"/>
      <c r="Y284" s="12">
        <f>IF(H284=Reference!$A$12, Reference!$C$12, IF(H284=Reference!$A$11, Reference!$C$11, IF(H284=Reference!$A$10, Reference!$C$10, IF(H284=Reference!$A$9, Reference!$C$9, 0))))</f>
        <v>0</v>
      </c>
      <c r="Z284" s="12">
        <f>IF(J284=Reference!$A$20, Reference!$C$20, IF(J284=Reference!$A$19, Reference!$C$19, IF(J284=Reference!$A$18, Reference!$C$18, IF(J284=Reference!$A$17, Reference!$C$17, 0))))</f>
        <v>0</v>
      </c>
      <c r="AA284" s="12">
        <f>IF(L284=Reference!$A$28, Reference!$C$28, IF(L284=Reference!$A$27, Reference!$C$27, IF(L284=Reference!$A$26, Reference!$C$26, IF(L284=Reference!$A$25, Reference!$C$25, 0))))</f>
        <v>0</v>
      </c>
      <c r="AB284" s="12">
        <f>IF(N284=Reference!$A$36, Reference!$C$36, IF(N284=Reference!$A$35, Reference!$C$35, IF(N284=Reference!$A$34, Reference!$C$34, IF(N284=Reference!$A$33, Reference!$C$33, 0))))</f>
        <v>0</v>
      </c>
      <c r="AC284" s="12">
        <f>(Reference!$B$2*Y284 + Reference!$B$3*AA284 + Reference!$B$4*Z284 + Reference!$B$5 * AB284)/4</f>
        <v>0</v>
      </c>
      <c r="AD284" s="12">
        <f>IF(Q284=Reference!$C$41, Reference!$D$41, IF(Q284=Reference!$C$42, Reference!$D$42, IF(Q284=Reference!$C$43, Reference!$D$43, IF(Q284=Reference!$C$44, Reference!$D$44, 0))))</f>
        <v>0</v>
      </c>
      <c r="AE284" s="12">
        <f t="shared" si="37"/>
        <v>1</v>
      </c>
    </row>
    <row r="285" spans="1:31" ht="13.15">
      <c r="A285" s="8"/>
      <c r="B285" s="9"/>
      <c r="C285" s="9"/>
      <c r="D285" s="10"/>
      <c r="E285" s="10"/>
      <c r="F285" s="9"/>
      <c r="G285" s="9"/>
      <c r="H285" s="9"/>
      <c r="I285" s="9"/>
      <c r="J285" s="9"/>
      <c r="K285" s="9"/>
      <c r="L285" s="9"/>
      <c r="M285" s="9"/>
      <c r="N285" s="9"/>
      <c r="O285" s="9"/>
      <c r="P285" s="11" t="str">
        <f>IF(AC285&gt;=Reference!$H$2, Reference!$G$2, IF(AC285&gt;=Reference!$H$3, Reference!$G$3, IF(AC285&gt;=Reference!$H$4, Reference!$G$4, IF(AC285&gt;=Reference!$H$5, Reference!$G$5, ""))))</f>
        <v/>
      </c>
      <c r="Q285" s="11" t="str">
        <f t="shared" si="36"/>
        <v/>
      </c>
      <c r="R285" s="11" t="str">
        <f>IF(AE285&gt;=Reference!$D$2, Reference!$G$2, IF(AE285&gt;=Reference!$D$3, Reference!$E$3, IF(AE285&gt;=Reference!$D$4, Reference!$E$4, IF(AE285&gt;=Reference!$D$5, Reference!$E$5, ""))))</f>
        <v>Low</v>
      </c>
      <c r="S285" s="13"/>
      <c r="T285" s="12"/>
      <c r="U285" s="9"/>
      <c r="V285" s="9"/>
      <c r="W285" s="9"/>
      <c r="Y285" s="12">
        <f>IF(H285=Reference!$A$12, Reference!$C$12, IF(H285=Reference!$A$11, Reference!$C$11, IF(H285=Reference!$A$10, Reference!$C$10, IF(H285=Reference!$A$9, Reference!$C$9, 0))))</f>
        <v>0</v>
      </c>
      <c r="Z285" s="12">
        <f>IF(J285=Reference!$A$20, Reference!$C$20, IF(J285=Reference!$A$19, Reference!$C$19, IF(J285=Reference!$A$18, Reference!$C$18, IF(J285=Reference!$A$17, Reference!$C$17, 0))))</f>
        <v>0</v>
      </c>
      <c r="AA285" s="12">
        <f>IF(L285=Reference!$A$28, Reference!$C$28, IF(L285=Reference!$A$27, Reference!$C$27, IF(L285=Reference!$A$26, Reference!$C$26, IF(L285=Reference!$A$25, Reference!$C$25, 0))))</f>
        <v>0</v>
      </c>
      <c r="AB285" s="12">
        <f>IF(N285=Reference!$A$36, Reference!$C$36, IF(N285=Reference!$A$35, Reference!$C$35, IF(N285=Reference!$A$34, Reference!$C$34, IF(N285=Reference!$A$33, Reference!$C$33, 0))))</f>
        <v>0</v>
      </c>
      <c r="AC285" s="12">
        <f>(Reference!$B$2*Y285 + Reference!$B$3*AA285 + Reference!$B$4*Z285 + Reference!$B$5 * AB285)/4</f>
        <v>0</v>
      </c>
      <c r="AD285" s="12">
        <f>IF(Q285=Reference!$C$41, Reference!$D$41, IF(Q285=Reference!$C$42, Reference!$D$42, IF(Q285=Reference!$C$43, Reference!$D$43, IF(Q285=Reference!$C$44, Reference!$D$44, 0))))</f>
        <v>0</v>
      </c>
      <c r="AE285" s="12">
        <f t="shared" si="37"/>
        <v>1</v>
      </c>
    </row>
    <row r="286" spans="1:31" ht="13.15">
      <c r="A286" s="8"/>
      <c r="B286" s="9"/>
      <c r="C286" s="9"/>
      <c r="D286" s="10"/>
      <c r="E286" s="10"/>
      <c r="F286" s="9"/>
      <c r="G286" s="9"/>
      <c r="H286" s="9"/>
      <c r="I286" s="9"/>
      <c r="J286" s="9"/>
      <c r="K286" s="19"/>
      <c r="L286" s="9"/>
      <c r="M286" s="9"/>
      <c r="N286" s="9"/>
      <c r="O286" s="9"/>
      <c r="P286" s="11" t="str">
        <f>IF(AC286&gt;=Reference!$H$2, Reference!$G$2, IF(AC286&gt;=Reference!$H$3, Reference!$G$3, IF(AC286&gt;=Reference!$H$4, Reference!$G$4, IF(AC286&gt;=Reference!$H$5, Reference!$G$5, ""))))</f>
        <v/>
      </c>
      <c r="Q286" s="11" t="str">
        <f t="shared" si="36"/>
        <v/>
      </c>
      <c r="R286" s="11" t="str">
        <f>IF(AE286&gt;=Reference!$D$2, Reference!$G$2, IF(AE286&gt;=Reference!$D$3, Reference!$E$3, IF(AE286&gt;=Reference!$D$4, Reference!$E$4, IF(AE286&gt;=Reference!$D$5, Reference!$E$5, ""))))</f>
        <v>Low</v>
      </c>
      <c r="S286" s="13"/>
      <c r="T286" s="12"/>
      <c r="U286" s="9"/>
      <c r="V286" s="9"/>
      <c r="W286" s="9"/>
      <c r="Y286" s="12">
        <f>IF(H286=Reference!$A$12, Reference!$C$12, IF(H286=Reference!$A$11, Reference!$C$11, IF(H286=Reference!$A$10, Reference!$C$10, IF(H286=Reference!$A$9, Reference!$C$9, 0))))</f>
        <v>0</v>
      </c>
      <c r="Z286" s="12">
        <f>IF(J286=Reference!$A$20, Reference!$C$20, IF(J286=Reference!$A$19, Reference!$C$19, IF(J286=Reference!$A$18, Reference!$C$18, IF(J286=Reference!$A$17, Reference!$C$17, 0))))</f>
        <v>0</v>
      </c>
      <c r="AA286" s="12">
        <f>IF(L286=Reference!$A$28, Reference!$C$28, IF(L286=Reference!$A$27, Reference!$C$27, IF(L286=Reference!$A$26, Reference!$C$26, IF(L286=Reference!$A$25, Reference!$C$25, 0))))</f>
        <v>0</v>
      </c>
      <c r="AB286" s="12">
        <f>IF(N286=Reference!$A$36, Reference!$C$36, IF(N286=Reference!$A$35, Reference!$C$35, IF(N286=Reference!$A$34, Reference!$C$34, IF(N286=Reference!$A$33, Reference!$C$33, 0))))</f>
        <v>0</v>
      </c>
      <c r="AC286" s="12">
        <f>(Reference!$B$2*Y286 + Reference!$B$3*AA286 + Reference!$B$4*Z286 + Reference!$B$5 * AB286)/4</f>
        <v>0</v>
      </c>
      <c r="AD286" s="12">
        <f>IF(Q286=Reference!$C$41, Reference!$D$41, IF(Q286=Reference!$C$42, Reference!$D$42, IF(Q286=Reference!$C$43, Reference!$D$43, IF(Q286=Reference!$C$44, Reference!$D$44, 0))))</f>
        <v>0</v>
      </c>
      <c r="AE286" s="12">
        <f t="shared" si="37"/>
        <v>1</v>
      </c>
    </row>
    <row r="287" spans="1:31" ht="13.15">
      <c r="A287" s="8"/>
      <c r="B287" s="9"/>
      <c r="C287" s="9"/>
      <c r="D287" s="10"/>
      <c r="E287" s="10"/>
      <c r="F287" s="9"/>
      <c r="G287" s="9"/>
      <c r="H287" s="9"/>
      <c r="I287" s="9"/>
      <c r="J287" s="9"/>
      <c r="K287" s="9"/>
      <c r="L287" s="9"/>
      <c r="M287" s="9"/>
      <c r="N287" s="9"/>
      <c r="O287" s="9"/>
      <c r="P287" s="11" t="str">
        <f>IF(AC287&gt;=Reference!$H$2, Reference!$G$2, IF(AC287&gt;=Reference!$H$3, Reference!$G$3, IF(AC287&gt;=Reference!$H$4, Reference!$G$4, IF(AC287&gt;=Reference!$H$5, Reference!$G$5, ""))))</f>
        <v/>
      </c>
      <c r="Q287" s="11" t="str">
        <f t="shared" si="36"/>
        <v/>
      </c>
      <c r="R287" s="11" t="str">
        <f>IF(AE287&gt;=Reference!$D$2, Reference!$G$2, IF(AE287&gt;=Reference!$D$3, Reference!$E$3, IF(AE287&gt;=Reference!$D$4, Reference!$E$4, IF(AE287&gt;=Reference!$D$5, Reference!$E$5, ""))))</f>
        <v>Low</v>
      </c>
      <c r="S287" s="13"/>
      <c r="T287" s="12"/>
      <c r="U287" s="9"/>
      <c r="V287" s="9"/>
      <c r="W287" s="9"/>
      <c r="Y287" s="12">
        <f>IF(H287=Reference!$A$12, Reference!$C$12, IF(H287=Reference!$A$11, Reference!$C$11, IF(H287=Reference!$A$10, Reference!$C$10, IF(H287=Reference!$A$9, Reference!$C$9, 0))))</f>
        <v>0</v>
      </c>
      <c r="Z287" s="12">
        <f>IF(J287=Reference!$A$20, Reference!$C$20, IF(J287=Reference!$A$19, Reference!$C$19, IF(J287=Reference!$A$18, Reference!$C$18, IF(J287=Reference!$A$17, Reference!$C$17, 0))))</f>
        <v>0</v>
      </c>
      <c r="AA287" s="12">
        <f>IF(L287=Reference!$A$28, Reference!$C$28, IF(L287=Reference!$A$27, Reference!$C$27, IF(L287=Reference!$A$26, Reference!$C$26, IF(L287=Reference!$A$25, Reference!$C$25, 0))))</f>
        <v>0</v>
      </c>
      <c r="AB287" s="12">
        <f>IF(N287=Reference!$A$36, Reference!$C$36, IF(N287=Reference!$A$35, Reference!$C$35, IF(N287=Reference!$A$34, Reference!$C$34, IF(N287=Reference!$A$33, Reference!$C$33, 0))))</f>
        <v>0</v>
      </c>
      <c r="AC287" s="12">
        <f>(Reference!$B$2*Y287 + Reference!$B$3*AA287 + Reference!$B$4*Z287 + Reference!$B$5 * AB287)/4</f>
        <v>0</v>
      </c>
      <c r="AD287" s="12">
        <f>IF(Q287=Reference!$C$41, Reference!$D$41, IF(Q287=Reference!$C$42, Reference!$D$42, IF(Q287=Reference!$C$43, Reference!$D$43, IF(Q287=Reference!$C$44, Reference!$D$44, 0))))</f>
        <v>0</v>
      </c>
      <c r="AE287" s="12">
        <f t="shared" si="37"/>
        <v>1</v>
      </c>
    </row>
    <row r="288" spans="1:31" ht="13.15">
      <c r="A288" s="8"/>
      <c r="B288" s="9"/>
      <c r="C288" s="9"/>
      <c r="D288" s="10"/>
      <c r="E288" s="10"/>
      <c r="F288" s="9"/>
      <c r="G288" s="9"/>
      <c r="H288" s="9"/>
      <c r="I288" s="9"/>
      <c r="J288" s="9"/>
      <c r="K288" s="9"/>
      <c r="L288" s="9"/>
      <c r="M288" s="9"/>
      <c r="N288" s="9"/>
      <c r="O288" s="9"/>
      <c r="P288" s="11" t="str">
        <f>IF(AC288&gt;=Reference!$H$2, Reference!$G$2, IF(AC288&gt;=Reference!$H$3, Reference!$G$3, IF(AC288&gt;=Reference!$H$4, Reference!$G$4, IF(AC288&gt;=Reference!$H$5, Reference!$G$5, ""))))</f>
        <v/>
      </c>
      <c r="Q288" s="11" t="str">
        <f t="shared" si="36"/>
        <v/>
      </c>
      <c r="R288" s="11" t="str">
        <f>IF(AE288&gt;=Reference!$D$2, Reference!$G$2, IF(AE288&gt;=Reference!$D$3, Reference!$E$3, IF(AE288&gt;=Reference!$D$4, Reference!$E$4, IF(AE288&gt;=Reference!$D$5, Reference!$E$5, ""))))</f>
        <v>Low</v>
      </c>
      <c r="S288" s="13"/>
      <c r="T288" s="12"/>
      <c r="U288" s="9"/>
      <c r="V288" s="9"/>
      <c r="W288" s="9"/>
      <c r="Y288" s="12">
        <f>IF(H288=Reference!$A$12, Reference!$C$12, IF(H288=Reference!$A$11, Reference!$C$11, IF(H288=Reference!$A$10, Reference!$C$10, IF(H288=Reference!$A$9, Reference!$C$9, 0))))</f>
        <v>0</v>
      </c>
      <c r="Z288" s="12">
        <f>IF(J288=Reference!$A$20, Reference!$C$20, IF(J288=Reference!$A$19, Reference!$C$19, IF(J288=Reference!$A$18, Reference!$C$18, IF(J288=Reference!$A$17, Reference!$C$17, 0))))</f>
        <v>0</v>
      </c>
      <c r="AA288" s="12">
        <f>IF(L288=Reference!$A$28, Reference!$C$28, IF(L288=Reference!$A$27, Reference!$C$27, IF(L288=Reference!$A$26, Reference!$C$26, IF(L288=Reference!$A$25, Reference!$C$25, 0))))</f>
        <v>0</v>
      </c>
      <c r="AB288" s="12">
        <f>IF(N288=Reference!$A$36, Reference!$C$36, IF(N288=Reference!$A$35, Reference!$C$35, IF(N288=Reference!$A$34, Reference!$C$34, IF(N288=Reference!$A$33, Reference!$C$33, 0))))</f>
        <v>0</v>
      </c>
      <c r="AC288" s="12">
        <f>(Reference!$B$2*Y288 + Reference!$B$3*AA288 + Reference!$B$4*Z288 + Reference!$B$5 * AB288)/4</f>
        <v>0</v>
      </c>
      <c r="AD288" s="12">
        <f>IF(Q288=Reference!$C$41, Reference!$D$41, IF(Q288=Reference!$C$42, Reference!$D$42, IF(Q288=Reference!$C$43, Reference!$D$43, IF(Q288=Reference!$C$44, Reference!$D$44, 0))))</f>
        <v>0</v>
      </c>
      <c r="AE288" s="12">
        <f t="shared" si="37"/>
        <v>1</v>
      </c>
    </row>
    <row r="289" spans="1:31" ht="13.15">
      <c r="A289" s="8"/>
      <c r="B289" s="9"/>
      <c r="C289" s="9"/>
      <c r="D289" s="10"/>
      <c r="E289" s="10"/>
      <c r="F289" s="9"/>
      <c r="G289" s="9"/>
      <c r="H289" s="9"/>
      <c r="I289" s="9"/>
      <c r="J289" s="9"/>
      <c r="K289" s="19"/>
      <c r="L289" s="9"/>
      <c r="M289" s="9"/>
      <c r="N289" s="9"/>
      <c r="O289" s="19"/>
      <c r="P289" s="11" t="str">
        <f>IF(AC289&gt;=Reference!$H$2, Reference!$G$2, IF(AC289&gt;=Reference!$H$3, Reference!$G$3, IF(AC289&gt;=Reference!$H$4, Reference!$G$4, IF(AC289&gt;=Reference!$H$5, Reference!$G$5, ""))))</f>
        <v/>
      </c>
      <c r="Q289" s="11" t="str">
        <f t="shared" si="36"/>
        <v/>
      </c>
      <c r="R289" s="11" t="str">
        <f>IF(AE289&gt;=Reference!$D$2, Reference!$G$2, IF(AE289&gt;=Reference!$D$3, Reference!$E$3, IF(AE289&gt;=Reference!$D$4, Reference!$E$4, IF(AE289&gt;=Reference!$D$5, Reference!$E$5, ""))))</f>
        <v>Low</v>
      </c>
      <c r="S289" s="13"/>
      <c r="T289" s="12"/>
      <c r="U289" s="9"/>
      <c r="V289" s="9"/>
      <c r="W289" s="9"/>
      <c r="Y289" s="12">
        <f>IF(H289=Reference!$A$12, Reference!$C$12, IF(H289=Reference!$A$11, Reference!$C$11, IF(H289=Reference!$A$10, Reference!$C$10, IF(H289=Reference!$A$9, Reference!$C$9, 0))))</f>
        <v>0</v>
      </c>
      <c r="Z289" s="12">
        <f>IF(J289=Reference!$A$20, Reference!$C$20, IF(J289=Reference!$A$19, Reference!$C$19, IF(J289=Reference!$A$18, Reference!$C$18, IF(J289=Reference!$A$17, Reference!$C$17, 0))))</f>
        <v>0</v>
      </c>
      <c r="AA289" s="12">
        <f>IF(L289=Reference!$A$28, Reference!$C$28, IF(L289=Reference!$A$27, Reference!$C$27, IF(L289=Reference!$A$26, Reference!$C$26, IF(L289=Reference!$A$25, Reference!$C$25, 0))))</f>
        <v>0</v>
      </c>
      <c r="AB289" s="12">
        <f>IF(N289=Reference!$A$36, Reference!$C$36, IF(N289=Reference!$A$35, Reference!$C$35, IF(N289=Reference!$A$34, Reference!$C$34, IF(N289=Reference!$A$33, Reference!$C$33, 0))))</f>
        <v>0</v>
      </c>
      <c r="AC289" s="12">
        <f>(Reference!$B$2*Y289 + Reference!$B$3*AA289 + Reference!$B$4*Z289 + Reference!$B$5 * AB289)/4</f>
        <v>0</v>
      </c>
      <c r="AD289" s="12">
        <f>IF(Q289=Reference!$C$41, Reference!$D$41, IF(Q289=Reference!$C$42, Reference!$D$42, IF(Q289=Reference!$C$43, Reference!$D$43, IF(Q289=Reference!$C$44, Reference!$D$44, 0))))</f>
        <v>0</v>
      </c>
      <c r="AE289" s="12">
        <f t="shared" si="37"/>
        <v>1</v>
      </c>
    </row>
    <row r="290" spans="1:31" ht="13.15">
      <c r="A290" s="8"/>
      <c r="B290" s="9"/>
      <c r="C290" s="9"/>
      <c r="D290" s="10"/>
      <c r="E290" s="10"/>
      <c r="F290" s="9"/>
      <c r="G290" s="9"/>
      <c r="H290" s="9"/>
      <c r="I290" s="9"/>
      <c r="J290" s="9"/>
      <c r="K290" s="9"/>
      <c r="L290" s="9"/>
      <c r="M290" s="9"/>
      <c r="N290" s="9"/>
      <c r="O290" s="9"/>
      <c r="P290" s="11" t="str">
        <f>IF(AC290&gt;=Reference!$H$2, Reference!$G$2, IF(AC290&gt;=Reference!$H$3, Reference!$G$3, IF(AC290&gt;=Reference!$H$4, Reference!$G$4, IF(AC290&gt;=Reference!$H$5, Reference!$G$5, ""))))</f>
        <v/>
      </c>
      <c r="Q290" s="11" t="str">
        <f t="shared" si="36"/>
        <v/>
      </c>
      <c r="R290" s="11" t="str">
        <f>IF(AE290&gt;=Reference!$D$2, Reference!$G$2, IF(AE290&gt;=Reference!$D$3, Reference!$E$3, IF(AE290&gt;=Reference!$D$4, Reference!$E$4, IF(AE290&gt;=Reference!$D$5, Reference!$E$5, ""))))</f>
        <v>Low</v>
      </c>
      <c r="S290" s="13"/>
      <c r="T290" s="12"/>
      <c r="U290" s="9"/>
      <c r="V290" s="9"/>
      <c r="W290" s="9"/>
      <c r="Y290" s="12">
        <f>IF(H290=Reference!$A$12, Reference!$C$12, IF(H290=Reference!$A$11, Reference!$C$11, IF(H290=Reference!$A$10, Reference!$C$10, IF(H290=Reference!$A$9, Reference!$C$9, 0))))</f>
        <v>0</v>
      </c>
      <c r="Z290" s="12">
        <f>IF(J290=Reference!$A$20, Reference!$C$20, IF(J290=Reference!$A$19, Reference!$C$19, IF(J290=Reference!$A$18, Reference!$C$18, IF(J290=Reference!$A$17, Reference!$C$17, 0))))</f>
        <v>0</v>
      </c>
      <c r="AA290" s="12">
        <f>IF(L290=Reference!$A$28, Reference!$C$28, IF(L290=Reference!$A$27, Reference!$C$27, IF(L290=Reference!$A$26, Reference!$C$26, IF(L290=Reference!$A$25, Reference!$C$25, 0))))</f>
        <v>0</v>
      </c>
      <c r="AB290" s="12">
        <f>IF(N290=Reference!$A$36, Reference!$C$36, IF(N290=Reference!$A$35, Reference!$C$35, IF(N290=Reference!$A$34, Reference!$C$34, IF(N290=Reference!$A$33, Reference!$C$33, 0))))</f>
        <v>0</v>
      </c>
      <c r="AC290" s="12">
        <f>(Reference!$B$2*Y290 + Reference!$B$3*AA290 + Reference!$B$4*Z290 + Reference!$B$5 * AB290)/4</f>
        <v>0</v>
      </c>
      <c r="AD290" s="12">
        <f>IF(Q290=Reference!$C$41, Reference!$D$41, IF(Q290=Reference!$C$42, Reference!$D$42, IF(Q290=Reference!$C$43, Reference!$D$43, IF(Q290=Reference!$C$44, Reference!$D$44, 0))))</f>
        <v>0</v>
      </c>
      <c r="AE290" s="12">
        <f t="shared" si="37"/>
        <v>1</v>
      </c>
    </row>
    <row r="291" spans="1:31" ht="13.15">
      <c r="A291" s="8"/>
      <c r="B291" s="9"/>
      <c r="C291" s="9"/>
      <c r="D291" s="10"/>
      <c r="E291" s="10"/>
      <c r="F291" s="9"/>
      <c r="G291" s="9"/>
      <c r="H291" s="9"/>
      <c r="I291" s="9"/>
      <c r="J291" s="9"/>
      <c r="K291" s="9"/>
      <c r="L291" s="9"/>
      <c r="M291" s="9"/>
      <c r="N291" s="9"/>
      <c r="O291" s="9"/>
      <c r="P291" s="11" t="str">
        <f>IF(AC291&gt;=Reference!$H$2, Reference!$G$2, IF(AC291&gt;=Reference!$H$3, Reference!$G$3, IF(AC291&gt;=Reference!$H$4, Reference!$G$4, IF(AC291&gt;=Reference!$H$5, Reference!$G$5, ""))))</f>
        <v/>
      </c>
      <c r="Q291" s="11" t="str">
        <f t="shared" si="36"/>
        <v/>
      </c>
      <c r="R291" s="11" t="str">
        <f>IF(AE291&gt;=Reference!$D$2, Reference!$G$2, IF(AE291&gt;=Reference!$D$3, Reference!$E$3, IF(AE291&gt;=Reference!$D$4, Reference!$E$4, IF(AE291&gt;=Reference!$D$5, Reference!$E$5, ""))))</f>
        <v>Low</v>
      </c>
      <c r="S291" s="13"/>
      <c r="T291" s="12"/>
      <c r="U291" s="9"/>
      <c r="V291" s="9"/>
      <c r="W291" s="9"/>
      <c r="Y291" s="12">
        <f>IF(H291=Reference!$A$12, Reference!$C$12, IF(H291=Reference!$A$11, Reference!$C$11, IF(H291=Reference!$A$10, Reference!$C$10, IF(H291=Reference!$A$9, Reference!$C$9, 0))))</f>
        <v>0</v>
      </c>
      <c r="Z291" s="12">
        <f>IF(J291=Reference!$A$20, Reference!$C$20, IF(J291=Reference!$A$19, Reference!$C$19, IF(J291=Reference!$A$18, Reference!$C$18, IF(J291=Reference!$A$17, Reference!$C$17, 0))))</f>
        <v>0</v>
      </c>
      <c r="AA291" s="12">
        <f>IF(L291=Reference!$A$28, Reference!$C$28, IF(L291=Reference!$A$27, Reference!$C$27, IF(L291=Reference!$A$26, Reference!$C$26, IF(L291=Reference!$A$25, Reference!$C$25, 0))))</f>
        <v>0</v>
      </c>
      <c r="AB291" s="12">
        <f>IF(N291=Reference!$A$36, Reference!$C$36, IF(N291=Reference!$A$35, Reference!$C$35, IF(N291=Reference!$A$34, Reference!$C$34, IF(N291=Reference!$A$33, Reference!$C$33, 0))))</f>
        <v>0</v>
      </c>
      <c r="AC291" s="12">
        <f>(Reference!$B$2*Y291 + Reference!$B$3*AA291 + Reference!$B$4*Z291 + Reference!$B$5 * AB291)/4</f>
        <v>0</v>
      </c>
      <c r="AD291" s="12">
        <f>IF(Q291=Reference!$C$41, Reference!$D$41, IF(Q291=Reference!$C$42, Reference!$D$42, IF(Q291=Reference!$C$43, Reference!$D$43, IF(Q291=Reference!$C$44, Reference!$D$44, 0))))</f>
        <v>0</v>
      </c>
      <c r="AE291" s="12">
        <f t="shared" si="37"/>
        <v>1</v>
      </c>
    </row>
    <row r="292" spans="1:31" ht="13.15">
      <c r="A292" s="8"/>
      <c r="B292" s="9"/>
      <c r="C292" s="9"/>
      <c r="D292" s="10"/>
      <c r="E292" s="10"/>
      <c r="F292" s="9"/>
      <c r="G292" s="9"/>
      <c r="H292" s="9"/>
      <c r="I292" s="9"/>
      <c r="J292" s="9"/>
      <c r="K292" s="19"/>
      <c r="L292" s="9"/>
      <c r="M292" s="9"/>
      <c r="N292" s="9"/>
      <c r="O292" s="9"/>
      <c r="P292" s="11" t="str">
        <f>IF(AC292&gt;=Reference!$H$2, Reference!$G$2, IF(AC292&gt;=Reference!$H$3, Reference!$G$3, IF(AC292&gt;=Reference!$H$4, Reference!$G$4, IF(AC292&gt;=Reference!$H$5, Reference!$G$5, ""))))</f>
        <v/>
      </c>
      <c r="Q292" s="11" t="str">
        <f t="shared" si="36"/>
        <v/>
      </c>
      <c r="R292" s="11" t="str">
        <f>IF(AE292&gt;=Reference!$D$2, Reference!$G$2, IF(AE292&gt;=Reference!$D$3, Reference!$E$3, IF(AE292&gt;=Reference!$D$4, Reference!$E$4, IF(AE292&gt;=Reference!$D$5, Reference!$E$5, ""))))</f>
        <v>Low</v>
      </c>
      <c r="S292" s="13"/>
      <c r="T292" s="12"/>
      <c r="U292" s="9"/>
      <c r="V292" s="9"/>
      <c r="W292" s="9"/>
      <c r="Y292" s="12">
        <f>IF(H292=Reference!$A$12, Reference!$C$12, IF(H292=Reference!$A$11, Reference!$C$11, IF(H292=Reference!$A$10, Reference!$C$10, IF(H292=Reference!$A$9, Reference!$C$9, 0))))</f>
        <v>0</v>
      </c>
      <c r="Z292" s="12">
        <f>IF(J292=Reference!$A$20, Reference!$C$20, IF(J292=Reference!$A$19, Reference!$C$19, IF(J292=Reference!$A$18, Reference!$C$18, IF(J292=Reference!$A$17, Reference!$C$17, 0))))</f>
        <v>0</v>
      </c>
      <c r="AA292" s="12">
        <f>IF(L292=Reference!$A$28, Reference!$C$28, IF(L292=Reference!$A$27, Reference!$C$27, IF(L292=Reference!$A$26, Reference!$C$26, IF(L292=Reference!$A$25, Reference!$C$25, 0))))</f>
        <v>0</v>
      </c>
      <c r="AB292" s="12">
        <f>IF(N292=Reference!$A$36, Reference!$C$36, IF(N292=Reference!$A$35, Reference!$C$35, IF(N292=Reference!$A$34, Reference!$C$34, IF(N292=Reference!$A$33, Reference!$C$33, 0))))</f>
        <v>0</v>
      </c>
      <c r="AC292" s="12">
        <f>(Reference!$B$2*Y292 + Reference!$B$3*AA292 + Reference!$B$4*Z292 + Reference!$B$5 * AB292)/4</f>
        <v>0</v>
      </c>
      <c r="AD292" s="12">
        <f>IF(Q292=Reference!$C$41, Reference!$D$41, IF(Q292=Reference!$C$42, Reference!$D$42, IF(Q292=Reference!$C$43, Reference!$D$43, IF(Q292=Reference!$C$44, Reference!$D$44, 0))))</f>
        <v>0</v>
      </c>
      <c r="AE292" s="12">
        <f t="shared" si="37"/>
        <v>1</v>
      </c>
    </row>
    <row r="293" spans="1:31" ht="13.15">
      <c r="A293" s="8"/>
      <c r="B293" s="9"/>
      <c r="C293" s="9"/>
      <c r="D293" s="10"/>
      <c r="E293" s="10"/>
      <c r="F293" s="9"/>
      <c r="G293" s="9"/>
      <c r="H293" s="9"/>
      <c r="I293" s="9"/>
      <c r="J293" s="9"/>
      <c r="K293" s="9"/>
      <c r="L293" s="9"/>
      <c r="M293" s="9"/>
      <c r="N293" s="9"/>
      <c r="O293" s="9"/>
      <c r="P293" s="11" t="str">
        <f>IF(AC293&gt;=Reference!$H$2, Reference!$G$2, IF(AC293&gt;=Reference!$H$3, Reference!$G$3, IF(AC293&gt;=Reference!$H$4, Reference!$G$4, IF(AC293&gt;=Reference!$H$5, Reference!$G$5, ""))))</f>
        <v/>
      </c>
      <c r="Q293" s="11" t="str">
        <f t="shared" si="36"/>
        <v/>
      </c>
      <c r="R293" s="11" t="str">
        <f>IF(AE293&gt;=Reference!$D$2, Reference!$G$2, IF(AE293&gt;=Reference!$D$3, Reference!$E$3, IF(AE293&gt;=Reference!$D$4, Reference!$E$4, IF(AE293&gt;=Reference!$D$5, Reference!$E$5, ""))))</f>
        <v>Low</v>
      </c>
      <c r="S293" s="13"/>
      <c r="T293" s="9"/>
      <c r="U293" s="9"/>
      <c r="V293" s="9"/>
      <c r="W293" s="9"/>
      <c r="Y293" s="12">
        <f>IF(H293=Reference!$A$12, Reference!$C$12, IF(H293=Reference!$A$11, Reference!$C$11, IF(H293=Reference!$A$10, Reference!$C$10, IF(H293=Reference!$A$9, Reference!$C$9, 0))))</f>
        <v>0</v>
      </c>
      <c r="Z293" s="12">
        <f>IF(J293=Reference!$A$20, Reference!$C$20, IF(J293=Reference!$A$19, Reference!$C$19, IF(J293=Reference!$A$18, Reference!$C$18, IF(J293=Reference!$A$17, Reference!$C$17, 0))))</f>
        <v>0</v>
      </c>
      <c r="AA293" s="12">
        <f>IF(L293=Reference!$A$28, Reference!$C$28, IF(L293=Reference!$A$27, Reference!$C$27, IF(L293=Reference!$A$26, Reference!$C$26, IF(L293=Reference!$A$25, Reference!$C$25, 0))))</f>
        <v>0</v>
      </c>
      <c r="AB293" s="12">
        <f>IF(N293=Reference!$A$36, Reference!$C$36, IF(N293=Reference!$A$35, Reference!$C$35, IF(N293=Reference!$A$34, Reference!$C$34, IF(N293=Reference!$A$33, Reference!$C$33, 0))))</f>
        <v>0</v>
      </c>
      <c r="AC293" s="12">
        <f>(Reference!$B$2*Y293 + Reference!$B$3*AA293 + Reference!$B$4*Z293 + Reference!$B$5 * AB293)/4</f>
        <v>0</v>
      </c>
      <c r="AD293" s="12">
        <f>IF(Q293=Reference!$C$41, Reference!$D$41, IF(Q293=Reference!$C$42, Reference!$D$42, IF(Q293=Reference!$C$43, Reference!$D$43, IF(Q293=Reference!$C$44, Reference!$D$44, 0))))</f>
        <v>0</v>
      </c>
      <c r="AE293" s="12">
        <f t="shared" si="37"/>
        <v>1</v>
      </c>
    </row>
    <row r="294" spans="1:31" ht="13.15">
      <c r="A294" s="8"/>
      <c r="B294" s="9"/>
      <c r="C294" s="9"/>
      <c r="D294" s="18"/>
      <c r="E294" s="10"/>
      <c r="F294" s="9"/>
      <c r="G294" s="9"/>
      <c r="H294" s="9"/>
      <c r="I294" s="101"/>
      <c r="J294" s="9"/>
      <c r="K294" s="19"/>
      <c r="L294" s="9"/>
      <c r="M294" s="9"/>
      <c r="N294" s="9"/>
      <c r="O294" s="29"/>
      <c r="P294" s="11" t="str">
        <f>IF(AC294&gt;=Reference!$H$2, Reference!$G$2, IF(AC294&gt;=Reference!$H$3, Reference!$G$3, IF(AC294&gt;=Reference!$H$4, Reference!$G$4, IF(AC294&gt;=Reference!$H$5, Reference!$G$5, ""))))</f>
        <v/>
      </c>
      <c r="Q294" s="11" t="str">
        <f t="shared" si="36"/>
        <v/>
      </c>
      <c r="R294" s="11" t="str">
        <f>IF(AE294&gt;=Reference!$D$2, Reference!$G$2, IF(AE294&gt;=Reference!$D$3, Reference!$E$3, IF(AE294&gt;=Reference!$D$4, Reference!$E$4, IF(AE294&gt;=Reference!$D$5, Reference!$E$5, ""))))</f>
        <v>Low</v>
      </c>
      <c r="S294" s="13"/>
      <c r="T294" s="12"/>
      <c r="U294" s="9"/>
      <c r="V294" s="9"/>
      <c r="W294" s="9"/>
      <c r="Y294" s="12">
        <f>IF(H294=Reference!$A$12, Reference!$C$12, IF(H294=Reference!$A$11, Reference!$C$11, IF(H294=Reference!$A$10, Reference!$C$10, IF(H294=Reference!$A$9, Reference!$C$9, 0))))</f>
        <v>0</v>
      </c>
      <c r="Z294" s="12">
        <f>IF(J294=Reference!$A$20, Reference!$C$20, IF(J294=Reference!$A$19, Reference!$C$19, IF(J294=Reference!$A$18, Reference!$C$18, IF(J294=Reference!$A$17, Reference!$C$17, 0))))</f>
        <v>0</v>
      </c>
      <c r="AA294" s="12">
        <f>IF(L294=Reference!$A$28, Reference!$C$28, IF(L294=Reference!$A$27, Reference!$C$27, IF(L294=Reference!$A$26, Reference!$C$26, IF(L294=Reference!$A$25, Reference!$C$25, 0))))</f>
        <v>0</v>
      </c>
      <c r="AB294" s="12">
        <f>IF(N294=Reference!$A$36, Reference!$C$36, IF(N294=Reference!$A$35, Reference!$C$35, IF(N294=Reference!$A$34, Reference!$C$34, IF(N294=Reference!$A$33, Reference!$C$33, 0))))</f>
        <v>0</v>
      </c>
      <c r="AC294" s="12">
        <f>(Reference!$B$2*Y294 + Reference!$B$3*AA294 + Reference!$B$4*Z294 + Reference!$B$5 * AB294)/4</f>
        <v>0</v>
      </c>
      <c r="AD294" s="12">
        <f>IF(Q294=Reference!$C$41, Reference!$D$41, IF(Q294=Reference!$C$42, Reference!$D$42, IF(Q294=Reference!$C$43, Reference!$D$43, IF(Q294=Reference!$C$44, Reference!$D$44, 0))))</f>
        <v>0</v>
      </c>
      <c r="AE294" s="12">
        <f t="shared" si="37"/>
        <v>1</v>
      </c>
    </row>
    <row r="295" spans="1:31" ht="13.15">
      <c r="A295" s="8"/>
      <c r="B295" s="9"/>
      <c r="C295" s="9"/>
      <c r="D295" s="10"/>
      <c r="E295" s="10"/>
      <c r="F295" s="9"/>
      <c r="G295" s="9"/>
      <c r="H295" s="9"/>
      <c r="I295" s="9"/>
      <c r="J295" s="9"/>
      <c r="K295" s="9"/>
      <c r="L295" s="9"/>
      <c r="M295" s="9"/>
      <c r="N295" s="9"/>
      <c r="O295" s="9"/>
      <c r="P295" s="11" t="str">
        <f>IF(AC295&gt;=Reference!$H$2, Reference!$G$2, IF(AC295&gt;=Reference!$H$3, Reference!$G$3, IF(AC295&gt;=Reference!$H$4, Reference!$G$4, IF(AC295&gt;=Reference!$H$5, Reference!$G$5, ""))))</f>
        <v/>
      </c>
      <c r="Q295" s="11" t="str">
        <f t="shared" si="36"/>
        <v/>
      </c>
      <c r="R295" s="11" t="str">
        <f>IF(AE295&gt;=Reference!$D$2, Reference!$G$2, IF(AE295&gt;=Reference!$D$3, Reference!$E$3, IF(AE295&gt;=Reference!$D$4, Reference!$E$4, IF(AE295&gt;=Reference!$D$5, Reference!$E$5, ""))))</f>
        <v>Low</v>
      </c>
      <c r="S295" s="13"/>
      <c r="T295" s="12"/>
      <c r="U295" s="9"/>
      <c r="V295" s="9"/>
      <c r="W295" s="9"/>
      <c r="Y295" s="12">
        <f>IF(H295=Reference!$A$12, Reference!$C$12, IF(H295=Reference!$A$11, Reference!$C$11, IF(H295=Reference!$A$10, Reference!$C$10, IF(H295=Reference!$A$9, Reference!$C$9, 0))))</f>
        <v>0</v>
      </c>
      <c r="Z295" s="12">
        <f>IF(J295=Reference!$A$20, Reference!$C$20, IF(J295=Reference!$A$19, Reference!$C$19, IF(J295=Reference!$A$18, Reference!$C$18, IF(J295=Reference!$A$17, Reference!$C$17, 0))))</f>
        <v>0</v>
      </c>
      <c r="AA295" s="12">
        <f>IF(L295=Reference!$A$28, Reference!$C$28, IF(L295=Reference!$A$27, Reference!$C$27, IF(L295=Reference!$A$26, Reference!$C$26, IF(L295=Reference!$A$25, Reference!$C$25, 0))))</f>
        <v>0</v>
      </c>
      <c r="AB295" s="12">
        <f>IF(N295=Reference!$A$36, Reference!$C$36, IF(N295=Reference!$A$35, Reference!$C$35, IF(N295=Reference!$A$34, Reference!$C$34, IF(N295=Reference!$A$33, Reference!$C$33, 0))))</f>
        <v>0</v>
      </c>
      <c r="AC295" s="12">
        <f>(Reference!$B$2*Y295 + Reference!$B$3*AA295 + Reference!$B$4*Z295 + Reference!$B$5 * AB295)/4</f>
        <v>0</v>
      </c>
      <c r="AD295" s="12">
        <f>IF(Q295=Reference!$C$41, Reference!$D$41, IF(Q295=Reference!$C$42, Reference!$D$42, IF(Q295=Reference!$C$43, Reference!$D$43, IF(Q295=Reference!$C$44, Reference!$D$44, 0))))</f>
        <v>0</v>
      </c>
      <c r="AE295" s="12">
        <f t="shared" si="37"/>
        <v>1</v>
      </c>
    </row>
    <row r="296" spans="1:31" ht="13.15">
      <c r="A296" s="8"/>
      <c r="B296" s="9"/>
      <c r="C296" s="9"/>
      <c r="D296" s="10"/>
      <c r="E296" s="10"/>
      <c r="F296" s="9"/>
      <c r="G296" s="9"/>
      <c r="H296" s="9"/>
      <c r="I296" s="9"/>
      <c r="J296" s="9"/>
      <c r="K296" s="19"/>
      <c r="L296" s="9"/>
      <c r="M296" s="9"/>
      <c r="N296" s="9"/>
      <c r="O296" s="9"/>
      <c r="P296" s="11" t="str">
        <f>IF(AC296&gt;=Reference!$H$2, Reference!$G$2, IF(AC296&gt;=Reference!$H$3, Reference!$G$3, IF(AC296&gt;=Reference!$H$4, Reference!$G$4, IF(AC296&gt;=Reference!$H$5, Reference!$G$5, ""))))</f>
        <v/>
      </c>
      <c r="Q296" s="11" t="str">
        <f t="shared" si="36"/>
        <v/>
      </c>
      <c r="R296" s="11" t="str">
        <f>IF(AE296&gt;=Reference!$D$2, Reference!$G$2, IF(AE296&gt;=Reference!$D$3, Reference!$E$3, IF(AE296&gt;=Reference!$D$4, Reference!$E$4, IF(AE296&gt;=Reference!$D$5, Reference!$E$5, ""))))</f>
        <v>Low</v>
      </c>
      <c r="S296" s="13"/>
      <c r="T296" s="12"/>
      <c r="U296" s="9"/>
      <c r="V296" s="9"/>
      <c r="W296" s="9"/>
      <c r="Y296" s="12">
        <f>IF(H296=Reference!$A$12, Reference!$C$12, IF(H296=Reference!$A$11, Reference!$C$11, IF(H296=Reference!$A$10, Reference!$C$10, IF(H296=Reference!$A$9, Reference!$C$9, 0))))</f>
        <v>0</v>
      </c>
      <c r="Z296" s="12">
        <f>IF(J296=Reference!$A$20, Reference!$C$20, IF(J296=Reference!$A$19, Reference!$C$19, IF(J296=Reference!$A$18, Reference!$C$18, IF(J296=Reference!$A$17, Reference!$C$17, 0))))</f>
        <v>0</v>
      </c>
      <c r="AA296" s="12">
        <f>IF(L296=Reference!$A$28, Reference!$C$28, IF(L296=Reference!$A$27, Reference!$C$27, IF(L296=Reference!$A$26, Reference!$C$26, IF(L296=Reference!$A$25, Reference!$C$25, 0))))</f>
        <v>0</v>
      </c>
      <c r="AB296" s="12">
        <f>IF(N296=Reference!$A$36, Reference!$C$36, IF(N296=Reference!$A$35, Reference!$C$35, IF(N296=Reference!$A$34, Reference!$C$34, IF(N296=Reference!$A$33, Reference!$C$33, 0))))</f>
        <v>0</v>
      </c>
      <c r="AC296" s="12">
        <f>(Reference!$B$2*Y296 + Reference!$B$3*AA296 + Reference!$B$4*Z296 + Reference!$B$5 * AB296)/4</f>
        <v>0</v>
      </c>
      <c r="AD296" s="12">
        <f>IF(Q296=Reference!$C$41, Reference!$D$41, IF(Q296=Reference!$C$42, Reference!$D$42, IF(Q296=Reference!$C$43, Reference!$D$43, IF(Q296=Reference!$C$44, Reference!$D$44, 0))))</f>
        <v>0</v>
      </c>
      <c r="AE296" s="12">
        <f t="shared" si="37"/>
        <v>1</v>
      </c>
    </row>
    <row r="297" spans="1:31" ht="13.15">
      <c r="A297" s="8"/>
      <c r="B297" s="9"/>
      <c r="C297" s="9"/>
      <c r="D297" s="10"/>
      <c r="E297" s="10"/>
      <c r="F297" s="9"/>
      <c r="G297" s="9"/>
      <c r="H297" s="9"/>
      <c r="I297" s="9"/>
      <c r="J297" s="9"/>
      <c r="K297" s="9"/>
      <c r="L297" s="9"/>
      <c r="M297" s="9"/>
      <c r="N297" s="9"/>
      <c r="O297" s="9"/>
      <c r="P297" s="11" t="str">
        <f>IF(AC297&gt;=Reference!$H$2, Reference!$G$2, IF(AC297&gt;=Reference!$H$3, Reference!$G$3, IF(AC297&gt;=Reference!$H$4, Reference!$G$4, IF(AC297&gt;=Reference!$H$5, Reference!$G$5, ""))))</f>
        <v/>
      </c>
      <c r="Q297" s="11" t="str">
        <f t="shared" si="36"/>
        <v/>
      </c>
      <c r="R297" s="11" t="str">
        <f>IF(AE297&gt;=Reference!$D$2, Reference!$G$2, IF(AE297&gt;=Reference!$D$3, Reference!$E$3, IF(AE297&gt;=Reference!$D$4, Reference!$E$4, IF(AE297&gt;=Reference!$D$5, Reference!$E$5, ""))))</f>
        <v>Low</v>
      </c>
      <c r="S297" s="13"/>
      <c r="T297" s="12"/>
      <c r="U297" s="9"/>
      <c r="V297" s="9"/>
      <c r="W297" s="9"/>
      <c r="Y297" s="12">
        <f>IF(H297=Reference!$A$12, Reference!$C$12, IF(H297=Reference!$A$11, Reference!$C$11, IF(H297=Reference!$A$10, Reference!$C$10, IF(H297=Reference!$A$9, Reference!$C$9, 0))))</f>
        <v>0</v>
      </c>
      <c r="Z297" s="12">
        <f>IF(J297=Reference!$A$20, Reference!$C$20, IF(J297=Reference!$A$19, Reference!$C$19, IF(J297=Reference!$A$18, Reference!$C$18, IF(J297=Reference!$A$17, Reference!$C$17, 0))))</f>
        <v>0</v>
      </c>
      <c r="AA297" s="12">
        <f>IF(L297=Reference!$A$28, Reference!$C$28, IF(L297=Reference!$A$27, Reference!$C$27, IF(L297=Reference!$A$26, Reference!$C$26, IF(L297=Reference!$A$25, Reference!$C$25, 0))))</f>
        <v>0</v>
      </c>
      <c r="AB297" s="12">
        <f>IF(N297=Reference!$A$36, Reference!$C$36, IF(N297=Reference!$A$35, Reference!$C$35, IF(N297=Reference!$A$34, Reference!$C$34, IF(N297=Reference!$A$33, Reference!$C$33, 0))))</f>
        <v>0</v>
      </c>
      <c r="AC297" s="12">
        <f>(Reference!$B$2*Y297 + Reference!$B$3*AA297 + Reference!$B$4*Z297 + Reference!$B$5 * AB297)/4</f>
        <v>0</v>
      </c>
      <c r="AD297" s="12">
        <f>IF(Q297=Reference!$C$41, Reference!$D$41, IF(Q297=Reference!$C$42, Reference!$D$42, IF(Q297=Reference!$C$43, Reference!$D$43, IF(Q297=Reference!$C$44, Reference!$D$44, 0))))</f>
        <v>0</v>
      </c>
      <c r="AE297" s="12">
        <f t="shared" si="37"/>
        <v>1</v>
      </c>
    </row>
    <row r="298" spans="1:31" ht="13.15">
      <c r="A298" s="8"/>
      <c r="B298" s="9"/>
      <c r="C298" s="9"/>
      <c r="D298" s="10"/>
      <c r="E298" s="10"/>
      <c r="F298" s="9"/>
      <c r="G298" s="9"/>
      <c r="H298" s="9"/>
      <c r="I298" s="9"/>
      <c r="J298" s="9"/>
      <c r="K298" s="19"/>
      <c r="L298" s="9"/>
      <c r="M298" s="9"/>
      <c r="N298" s="9"/>
      <c r="O298" s="9"/>
      <c r="P298" s="11" t="str">
        <f>IF(AC298&gt;=Reference!$H$2, Reference!$G$2, IF(AC298&gt;=Reference!$H$3, Reference!$G$3, IF(AC298&gt;=Reference!$H$4, Reference!$G$4, IF(AC298&gt;=Reference!$H$5, Reference!$G$5, ""))))</f>
        <v/>
      </c>
      <c r="Q298" s="11" t="str">
        <f t="shared" si="36"/>
        <v/>
      </c>
      <c r="R298" s="11" t="str">
        <f>IF(AE298&gt;=Reference!$D$2, Reference!$G$2, IF(AE298&gt;=Reference!$D$3, Reference!$E$3, IF(AE298&gt;=Reference!$D$4, Reference!$E$4, IF(AE298&gt;=Reference!$D$5, Reference!$E$5, ""))))</f>
        <v>Low</v>
      </c>
      <c r="S298" s="13"/>
      <c r="T298" s="12"/>
      <c r="U298" s="9"/>
      <c r="V298" s="15"/>
      <c r="W298" s="9"/>
      <c r="Y298" s="12">
        <f>IF(H298=Reference!$A$12, Reference!$C$12, IF(H298=Reference!$A$11, Reference!$C$11, IF(H298=Reference!$A$10, Reference!$C$10, IF(H298=Reference!$A$9, Reference!$C$9, 0))))</f>
        <v>0</v>
      </c>
      <c r="Z298" s="12">
        <f>IF(J298=Reference!$A$20, Reference!$C$20, IF(J298=Reference!$A$19, Reference!$C$19, IF(J298=Reference!$A$18, Reference!$C$18, IF(J298=Reference!$A$17, Reference!$C$17, 0))))</f>
        <v>0</v>
      </c>
      <c r="AA298" s="12">
        <f>IF(L298=Reference!$A$28, Reference!$C$28, IF(L298=Reference!$A$27, Reference!$C$27, IF(L298=Reference!$A$26, Reference!$C$26, IF(L298=Reference!$A$25, Reference!$C$25, 0))))</f>
        <v>0</v>
      </c>
      <c r="AB298" s="12">
        <f>IF(N298=Reference!$A$36, Reference!$C$36, IF(N298=Reference!$A$35, Reference!$C$35, IF(N298=Reference!$A$34, Reference!$C$34, IF(N298=Reference!$A$33, Reference!$C$33, 0))))</f>
        <v>0</v>
      </c>
      <c r="AC298" s="12">
        <f>(Reference!$B$2*Y298 + Reference!$B$3*AA298 + Reference!$B$4*Z298 + Reference!$B$5 * AB298)/4</f>
        <v>0</v>
      </c>
      <c r="AD298" s="12">
        <f>IF(Q298=Reference!$C$41, Reference!$D$41, IF(Q298=Reference!$C$42, Reference!$D$42, IF(Q298=Reference!$C$43, Reference!$D$43, IF(Q298=Reference!$C$44, Reference!$D$44, 0))))</f>
        <v>0</v>
      </c>
      <c r="AE298" s="12">
        <f t="shared" si="37"/>
        <v>1</v>
      </c>
    </row>
    <row r="299" spans="1:31" ht="13.15">
      <c r="A299" s="8"/>
      <c r="B299" s="9"/>
      <c r="C299" s="9"/>
      <c r="D299" s="10"/>
      <c r="E299" s="10"/>
      <c r="F299" s="9"/>
      <c r="G299" s="9"/>
      <c r="H299" s="9"/>
      <c r="I299" s="9"/>
      <c r="J299" s="9"/>
      <c r="K299" s="9"/>
      <c r="L299" s="9"/>
      <c r="M299" s="9"/>
      <c r="N299" s="9"/>
      <c r="O299" s="9"/>
      <c r="P299" s="11" t="str">
        <f>IF(AC299&gt;=Reference!$H$2, Reference!$G$2, IF(AC299&gt;=Reference!$H$3, Reference!$G$3, IF(AC299&gt;=Reference!$H$4, Reference!$G$4, IF(AC299&gt;=Reference!$H$5, Reference!$G$5, ""))))</f>
        <v/>
      </c>
      <c r="Q299" s="11" t="str">
        <f t="shared" si="36"/>
        <v/>
      </c>
      <c r="R299" s="11" t="str">
        <f>IF(AE299&gt;=Reference!$D$2, Reference!$G$2, IF(AE299&gt;=Reference!$D$3, Reference!$E$3, IF(AE299&gt;=Reference!$D$4, Reference!$E$4, IF(AE299&gt;=Reference!$D$5, Reference!$E$5, ""))))</f>
        <v>Low</v>
      </c>
      <c r="S299" s="13"/>
      <c r="T299" s="12"/>
      <c r="U299" s="9"/>
      <c r="V299" s="9"/>
      <c r="W299" s="9"/>
      <c r="Y299" s="12">
        <f>IF(H299=Reference!$A$12, Reference!$C$12, IF(H299=Reference!$A$11, Reference!$C$11, IF(H299=Reference!$A$10, Reference!$C$10, IF(H299=Reference!$A$9, Reference!$C$9, 0))))</f>
        <v>0</v>
      </c>
      <c r="Z299" s="12">
        <f>IF(J299=Reference!$A$20, Reference!$C$20, IF(J299=Reference!$A$19, Reference!$C$19, IF(J299=Reference!$A$18, Reference!$C$18, IF(J299=Reference!$A$17, Reference!$C$17, 0))))</f>
        <v>0</v>
      </c>
      <c r="AA299" s="12">
        <f>IF(L299=Reference!$A$28, Reference!$C$28, IF(L299=Reference!$A$27, Reference!$C$27, IF(L299=Reference!$A$26, Reference!$C$26, IF(L299=Reference!$A$25, Reference!$C$25, 0))))</f>
        <v>0</v>
      </c>
      <c r="AB299" s="12">
        <f>IF(N299=Reference!$A$36, Reference!$C$36, IF(N299=Reference!$A$35, Reference!$C$35, IF(N299=Reference!$A$34, Reference!$C$34, IF(N299=Reference!$A$33, Reference!$C$33, 0))))</f>
        <v>0</v>
      </c>
      <c r="AC299" s="12">
        <f>(Reference!$B$2*Y299 + Reference!$B$3*AA299 + Reference!$B$4*Z299 + Reference!$B$5 * AB299)/4</f>
        <v>0</v>
      </c>
      <c r="AD299" s="12">
        <f>IF(Q299=Reference!$C$41, Reference!$D$41, IF(Q299=Reference!$C$42, Reference!$D$42, IF(Q299=Reference!$C$43, Reference!$D$43, IF(Q299=Reference!$C$44, Reference!$D$44, 0))))</f>
        <v>0</v>
      </c>
      <c r="AE299" s="12">
        <f t="shared" si="37"/>
        <v>1</v>
      </c>
    </row>
    <row r="300" spans="1:31" ht="13.15">
      <c r="A300" s="8"/>
      <c r="B300" s="9"/>
      <c r="C300" s="9"/>
      <c r="D300" s="10"/>
      <c r="E300" s="10"/>
      <c r="F300" s="9"/>
      <c r="G300" s="9"/>
      <c r="H300" s="9"/>
      <c r="I300" s="9"/>
      <c r="J300" s="9"/>
      <c r="K300" s="9"/>
      <c r="L300" s="9"/>
      <c r="M300" s="9"/>
      <c r="N300" s="9"/>
      <c r="O300" s="9"/>
      <c r="P300" s="11" t="str">
        <f>IF(AC300&gt;=Reference!$H$2, Reference!$G$2, IF(AC300&gt;=Reference!$H$3, Reference!$G$3, IF(AC300&gt;=Reference!$H$4, Reference!$G$4, IF(AC300&gt;=Reference!$H$5, Reference!$G$5, ""))))</f>
        <v/>
      </c>
      <c r="Q300" s="11" t="str">
        <f t="shared" si="36"/>
        <v/>
      </c>
      <c r="R300" s="11" t="str">
        <f>IF(AE300&gt;=Reference!$D$2, Reference!$G$2, IF(AE300&gt;=Reference!$D$3, Reference!$E$3, IF(AE300&gt;=Reference!$D$4, Reference!$E$4, IF(AE300&gt;=Reference!$D$5, Reference!$E$5, ""))))</f>
        <v>Low</v>
      </c>
      <c r="S300" s="13"/>
      <c r="T300" s="12"/>
      <c r="U300" s="9"/>
      <c r="V300" s="9"/>
      <c r="W300" s="9"/>
      <c r="Y300" s="12">
        <f>IF(H300=Reference!$A$12, Reference!$C$12, IF(H300=Reference!$A$11, Reference!$C$11, IF(H300=Reference!$A$10, Reference!$C$10, IF(H300=Reference!$A$9, Reference!$C$9, 0))))</f>
        <v>0</v>
      </c>
      <c r="Z300" s="12">
        <f>IF(J300=Reference!$A$20, Reference!$C$20, IF(J300=Reference!$A$19, Reference!$C$19, IF(J300=Reference!$A$18, Reference!$C$18, IF(J300=Reference!$A$17, Reference!$C$17, 0))))</f>
        <v>0</v>
      </c>
      <c r="AA300" s="12">
        <f>IF(L300=Reference!$A$28, Reference!$C$28, IF(L300=Reference!$A$27, Reference!$C$27, IF(L300=Reference!$A$26, Reference!$C$26, IF(L300=Reference!$A$25, Reference!$C$25, 0))))</f>
        <v>0</v>
      </c>
      <c r="AB300" s="12">
        <f>IF(N300=Reference!$A$36, Reference!$C$36, IF(N300=Reference!$A$35, Reference!$C$35, IF(N300=Reference!$A$34, Reference!$C$34, IF(N300=Reference!$A$33, Reference!$C$33, 0))))</f>
        <v>0</v>
      </c>
      <c r="AC300" s="12">
        <f>(Reference!$B$2*Y300 + Reference!$B$3*AA300 + Reference!$B$4*Z300 + Reference!$B$5 * AB300)/4</f>
        <v>0</v>
      </c>
      <c r="AD300" s="12">
        <f>IF(Q300=Reference!$C$41, Reference!$D$41, IF(Q300=Reference!$C$42, Reference!$D$42, IF(Q300=Reference!$C$43, Reference!$D$43, IF(Q300=Reference!$C$44, Reference!$D$44, 0))))</f>
        <v>0</v>
      </c>
      <c r="AE300" s="12">
        <f t="shared" si="37"/>
        <v>1</v>
      </c>
    </row>
    <row r="301" spans="1:31" ht="13.15">
      <c r="A301" s="8"/>
      <c r="B301" s="9"/>
      <c r="C301" s="9"/>
      <c r="D301" s="10"/>
      <c r="E301" s="10"/>
      <c r="F301" s="9"/>
      <c r="G301" s="9"/>
      <c r="H301" s="9"/>
      <c r="I301" s="9"/>
      <c r="J301" s="9"/>
      <c r="K301" s="19"/>
      <c r="L301" s="9"/>
      <c r="M301" s="9"/>
      <c r="N301" s="9"/>
      <c r="O301" s="9"/>
      <c r="P301" s="11" t="str">
        <f>IF(AC301&gt;=Reference!$H$2, Reference!$G$2, IF(AC301&gt;=Reference!$H$3, Reference!$G$3, IF(AC301&gt;=Reference!$H$4, Reference!$G$4, IF(AC301&gt;=Reference!$H$5, Reference!$G$5, ""))))</f>
        <v/>
      </c>
      <c r="Q301" s="11" t="str">
        <f t="shared" si="36"/>
        <v/>
      </c>
      <c r="R301" s="11" t="str">
        <f>IF(AE301&gt;=Reference!$D$2, Reference!$G$2, IF(AE301&gt;=Reference!$D$3, Reference!$E$3, IF(AE301&gt;=Reference!$D$4, Reference!$E$4, IF(AE301&gt;=Reference!$D$5, Reference!$E$5, ""))))</f>
        <v>Low</v>
      </c>
      <c r="S301" s="13"/>
      <c r="T301" s="12"/>
      <c r="U301" s="9"/>
      <c r="V301" s="9"/>
      <c r="W301" s="9"/>
      <c r="Y301" s="12">
        <f>IF(H301=Reference!$A$12, Reference!$C$12, IF(H301=Reference!$A$11, Reference!$C$11, IF(H301=Reference!$A$10, Reference!$C$10, IF(H301=Reference!$A$9, Reference!$C$9, 0))))</f>
        <v>0</v>
      </c>
      <c r="Z301" s="12">
        <f>IF(J301=Reference!$A$20, Reference!$C$20, IF(J301=Reference!$A$19, Reference!$C$19, IF(J301=Reference!$A$18, Reference!$C$18, IF(J301=Reference!$A$17, Reference!$C$17, 0))))</f>
        <v>0</v>
      </c>
      <c r="AA301" s="12">
        <f>IF(L301=Reference!$A$28, Reference!$C$28, IF(L301=Reference!$A$27, Reference!$C$27, IF(L301=Reference!$A$26, Reference!$C$26, IF(L301=Reference!$A$25, Reference!$C$25, 0))))</f>
        <v>0</v>
      </c>
      <c r="AB301" s="12">
        <f>IF(N301=Reference!$A$36, Reference!$C$36, IF(N301=Reference!$A$35, Reference!$C$35, IF(N301=Reference!$A$34, Reference!$C$34, IF(N301=Reference!$A$33, Reference!$C$33, 0))))</f>
        <v>0</v>
      </c>
      <c r="AC301" s="12">
        <f>(Reference!$B$2*Y301 + Reference!$B$3*AA301 + Reference!$B$4*Z301 + Reference!$B$5 * AB301)/4</f>
        <v>0</v>
      </c>
      <c r="AD301" s="12">
        <f>IF(Q301=Reference!$C$41, Reference!$D$41, IF(Q301=Reference!$C$42, Reference!$D$42, IF(Q301=Reference!$C$43, Reference!$D$43, IF(Q301=Reference!$C$44, Reference!$D$44, 0))))</f>
        <v>0</v>
      </c>
      <c r="AE301" s="12">
        <f t="shared" si="37"/>
        <v>1</v>
      </c>
    </row>
    <row r="302" spans="1:31" ht="13.15">
      <c r="A302" s="8"/>
      <c r="B302" s="9"/>
      <c r="C302" s="9"/>
      <c r="D302" s="10"/>
      <c r="E302" s="10"/>
      <c r="F302" s="9"/>
      <c r="G302" s="9"/>
      <c r="H302" s="9"/>
      <c r="I302" s="9"/>
      <c r="J302" s="9"/>
      <c r="K302" s="9"/>
      <c r="L302" s="9"/>
      <c r="M302" s="9"/>
      <c r="N302" s="9"/>
      <c r="O302" s="9"/>
      <c r="P302" s="11" t="str">
        <f>IF(AC302&gt;=Reference!$H$2, Reference!$G$2, IF(AC302&gt;=Reference!$H$3, Reference!$G$3, IF(AC302&gt;=Reference!$H$4, Reference!$G$4, IF(AC302&gt;=Reference!$H$5, Reference!$G$5, ""))))</f>
        <v/>
      </c>
      <c r="Q302" s="11" t="str">
        <f t="shared" si="36"/>
        <v/>
      </c>
      <c r="R302" s="11" t="str">
        <f>IF(AE302&gt;=Reference!$D$2, Reference!$G$2, IF(AE302&gt;=Reference!$D$3, Reference!$E$3, IF(AE302&gt;=Reference!$D$4, Reference!$E$4, IF(AE302&gt;=Reference!$D$5, Reference!$E$5, ""))))</f>
        <v>Low</v>
      </c>
      <c r="S302" s="13"/>
      <c r="T302" s="12"/>
      <c r="U302" s="9"/>
      <c r="V302" s="9"/>
      <c r="W302" s="9"/>
      <c r="Y302" s="12">
        <f>IF(H302=Reference!$A$12, Reference!$C$12, IF(H302=Reference!$A$11, Reference!$C$11, IF(H302=Reference!$A$10, Reference!$C$10, IF(H302=Reference!$A$9, Reference!$C$9, 0))))</f>
        <v>0</v>
      </c>
      <c r="Z302" s="12">
        <f>IF(J302=Reference!$A$20, Reference!$C$20, IF(J302=Reference!$A$19, Reference!$C$19, IF(J302=Reference!$A$18, Reference!$C$18, IF(J302=Reference!$A$17, Reference!$C$17, 0))))</f>
        <v>0</v>
      </c>
      <c r="AA302" s="12">
        <f>IF(L302=Reference!$A$28, Reference!$C$28, IF(L302=Reference!$A$27, Reference!$C$27, IF(L302=Reference!$A$26, Reference!$C$26, IF(L302=Reference!$A$25, Reference!$C$25, 0))))</f>
        <v>0</v>
      </c>
      <c r="AB302" s="12">
        <f>IF(N302=Reference!$A$36, Reference!$C$36, IF(N302=Reference!$A$35, Reference!$C$35, IF(N302=Reference!$A$34, Reference!$C$34, IF(N302=Reference!$A$33, Reference!$C$33, 0))))</f>
        <v>0</v>
      </c>
      <c r="AC302" s="12">
        <f>(Reference!$B$2*Y302 + Reference!$B$3*AA302 + Reference!$B$4*Z302 + Reference!$B$5 * AB302)/4</f>
        <v>0</v>
      </c>
      <c r="AD302" s="12">
        <f>IF(Q302=Reference!$C$41, Reference!$D$41, IF(Q302=Reference!$C$42, Reference!$D$42, IF(Q302=Reference!$C$43, Reference!$D$43, IF(Q302=Reference!$C$44, Reference!$D$44, 0))))</f>
        <v>0</v>
      </c>
      <c r="AE302" s="12">
        <f t="shared" si="37"/>
        <v>1</v>
      </c>
    </row>
    <row r="303" spans="1:31" ht="13.15">
      <c r="A303" s="8"/>
      <c r="B303" s="9"/>
      <c r="C303" s="9"/>
      <c r="D303" s="10"/>
      <c r="E303" s="10"/>
      <c r="F303" s="9"/>
      <c r="G303" s="9"/>
      <c r="H303" s="9"/>
      <c r="I303" s="9"/>
      <c r="J303" s="9"/>
      <c r="K303" s="19"/>
      <c r="L303" s="9"/>
      <c r="M303" s="9"/>
      <c r="N303" s="9"/>
      <c r="O303" s="9"/>
      <c r="P303" s="11" t="str">
        <f>IF(AC303&gt;=Reference!$H$2, Reference!$G$2, IF(AC303&gt;=Reference!$H$3, Reference!$G$3, IF(AC303&gt;=Reference!$H$4, Reference!$G$4, IF(AC303&gt;=Reference!$H$5, Reference!$G$5, ""))))</f>
        <v/>
      </c>
      <c r="Q303" s="11" t="str">
        <f t="shared" si="36"/>
        <v/>
      </c>
      <c r="R303" s="11" t="str">
        <f>IF(AE303&gt;=Reference!$D$2, Reference!$G$2, IF(AE303&gt;=Reference!$D$3, Reference!$E$3, IF(AE303&gt;=Reference!$D$4, Reference!$E$4, IF(AE303&gt;=Reference!$D$5, Reference!$E$5, ""))))</f>
        <v>Low</v>
      </c>
      <c r="S303" s="13"/>
      <c r="T303" s="12"/>
      <c r="U303" s="9"/>
      <c r="V303" s="9"/>
      <c r="W303" s="9"/>
      <c r="Y303" s="12">
        <f>IF(H303=Reference!$A$12, Reference!$C$12, IF(H303=Reference!$A$11, Reference!$C$11, IF(H303=Reference!$A$10, Reference!$C$10, IF(H303=Reference!$A$9, Reference!$C$9, 0))))</f>
        <v>0</v>
      </c>
      <c r="Z303" s="12">
        <f>IF(J303=Reference!$A$20, Reference!$C$20, IF(J303=Reference!$A$19, Reference!$C$19, IF(J303=Reference!$A$18, Reference!$C$18, IF(J303=Reference!$A$17, Reference!$C$17, 0))))</f>
        <v>0</v>
      </c>
      <c r="AA303" s="12">
        <f>IF(L303=Reference!$A$28, Reference!$C$28, IF(L303=Reference!$A$27, Reference!$C$27, IF(L303=Reference!$A$26, Reference!$C$26, IF(L303=Reference!$A$25, Reference!$C$25, 0))))</f>
        <v>0</v>
      </c>
      <c r="AB303" s="12">
        <f>IF(N303=Reference!$A$36, Reference!$C$36, IF(N303=Reference!$A$35, Reference!$C$35, IF(N303=Reference!$A$34, Reference!$C$34, IF(N303=Reference!$A$33, Reference!$C$33, 0))))</f>
        <v>0</v>
      </c>
      <c r="AC303" s="12">
        <f>(Reference!$B$2*Y303 + Reference!$B$3*AA303 + Reference!$B$4*Z303 + Reference!$B$5 * AB303)/4</f>
        <v>0</v>
      </c>
      <c r="AD303" s="12">
        <f>IF(Q303=Reference!$C$41, Reference!$D$41, IF(Q303=Reference!$C$42, Reference!$D$42, IF(Q303=Reference!$C$43, Reference!$D$43, IF(Q303=Reference!$C$44, Reference!$D$44, 0))))</f>
        <v>0</v>
      </c>
      <c r="AE303" s="12">
        <f t="shared" si="37"/>
        <v>1</v>
      </c>
    </row>
    <row r="304" spans="1:31" ht="13.15">
      <c r="A304" s="8"/>
      <c r="B304" s="9"/>
      <c r="C304" s="9"/>
      <c r="D304" s="10"/>
      <c r="E304" s="10"/>
      <c r="F304" s="9"/>
      <c r="G304" s="9"/>
      <c r="H304" s="9"/>
      <c r="I304" s="9"/>
      <c r="J304" s="9"/>
      <c r="K304" s="9"/>
      <c r="L304" s="9"/>
      <c r="M304" s="9"/>
      <c r="N304" s="9"/>
      <c r="O304" s="9"/>
      <c r="P304" s="11" t="str">
        <f>IF(AC304&gt;=Reference!$H$2, Reference!$G$2, IF(AC304&gt;=Reference!$H$3, Reference!$G$3, IF(AC304&gt;=Reference!$H$4, Reference!$G$4, IF(AC304&gt;=Reference!$H$5, Reference!$G$5, ""))))</f>
        <v/>
      </c>
      <c r="Q304" s="11" t="str">
        <f t="shared" si="36"/>
        <v/>
      </c>
      <c r="R304" s="11" t="str">
        <f>IF(AE304&gt;=Reference!$D$2, Reference!$G$2, IF(AE304&gt;=Reference!$D$3, Reference!$E$3, IF(AE304&gt;=Reference!$D$4, Reference!$E$4, IF(AE304&gt;=Reference!$D$5, Reference!$E$5, ""))))</f>
        <v>Low</v>
      </c>
      <c r="S304" s="13"/>
      <c r="T304" s="12"/>
      <c r="U304" s="9"/>
      <c r="V304" s="9"/>
      <c r="W304" s="9"/>
      <c r="Y304" s="12">
        <f>IF(H304=Reference!$A$12, Reference!$C$12, IF(H304=Reference!$A$11, Reference!$C$11, IF(H304=Reference!$A$10, Reference!$C$10, IF(H304=Reference!$A$9, Reference!$C$9, 0))))</f>
        <v>0</v>
      </c>
      <c r="Z304" s="12">
        <f>IF(J304=Reference!$A$20, Reference!$C$20, IF(J304=Reference!$A$19, Reference!$C$19, IF(J304=Reference!$A$18, Reference!$C$18, IF(J304=Reference!$A$17, Reference!$C$17, 0))))</f>
        <v>0</v>
      </c>
      <c r="AA304" s="12">
        <f>IF(L304=Reference!$A$28, Reference!$C$28, IF(L304=Reference!$A$27, Reference!$C$27, IF(L304=Reference!$A$26, Reference!$C$26, IF(L304=Reference!$A$25, Reference!$C$25, 0))))</f>
        <v>0</v>
      </c>
      <c r="AB304" s="12">
        <f>IF(N304=Reference!$A$36, Reference!$C$36, IF(N304=Reference!$A$35, Reference!$C$35, IF(N304=Reference!$A$34, Reference!$C$34, IF(N304=Reference!$A$33, Reference!$C$33, 0))))</f>
        <v>0</v>
      </c>
      <c r="AC304" s="12">
        <f>(Reference!$B$2*Y304 + Reference!$B$3*AA304 + Reference!$B$4*Z304 + Reference!$B$5 * AB304)/4</f>
        <v>0</v>
      </c>
      <c r="AD304" s="12">
        <f>IF(Q304=Reference!$C$41, Reference!$D$41, IF(Q304=Reference!$C$42, Reference!$D$42, IF(Q304=Reference!$C$43, Reference!$D$43, IF(Q304=Reference!$C$44, Reference!$D$44, 0))))</f>
        <v>0</v>
      </c>
      <c r="AE304" s="12">
        <f t="shared" si="37"/>
        <v>1</v>
      </c>
    </row>
    <row r="305" spans="1:31" ht="13.15">
      <c r="A305" s="8"/>
      <c r="B305" s="9"/>
      <c r="C305" s="9"/>
      <c r="D305" s="10"/>
      <c r="E305" s="10"/>
      <c r="F305" s="9"/>
      <c r="G305" s="9"/>
      <c r="H305" s="9"/>
      <c r="I305" s="9"/>
      <c r="J305" s="9"/>
      <c r="K305" s="19"/>
      <c r="L305" s="9"/>
      <c r="M305" s="9"/>
      <c r="N305" s="9"/>
      <c r="O305" s="9"/>
      <c r="P305" s="11" t="str">
        <f>IF(AC305&gt;=Reference!$H$2, Reference!$G$2, IF(AC305&gt;=Reference!$H$3, Reference!$G$3, IF(AC305&gt;=Reference!$H$4, Reference!$G$4, IF(AC305&gt;=Reference!$H$5, Reference!$G$5, ""))))</f>
        <v/>
      </c>
      <c r="Q305" s="11" t="str">
        <f t="shared" si="36"/>
        <v/>
      </c>
      <c r="R305" s="11" t="str">
        <f>IF(AE305&gt;=Reference!$D$2, Reference!$G$2, IF(AE305&gt;=Reference!$D$3, Reference!$E$3, IF(AE305&gt;=Reference!$D$4, Reference!$E$4, IF(AE305&gt;=Reference!$D$5, Reference!$E$5, ""))))</f>
        <v>Low</v>
      </c>
      <c r="S305" s="13"/>
      <c r="T305" s="12"/>
      <c r="U305" s="9"/>
      <c r="V305" s="9"/>
      <c r="W305" s="9"/>
      <c r="Y305" s="12">
        <f>IF(H305=Reference!$A$12, Reference!$C$12, IF(H305=Reference!$A$11, Reference!$C$11, IF(H305=Reference!$A$10, Reference!$C$10, IF(H305=Reference!$A$9, Reference!$C$9, 0))))</f>
        <v>0</v>
      </c>
      <c r="Z305" s="12">
        <f>IF(J305=Reference!$A$20, Reference!$C$20, IF(J305=Reference!$A$19, Reference!$C$19, IF(J305=Reference!$A$18, Reference!$C$18, IF(J305=Reference!$A$17, Reference!$C$17, 0))))</f>
        <v>0</v>
      </c>
      <c r="AA305" s="12">
        <f>IF(L305=Reference!$A$28, Reference!$C$28, IF(L305=Reference!$A$27, Reference!$C$27, IF(L305=Reference!$A$26, Reference!$C$26, IF(L305=Reference!$A$25, Reference!$C$25, 0))))</f>
        <v>0</v>
      </c>
      <c r="AB305" s="12">
        <f>IF(N305=Reference!$A$36, Reference!$C$36, IF(N305=Reference!$A$35, Reference!$C$35, IF(N305=Reference!$A$34, Reference!$C$34, IF(N305=Reference!$A$33, Reference!$C$33, 0))))</f>
        <v>0</v>
      </c>
      <c r="AC305" s="12">
        <f>(Reference!$B$2*Y305 + Reference!$B$3*AA305 + Reference!$B$4*Z305 + Reference!$B$5 * AB305)/4</f>
        <v>0</v>
      </c>
      <c r="AD305" s="12">
        <f>IF(Q305=Reference!$C$41, Reference!$D$41, IF(Q305=Reference!$C$42, Reference!$D$42, IF(Q305=Reference!$C$43, Reference!$D$43, IF(Q305=Reference!$C$44, Reference!$D$44, 0))))</f>
        <v>0</v>
      </c>
      <c r="AE305" s="12">
        <f t="shared" si="37"/>
        <v>1</v>
      </c>
    </row>
    <row r="306" spans="1:31" ht="13.15">
      <c r="A306" s="8"/>
      <c r="B306" s="9"/>
      <c r="C306" s="9"/>
      <c r="D306" s="10"/>
      <c r="E306" s="18"/>
      <c r="F306" s="9"/>
      <c r="G306" s="9"/>
      <c r="H306" s="9"/>
      <c r="I306" s="19"/>
      <c r="J306" s="9"/>
      <c r="K306" s="19"/>
      <c r="L306" s="9"/>
      <c r="M306" s="19"/>
      <c r="N306" s="9"/>
      <c r="O306" s="19"/>
      <c r="P306" s="11" t="str">
        <f>IF(AC306&gt;=Reference!$H$2, Reference!$G$2, IF(AC306&gt;=Reference!$H$3, Reference!$G$3, IF(AC306&gt;=Reference!$H$4, Reference!$G$4, IF(AC306&gt;=Reference!$H$5, Reference!$G$5, ""))))</f>
        <v/>
      </c>
      <c r="Q306" s="11" t="str">
        <f t="shared" si="36"/>
        <v/>
      </c>
      <c r="R306" s="11" t="str">
        <f>IF(AE306&gt;=Reference!$D$2, Reference!$G$2, IF(AE306&gt;=Reference!$D$3, Reference!$E$3, IF(AE306&gt;=Reference!$D$4, Reference!$E$4, IF(AE306&gt;=Reference!$D$5, Reference!$E$5, ""))))</f>
        <v>Low</v>
      </c>
      <c r="S306" s="13"/>
      <c r="T306" s="12"/>
      <c r="U306" s="9"/>
      <c r="V306" s="9"/>
      <c r="W306" s="9"/>
      <c r="Y306" s="12">
        <f>IF(H306=Reference!$A$12, Reference!$C$12, IF(H306=Reference!$A$11, Reference!$C$11, IF(H306=Reference!$A$10, Reference!$C$10, IF(H306=Reference!$A$9, Reference!$C$9, 0))))</f>
        <v>0</v>
      </c>
      <c r="Z306" s="12">
        <f>IF(J306=Reference!$A$20, Reference!$C$20, IF(J306=Reference!$A$19, Reference!$C$19, IF(J306=Reference!$A$18, Reference!$C$18, IF(J306=Reference!$A$17, Reference!$C$17, 0))))</f>
        <v>0</v>
      </c>
      <c r="AA306" s="12">
        <f>IF(L306=Reference!$A$28, Reference!$C$28, IF(L306=Reference!$A$27, Reference!$C$27, IF(L306=Reference!$A$26, Reference!$C$26, IF(L306=Reference!$A$25, Reference!$C$25, 0))))</f>
        <v>0</v>
      </c>
      <c r="AB306" s="12">
        <f>IF(N306=Reference!$A$36, Reference!$C$36, IF(N306=Reference!$A$35, Reference!$C$35, IF(N306=Reference!$A$34, Reference!$C$34, IF(N306=Reference!$A$33, Reference!$C$33, 0))))</f>
        <v>0</v>
      </c>
      <c r="AC306" s="12">
        <f>(Reference!$B$2*Y306 + Reference!$B$3*AA306 + Reference!$B$4*Z306 + Reference!$B$5 * AB306)/4</f>
        <v>0</v>
      </c>
      <c r="AD306" s="12">
        <f>IF(Q306=Reference!$C$41, Reference!$D$41, IF(Q306=Reference!$C$42, Reference!$D$42, IF(Q306=Reference!$C$43, Reference!$D$43, IF(Q306=Reference!$C$44, Reference!$D$44, 0))))</f>
        <v>0</v>
      </c>
      <c r="AE306" s="12">
        <f t="shared" si="37"/>
        <v>1</v>
      </c>
    </row>
    <row r="307" spans="1:31" ht="13.15">
      <c r="A307" s="8"/>
      <c r="B307" s="102"/>
      <c r="C307" s="9"/>
      <c r="D307" s="10"/>
      <c r="E307" s="10"/>
      <c r="F307" s="9"/>
      <c r="G307" s="9"/>
      <c r="H307" s="9"/>
      <c r="I307" s="9"/>
      <c r="J307" s="9"/>
      <c r="K307" s="19"/>
      <c r="L307" s="9"/>
      <c r="M307" s="9"/>
      <c r="N307" s="9"/>
      <c r="O307" s="9"/>
      <c r="P307" s="11" t="str">
        <f>IF(AC307&gt;=Reference!$H$2, Reference!$G$2, IF(AC307&gt;=Reference!$H$3, Reference!$G$3, IF(AC307&gt;=Reference!$H$4, Reference!$G$4, IF(AC307&gt;=Reference!$H$5, Reference!$G$5, ""))))</f>
        <v/>
      </c>
      <c r="Q307" s="11" t="str">
        <f t="shared" si="36"/>
        <v/>
      </c>
      <c r="R307" s="11" t="str">
        <f>IF(AE307&gt;=Reference!$D$2, Reference!$G$2, IF(AE307&gt;=Reference!$D$3, Reference!$E$3, IF(AE307&gt;=Reference!$D$4, Reference!$E$4, IF(AE307&gt;=Reference!$D$5, Reference!$E$5, ""))))</f>
        <v>Low</v>
      </c>
      <c r="S307" s="13"/>
      <c r="T307" s="12"/>
      <c r="U307" s="9"/>
      <c r="V307" s="9"/>
      <c r="W307" s="9"/>
      <c r="Y307" s="12">
        <f>IF(H307=Reference!$A$12, Reference!$C$12, IF(H307=Reference!$A$11, Reference!$C$11, IF(H307=Reference!$A$10, Reference!$C$10, IF(H307=Reference!$A$9, Reference!$C$9, 0))))</f>
        <v>0</v>
      </c>
      <c r="Z307" s="12">
        <f>IF(J307=Reference!$A$20, Reference!$C$20, IF(J307=Reference!$A$19, Reference!$C$19, IF(J307=Reference!$A$18, Reference!$C$18, IF(J307=Reference!$A$17, Reference!$C$17, 0))))</f>
        <v>0</v>
      </c>
      <c r="AA307" s="12">
        <f>IF(L307=Reference!$A$28, Reference!$C$28, IF(L307=Reference!$A$27, Reference!$C$27, IF(L307=Reference!$A$26, Reference!$C$26, IF(L307=Reference!$A$25, Reference!$C$25, 0))))</f>
        <v>0</v>
      </c>
      <c r="AB307" s="12">
        <f>IF(N307=Reference!$A$36, Reference!$C$36, IF(N307=Reference!$A$35, Reference!$C$35, IF(N307=Reference!$A$34, Reference!$C$34, IF(N307=Reference!$A$33, Reference!$C$33, 0))))</f>
        <v>0</v>
      </c>
      <c r="AC307" s="12">
        <f>(Reference!$B$2*Y307 + Reference!$B$3*AA307 + Reference!$B$4*Z307 + Reference!$B$5 * AB307)/4</f>
        <v>0</v>
      </c>
      <c r="AD307" s="12">
        <f>IF(Q307=Reference!$C$41, Reference!$D$41, IF(Q307=Reference!$C$42, Reference!$D$42, IF(Q307=Reference!$C$43, Reference!$D$43, IF(Q307=Reference!$C$44, Reference!$D$44, 0))))</f>
        <v>0</v>
      </c>
      <c r="AE307" s="12">
        <f t="shared" si="37"/>
        <v>1</v>
      </c>
    </row>
    <row r="308" spans="1:31" ht="13.15">
      <c r="A308" s="8"/>
      <c r="B308" s="9"/>
      <c r="C308" s="9"/>
      <c r="D308" s="10"/>
      <c r="E308" s="10"/>
      <c r="F308" s="9"/>
      <c r="G308" s="9"/>
      <c r="H308" s="9"/>
      <c r="I308" s="9"/>
      <c r="J308" s="9"/>
      <c r="K308" s="9"/>
      <c r="L308" s="9"/>
      <c r="M308" s="9"/>
      <c r="N308" s="9"/>
      <c r="O308" s="9"/>
      <c r="P308" s="11" t="str">
        <f>IF(AC308&gt;=Reference!$H$2, Reference!$G$2, IF(AC308&gt;=Reference!$H$3, Reference!$G$3, IF(AC308&gt;=Reference!$H$4, Reference!$G$4, IF(AC308&gt;=Reference!$H$5, Reference!$G$5, ""))))</f>
        <v/>
      </c>
      <c r="Q308" s="11" t="str">
        <f t="shared" si="36"/>
        <v/>
      </c>
      <c r="R308" s="11" t="str">
        <f>IF(AE308&gt;=Reference!$D$2, Reference!$G$2, IF(AE308&gt;=Reference!$D$3, Reference!$E$3, IF(AE308&gt;=Reference!$D$4, Reference!$E$4, IF(AE308&gt;=Reference!$D$5, Reference!$E$5, ""))))</f>
        <v>Low</v>
      </c>
      <c r="S308" s="13"/>
      <c r="T308" s="12"/>
      <c r="U308" s="9"/>
      <c r="V308" s="9"/>
      <c r="W308" s="9"/>
      <c r="Y308" s="12">
        <f>IF(H308=Reference!$A$12, Reference!$C$12, IF(H308=Reference!$A$11, Reference!$C$11, IF(H308=Reference!$A$10, Reference!$C$10, IF(H308=Reference!$A$9, Reference!$C$9, 0))))</f>
        <v>0</v>
      </c>
      <c r="Z308" s="12">
        <f>IF(J308=Reference!$A$20, Reference!$C$20, IF(J308=Reference!$A$19, Reference!$C$19, IF(J308=Reference!$A$18, Reference!$C$18, IF(J308=Reference!$A$17, Reference!$C$17, 0))))</f>
        <v>0</v>
      </c>
      <c r="AA308" s="12">
        <f>IF(L308=Reference!$A$28, Reference!$C$28, IF(L308=Reference!$A$27, Reference!$C$27, IF(L308=Reference!$A$26, Reference!$C$26, IF(L308=Reference!$A$25, Reference!$C$25, 0))))</f>
        <v>0</v>
      </c>
      <c r="AB308" s="12">
        <f>IF(N308=Reference!$A$36, Reference!$C$36, IF(N308=Reference!$A$35, Reference!$C$35, IF(N308=Reference!$A$34, Reference!$C$34, IF(N308=Reference!$A$33, Reference!$C$33, 0))))</f>
        <v>0</v>
      </c>
      <c r="AC308" s="12">
        <f>(Reference!$B$2*Y308 + Reference!$B$3*AA308 + Reference!$B$4*Z308 + Reference!$B$5 * AB308)/4</f>
        <v>0</v>
      </c>
      <c r="AD308" s="12">
        <f>IF(Q308=Reference!$C$41, Reference!$D$41, IF(Q308=Reference!$C$42, Reference!$D$42, IF(Q308=Reference!$C$43, Reference!$D$43, IF(Q308=Reference!$C$44, Reference!$D$44, 0))))</f>
        <v>0</v>
      </c>
      <c r="AE308" s="12">
        <f t="shared" si="37"/>
        <v>1</v>
      </c>
    </row>
    <row r="309" spans="1:31" ht="13.15">
      <c r="A309" s="8"/>
      <c r="B309" s="9"/>
      <c r="C309" s="9"/>
      <c r="D309" s="10"/>
      <c r="E309" s="10"/>
      <c r="F309" s="9"/>
      <c r="G309" s="9"/>
      <c r="H309" s="9"/>
      <c r="I309" s="19"/>
      <c r="J309" s="9"/>
      <c r="K309" s="19"/>
      <c r="L309" s="9"/>
      <c r="M309" s="19"/>
      <c r="N309" s="9"/>
      <c r="O309" s="19"/>
      <c r="P309" s="11" t="str">
        <f>IF(AC309&gt;=Reference!$H$2, Reference!$G$2, IF(AC309&gt;=Reference!$H$3, Reference!$G$3, IF(AC309&gt;=Reference!$H$4, Reference!$G$4, IF(AC309&gt;=Reference!$H$5, Reference!$G$5, ""))))</f>
        <v/>
      </c>
      <c r="Q309" s="11" t="str">
        <f t="shared" si="36"/>
        <v/>
      </c>
      <c r="R309" s="11" t="str">
        <f>IF(AE309&gt;=Reference!$D$2, Reference!$G$2, IF(AE309&gt;=Reference!$D$3, Reference!$E$3, IF(AE309&gt;=Reference!$D$4, Reference!$E$4, IF(AE309&gt;=Reference!$D$5, Reference!$E$5, ""))))</f>
        <v>Low</v>
      </c>
      <c r="S309" s="13"/>
      <c r="T309" s="12"/>
      <c r="U309" s="9"/>
      <c r="V309" s="9"/>
      <c r="W309" s="9"/>
      <c r="Y309" s="12">
        <f>IF(H309=Reference!$A$12, Reference!$C$12, IF(H309=Reference!$A$11, Reference!$C$11, IF(H309=Reference!$A$10, Reference!$C$10, IF(H309=Reference!$A$9, Reference!$C$9, 0))))</f>
        <v>0</v>
      </c>
      <c r="Z309" s="12">
        <f>IF(J309=Reference!$A$20, Reference!$C$20, IF(J309=Reference!$A$19, Reference!$C$19, IF(J309=Reference!$A$18, Reference!$C$18, IF(J309=Reference!$A$17, Reference!$C$17, 0))))</f>
        <v>0</v>
      </c>
      <c r="AA309" s="12">
        <f>IF(L309=Reference!$A$28, Reference!$C$28, IF(L309=Reference!$A$27, Reference!$C$27, IF(L309=Reference!$A$26, Reference!$C$26, IF(L309=Reference!$A$25, Reference!$C$25, 0))))</f>
        <v>0</v>
      </c>
      <c r="AB309" s="12">
        <f>IF(N309=Reference!$A$36, Reference!$C$36, IF(N309=Reference!$A$35, Reference!$C$35, IF(N309=Reference!$A$34, Reference!$C$34, IF(N309=Reference!$A$33, Reference!$C$33, 0))))</f>
        <v>0</v>
      </c>
      <c r="AC309" s="12">
        <f>(Reference!$B$2*Y309 + Reference!$B$3*AA309 + Reference!$B$4*Z309 + Reference!$B$5 * AB309)/4</f>
        <v>0</v>
      </c>
      <c r="AD309" s="12">
        <f>IF(Q309=Reference!$C$41, Reference!$D$41, IF(Q309=Reference!$C$42, Reference!$D$42, IF(Q309=Reference!$C$43, Reference!$D$43, IF(Q309=Reference!$C$44, Reference!$D$44, 0))))</f>
        <v>0</v>
      </c>
      <c r="AE309" s="12">
        <f t="shared" si="37"/>
        <v>1</v>
      </c>
    </row>
    <row r="310" spans="1:31" ht="13.15">
      <c r="A310" s="8"/>
      <c r="B310" s="9"/>
      <c r="C310" s="9"/>
      <c r="D310" s="10"/>
      <c r="E310" s="18"/>
      <c r="F310" s="9"/>
      <c r="G310" s="9"/>
      <c r="H310" s="9"/>
      <c r="I310" s="19"/>
      <c r="J310" s="9"/>
      <c r="K310" s="19"/>
      <c r="L310" s="9"/>
      <c r="M310" s="19"/>
      <c r="N310" s="9"/>
      <c r="O310" s="19"/>
      <c r="P310" s="11" t="str">
        <f>IF(AC310&gt;=Reference!$H$2, Reference!$G$2, IF(AC310&gt;=Reference!$H$3, Reference!$G$3, IF(AC310&gt;=Reference!$H$4, Reference!$G$4, IF(AC310&gt;=Reference!$H$5, Reference!$G$5, ""))))</f>
        <v/>
      </c>
      <c r="Q310" s="11" t="str">
        <f t="shared" si="36"/>
        <v/>
      </c>
      <c r="R310" s="11" t="str">
        <f>IF(AE310&gt;=Reference!$D$2, Reference!$G$2, IF(AE310&gt;=Reference!$D$3, Reference!$E$3, IF(AE310&gt;=Reference!$D$4, Reference!$E$4, IF(AE310&gt;=Reference!$D$5, Reference!$E$5, ""))))</f>
        <v>Low</v>
      </c>
      <c r="S310" s="13"/>
      <c r="T310" s="12"/>
      <c r="U310" s="9"/>
      <c r="V310" s="9"/>
      <c r="W310" s="9"/>
      <c r="Y310" s="12">
        <f>IF(H310=Reference!$A$12, Reference!$C$12, IF(H310=Reference!$A$11, Reference!$C$11, IF(H310=Reference!$A$10, Reference!$C$10, IF(H310=Reference!$A$9, Reference!$C$9, 0))))</f>
        <v>0</v>
      </c>
      <c r="Z310" s="12">
        <f>IF(J310=Reference!$A$20, Reference!$C$20, IF(J310=Reference!$A$19, Reference!$C$19, IF(J310=Reference!$A$18, Reference!$C$18, IF(J310=Reference!$A$17, Reference!$C$17, 0))))</f>
        <v>0</v>
      </c>
      <c r="AA310" s="12">
        <f>IF(L310=Reference!$A$28, Reference!$C$28, IF(L310=Reference!$A$27, Reference!$C$27, IF(L310=Reference!$A$26, Reference!$C$26, IF(L310=Reference!$A$25, Reference!$C$25, 0))))</f>
        <v>0</v>
      </c>
      <c r="AB310" s="12">
        <f>IF(N310=Reference!$A$36, Reference!$C$36, IF(N310=Reference!$A$35, Reference!$C$35, IF(N310=Reference!$A$34, Reference!$C$34, IF(N310=Reference!$A$33, Reference!$C$33, 0))))</f>
        <v>0</v>
      </c>
      <c r="AC310" s="12">
        <f>(Reference!$B$2*Y310 + Reference!$B$3*AA310 + Reference!$B$4*Z310 + Reference!$B$5 * AB310)/4</f>
        <v>0</v>
      </c>
      <c r="AD310" s="12">
        <f>IF(Q310=Reference!$C$41, Reference!$D$41, IF(Q310=Reference!$C$42, Reference!$D$42, IF(Q310=Reference!$C$43, Reference!$D$43, IF(Q310=Reference!$C$44, Reference!$D$44, 0))))</f>
        <v>0</v>
      </c>
      <c r="AE310" s="12">
        <f t="shared" si="37"/>
        <v>1</v>
      </c>
    </row>
    <row r="311" spans="1:31" ht="13.15">
      <c r="A311" s="8"/>
      <c r="B311" s="9"/>
      <c r="C311" s="9"/>
      <c r="D311" s="10"/>
      <c r="E311" s="10"/>
      <c r="F311" s="9"/>
      <c r="G311" s="9"/>
      <c r="H311" s="9"/>
      <c r="I311" s="9"/>
      <c r="J311" s="9"/>
      <c r="K311" s="9"/>
      <c r="L311" s="9"/>
      <c r="M311" s="9"/>
      <c r="N311" s="9"/>
      <c r="O311" s="9"/>
      <c r="P311" s="11" t="str">
        <f>IF(AC311&gt;=Reference!$H$2, Reference!$G$2, IF(AC311&gt;=Reference!$H$3, Reference!$G$3, IF(AC311&gt;=Reference!$H$4, Reference!$G$4, IF(AC311&gt;=Reference!$H$5, Reference!$G$5, ""))))</f>
        <v/>
      </c>
      <c r="Q311" s="11" t="str">
        <f t="shared" si="36"/>
        <v/>
      </c>
      <c r="R311" s="11" t="str">
        <f>IF(AE311&gt;=Reference!$D$2, Reference!$G$2, IF(AE311&gt;=Reference!$D$3, Reference!$E$3, IF(AE311&gt;=Reference!$D$4, Reference!$E$4, IF(AE311&gt;=Reference!$D$5, Reference!$E$5, ""))))</f>
        <v>Low</v>
      </c>
      <c r="S311" s="13"/>
      <c r="T311" s="12"/>
      <c r="U311" s="9"/>
      <c r="V311" s="9"/>
      <c r="W311" s="9"/>
      <c r="Y311" s="12">
        <f>IF(H311=Reference!$A$12, Reference!$C$12, IF(H311=Reference!$A$11, Reference!$C$11, IF(H311=Reference!$A$10, Reference!$C$10, IF(H311=Reference!$A$9, Reference!$C$9, 0))))</f>
        <v>0</v>
      </c>
      <c r="Z311" s="12">
        <f>IF(J311=Reference!$A$20, Reference!$C$20, IF(J311=Reference!$A$19, Reference!$C$19, IF(J311=Reference!$A$18, Reference!$C$18, IF(J311=Reference!$A$17, Reference!$C$17, 0))))</f>
        <v>0</v>
      </c>
      <c r="AA311" s="12">
        <f>IF(L311=Reference!$A$28, Reference!$C$28, IF(L311=Reference!$A$27, Reference!$C$27, IF(L311=Reference!$A$26, Reference!$C$26, IF(L311=Reference!$A$25, Reference!$C$25, 0))))</f>
        <v>0</v>
      </c>
      <c r="AB311" s="12">
        <f>IF(N311=Reference!$A$36, Reference!$C$36, IF(N311=Reference!$A$35, Reference!$C$35, IF(N311=Reference!$A$34, Reference!$C$34, IF(N311=Reference!$A$33, Reference!$C$33, 0))))</f>
        <v>0</v>
      </c>
      <c r="AC311" s="12">
        <f>(Reference!$B$2*Y311 + Reference!$B$3*AA311 + Reference!$B$4*Z311 + Reference!$B$5 * AB311)/4</f>
        <v>0</v>
      </c>
      <c r="AD311" s="12">
        <f>IF(Q311=Reference!$C$41, Reference!$D$41, IF(Q311=Reference!$C$42, Reference!$D$42, IF(Q311=Reference!$C$43, Reference!$D$43, IF(Q311=Reference!$C$44, Reference!$D$44, 0))))</f>
        <v>0</v>
      </c>
      <c r="AE311" s="12">
        <f t="shared" si="37"/>
        <v>1</v>
      </c>
    </row>
    <row r="312" spans="1:31" ht="13.15">
      <c r="A312" s="8"/>
      <c r="B312" s="9"/>
      <c r="C312" s="9"/>
      <c r="D312" s="10"/>
      <c r="E312" s="10"/>
      <c r="F312" s="9"/>
      <c r="G312" s="9"/>
      <c r="H312" s="9"/>
      <c r="I312" s="9"/>
      <c r="J312" s="9"/>
      <c r="K312" s="9"/>
      <c r="L312" s="9"/>
      <c r="M312" s="9"/>
      <c r="N312" s="9"/>
      <c r="O312" s="9"/>
      <c r="P312" s="11" t="str">
        <f>IF(AC312&gt;=Reference!$H$2, Reference!$G$2, IF(AC312&gt;=Reference!$H$3, Reference!$G$3, IF(AC312&gt;=Reference!$H$4, Reference!$G$4, IF(AC312&gt;=Reference!$H$5, Reference!$G$5, ""))))</f>
        <v/>
      </c>
      <c r="Q312" s="11" t="str">
        <f t="shared" si="36"/>
        <v/>
      </c>
      <c r="R312" s="11" t="str">
        <f>IF(AE312&gt;=Reference!$D$2, Reference!$G$2, IF(AE312&gt;=Reference!$D$3, Reference!$E$3, IF(AE312&gt;=Reference!$D$4, Reference!$E$4, IF(AE312&gt;=Reference!$D$5, Reference!$E$5, ""))))</f>
        <v>Low</v>
      </c>
      <c r="S312" s="13"/>
      <c r="T312" s="12"/>
      <c r="U312" s="9"/>
      <c r="V312" s="9"/>
      <c r="W312" s="9"/>
      <c r="Y312" s="12">
        <f>IF(H312=Reference!$A$12, Reference!$C$12, IF(H312=Reference!$A$11, Reference!$C$11, IF(H312=Reference!$A$10, Reference!$C$10, IF(H312=Reference!$A$9, Reference!$C$9, 0))))</f>
        <v>0</v>
      </c>
      <c r="Z312" s="12">
        <f>IF(J312=Reference!$A$20, Reference!$C$20, IF(J312=Reference!$A$19, Reference!$C$19, IF(J312=Reference!$A$18, Reference!$C$18, IF(J312=Reference!$A$17, Reference!$C$17, 0))))</f>
        <v>0</v>
      </c>
      <c r="AA312" s="12">
        <f>IF(L312=Reference!$A$28, Reference!$C$28, IF(L312=Reference!$A$27, Reference!$C$27, IF(L312=Reference!$A$26, Reference!$C$26, IF(L312=Reference!$A$25, Reference!$C$25, 0))))</f>
        <v>0</v>
      </c>
      <c r="AB312" s="12">
        <f>IF(N312=Reference!$A$36, Reference!$C$36, IF(N312=Reference!$A$35, Reference!$C$35, IF(N312=Reference!$A$34, Reference!$C$34, IF(N312=Reference!$A$33, Reference!$C$33, 0))))</f>
        <v>0</v>
      </c>
      <c r="AC312" s="12">
        <f>(Reference!$B$2*Y312 + Reference!$B$3*AA312 + Reference!$B$4*Z312 + Reference!$B$5 * AB312)/4</f>
        <v>0</v>
      </c>
      <c r="AD312" s="12">
        <f>IF(Q312=Reference!$C$41, Reference!$D$41, IF(Q312=Reference!$C$42, Reference!$D$42, IF(Q312=Reference!$C$43, Reference!$D$43, IF(Q312=Reference!$C$44, Reference!$D$44, 0))))</f>
        <v>0</v>
      </c>
      <c r="AE312" s="12">
        <f t="shared" si="37"/>
        <v>1</v>
      </c>
    </row>
    <row r="313" spans="1:31" ht="13.15">
      <c r="A313" s="8"/>
      <c r="B313" s="102"/>
      <c r="C313" s="9"/>
      <c r="D313" s="10"/>
      <c r="E313" s="10"/>
      <c r="F313" s="9"/>
      <c r="G313" s="9"/>
      <c r="H313" s="9"/>
      <c r="I313" s="9"/>
      <c r="J313" s="9"/>
      <c r="K313" s="9"/>
      <c r="L313" s="9"/>
      <c r="M313" s="9"/>
      <c r="N313" s="9"/>
      <c r="O313" s="9"/>
      <c r="P313" s="11" t="str">
        <f>IF(AC313&gt;=Reference!$H$2, Reference!$G$2, IF(AC313&gt;=Reference!$H$3, Reference!$G$3, IF(AC313&gt;=Reference!$H$4, Reference!$G$4, IF(AC313&gt;=Reference!$H$5, Reference!$G$5, ""))))</f>
        <v/>
      </c>
      <c r="Q313" s="11" t="str">
        <f t="shared" si="36"/>
        <v/>
      </c>
      <c r="R313" s="11" t="str">
        <f>IF(AE313&gt;=Reference!$D$2, Reference!$G$2, IF(AE313&gt;=Reference!$D$3, Reference!$E$3, IF(AE313&gt;=Reference!$D$4, Reference!$E$4, IF(AE313&gt;=Reference!$D$5, Reference!$E$5, ""))))</f>
        <v>Low</v>
      </c>
      <c r="S313" s="13"/>
      <c r="T313" s="9"/>
      <c r="U313" s="9"/>
      <c r="V313" s="9"/>
      <c r="W313" s="9"/>
      <c r="Y313" s="12">
        <f>IF(H313=Reference!$A$12, Reference!$C$12, IF(H313=Reference!$A$11, Reference!$C$11, IF(H313=Reference!$A$10, Reference!$C$10, IF(H313=Reference!$A$9, Reference!$C$9, 0))))</f>
        <v>0</v>
      </c>
      <c r="Z313" s="12">
        <f>IF(J313=Reference!$A$20, Reference!$C$20, IF(J313=Reference!$A$19, Reference!$C$19, IF(J313=Reference!$A$18, Reference!$C$18, IF(J313=Reference!$A$17, Reference!$C$17, 0))))</f>
        <v>0</v>
      </c>
      <c r="AA313" s="12">
        <f>IF(L313=Reference!$A$28, Reference!$C$28, IF(L313=Reference!$A$27, Reference!$C$27, IF(L313=Reference!$A$26, Reference!$C$26, IF(L313=Reference!$A$25, Reference!$C$25, 0))))</f>
        <v>0</v>
      </c>
      <c r="AB313" s="12">
        <f>IF(N313=Reference!$A$36, Reference!$C$36, IF(N313=Reference!$A$35, Reference!$C$35, IF(N313=Reference!$A$34, Reference!$C$34, IF(N313=Reference!$A$33, Reference!$C$33, 0))))</f>
        <v>0</v>
      </c>
      <c r="AC313" s="12">
        <f>(Reference!$B$2*Y313 + Reference!$B$3*AA313 + Reference!$B$4*Z313 + Reference!$B$5 * AB313)/4</f>
        <v>0</v>
      </c>
      <c r="AD313" s="12">
        <f>IF(Q313=Reference!$C$41, Reference!$D$41, IF(Q313=Reference!$C$42, Reference!$D$42, IF(Q313=Reference!$C$43, Reference!$D$43, IF(Q313=Reference!$C$44, Reference!$D$44, 0))))</f>
        <v>0</v>
      </c>
      <c r="AE313" s="12">
        <f t="shared" si="37"/>
        <v>1</v>
      </c>
    </row>
    <row r="314" spans="1:31" ht="13.15">
      <c r="A314" s="8"/>
      <c r="B314" s="9"/>
      <c r="C314" s="9"/>
      <c r="D314" s="18"/>
      <c r="E314" s="18"/>
      <c r="F314" s="9"/>
      <c r="G314" s="19"/>
      <c r="H314" s="9"/>
      <c r="I314" s="19"/>
      <c r="J314" s="9"/>
      <c r="K314" s="9"/>
      <c r="L314" s="9"/>
      <c r="M314" s="19"/>
      <c r="N314" s="9"/>
      <c r="O314" s="9"/>
      <c r="P314" s="11" t="str">
        <f>IF(AC314&gt;=Reference!$H$2, Reference!$G$2, IF(AC314&gt;=Reference!$H$3, Reference!$G$3, IF(AC314&gt;=Reference!$H$4, Reference!$G$4, IF(AC314&gt;=Reference!$H$5, Reference!$G$5, ""))))</f>
        <v/>
      </c>
      <c r="Q314" s="11" t="str">
        <f t="shared" si="36"/>
        <v/>
      </c>
      <c r="R314" s="11" t="str">
        <f>IF(AE314&gt;=Reference!$D$2, Reference!$G$2, IF(AE314&gt;=Reference!$D$3, Reference!$E$3, IF(AE314&gt;=Reference!$D$4, Reference!$E$4, IF(AE314&gt;=Reference!$D$5, Reference!$E$5, ""))))</f>
        <v>Low</v>
      </c>
      <c r="S314" s="13"/>
      <c r="T314" s="23"/>
      <c r="U314" s="9"/>
      <c r="V314" s="16"/>
      <c r="W314" s="9"/>
      <c r="Y314" s="12">
        <f>IF(H314=Reference!$A$12, Reference!$C$12, IF(H314=Reference!$A$11, Reference!$C$11, IF(H314=Reference!$A$10, Reference!$C$10, IF(H314=Reference!$A$9, Reference!$C$9, 0))))</f>
        <v>0</v>
      </c>
      <c r="Z314" s="12">
        <f>IF(J314=Reference!$A$20, Reference!$C$20, IF(J314=Reference!$A$19, Reference!$C$19, IF(J314=Reference!$A$18, Reference!$C$18, IF(J314=Reference!$A$17, Reference!$C$17, 0))))</f>
        <v>0</v>
      </c>
      <c r="AA314" s="12">
        <f>IF(L314=Reference!$A$28, Reference!$C$28, IF(L314=Reference!$A$27, Reference!$C$27, IF(L314=Reference!$A$26, Reference!$C$26, IF(L314=Reference!$A$25, Reference!$C$25, 0))))</f>
        <v>0</v>
      </c>
      <c r="AB314" s="12">
        <f>IF(N314=Reference!$A$36, Reference!$C$36, IF(N314=Reference!$A$35, Reference!$C$35, IF(N314=Reference!$A$34, Reference!$C$34, IF(N314=Reference!$A$33, Reference!$C$33, 0))))</f>
        <v>0</v>
      </c>
      <c r="AC314" s="12">
        <f>(Reference!$B$2*Y314 + Reference!$B$3*AA314 + Reference!$B$4*Z314 + Reference!$B$5 * AB314)/4</f>
        <v>0</v>
      </c>
      <c r="AD314" s="12">
        <f>IF(Q314=Reference!$C$41, Reference!$D$41, IF(Q314=Reference!$C$42, Reference!$D$42, IF(Q314=Reference!$C$43, Reference!$D$43, IF(Q314=Reference!$C$44, Reference!$D$44, 0))))</f>
        <v>0</v>
      </c>
      <c r="AE314" s="12">
        <f t="shared" si="37"/>
        <v>1</v>
      </c>
    </row>
    <row r="315" spans="1:31" ht="13.15">
      <c r="A315" s="8"/>
      <c r="B315" s="9"/>
      <c r="C315" s="9"/>
      <c r="D315" s="10"/>
      <c r="E315" s="18"/>
      <c r="F315" s="9"/>
      <c r="G315" s="9"/>
      <c r="H315" s="9"/>
      <c r="I315" s="9"/>
      <c r="J315" s="9"/>
      <c r="K315" s="9"/>
      <c r="L315" s="9"/>
      <c r="M315" s="9"/>
      <c r="N315" s="9"/>
      <c r="O315" s="9"/>
      <c r="P315" s="11" t="str">
        <f>IF(AC315&gt;=Reference!$H$2, Reference!$G$2, IF(AC315&gt;=Reference!$H$3, Reference!$G$3, IF(AC315&gt;=Reference!$H$4, Reference!$G$4, IF(AC315&gt;=Reference!$H$5, Reference!$G$5, ""))))</f>
        <v/>
      </c>
      <c r="Q315" s="11" t="str">
        <f t="shared" si="36"/>
        <v/>
      </c>
      <c r="R315" s="11" t="str">
        <f>IF(AE315&gt;=Reference!$D$2, Reference!$G$2, IF(AE315&gt;=Reference!$D$3, Reference!$E$3, IF(AE315&gt;=Reference!$D$4, Reference!$E$4, IF(AE315&gt;=Reference!$D$5, Reference!$E$5, ""))))</f>
        <v>Low</v>
      </c>
      <c r="S315" s="13"/>
      <c r="T315" s="12"/>
      <c r="U315" s="9"/>
      <c r="V315" s="9"/>
      <c r="W315" s="9"/>
      <c r="Y315" s="12">
        <f>IF(H315=Reference!$A$12, Reference!$C$12, IF(H315=Reference!$A$11, Reference!$C$11, IF(H315=Reference!$A$10, Reference!$C$10, IF(H315=Reference!$A$9, Reference!$C$9, 0))))</f>
        <v>0</v>
      </c>
      <c r="Z315" s="12">
        <f>IF(J315=Reference!$A$20, Reference!$C$20, IF(J315=Reference!$A$19, Reference!$C$19, IF(J315=Reference!$A$18, Reference!$C$18, IF(J315=Reference!$A$17, Reference!$C$17, 0))))</f>
        <v>0</v>
      </c>
      <c r="AA315" s="12">
        <f>IF(L315=Reference!$A$28, Reference!$C$28, IF(L315=Reference!$A$27, Reference!$C$27, IF(L315=Reference!$A$26, Reference!$C$26, IF(L315=Reference!$A$25, Reference!$C$25, 0))))</f>
        <v>0</v>
      </c>
      <c r="AB315" s="12">
        <f>IF(N315=Reference!$A$36, Reference!$C$36, IF(N315=Reference!$A$35, Reference!$C$35, IF(N315=Reference!$A$34, Reference!$C$34, IF(N315=Reference!$A$33, Reference!$C$33, 0))))</f>
        <v>0</v>
      </c>
      <c r="AC315" s="12">
        <f>(Reference!$B$2*Y315 + Reference!$B$3*AA315 + Reference!$B$4*Z315 + Reference!$B$5 * AB315)/4</f>
        <v>0</v>
      </c>
      <c r="AD315" s="12">
        <f>IF(Q315=Reference!$C$41, Reference!$D$41, IF(Q315=Reference!$C$42, Reference!$D$42, IF(Q315=Reference!$C$43, Reference!$D$43, IF(Q315=Reference!$C$44, Reference!$D$44, 0))))</f>
        <v>0</v>
      </c>
      <c r="AE315" s="12">
        <f t="shared" si="37"/>
        <v>1</v>
      </c>
    </row>
    <row r="316" spans="1:31" ht="13.15">
      <c r="A316" s="8"/>
      <c r="B316" s="9"/>
      <c r="C316" s="9"/>
      <c r="D316" s="10"/>
      <c r="E316" s="10"/>
      <c r="F316" s="9"/>
      <c r="G316" s="9"/>
      <c r="H316" s="9"/>
      <c r="I316" s="19"/>
      <c r="J316" s="9"/>
      <c r="K316" s="9"/>
      <c r="L316" s="9"/>
      <c r="M316" s="9"/>
      <c r="N316" s="9"/>
      <c r="O316" s="9"/>
      <c r="P316" s="11" t="str">
        <f>IF(AC316&gt;=Reference!$H$2, Reference!$G$2, IF(AC316&gt;=Reference!$H$3, Reference!$G$3, IF(AC316&gt;=Reference!$H$4, Reference!$G$4, IF(AC316&gt;=Reference!$H$5, Reference!$G$5, ""))))</f>
        <v/>
      </c>
      <c r="Q316" s="11" t="str">
        <f t="shared" si="36"/>
        <v/>
      </c>
      <c r="R316" s="11" t="str">
        <f>IF(AE316&gt;=Reference!$D$2, Reference!$G$2, IF(AE316&gt;=Reference!$D$3, Reference!$E$3, IF(AE316&gt;=Reference!$D$4, Reference!$E$4, IF(AE316&gt;=Reference!$D$5, Reference!$E$5, ""))))</f>
        <v>Low</v>
      </c>
      <c r="S316" s="13"/>
      <c r="T316" s="12"/>
      <c r="U316" s="9"/>
      <c r="V316" s="12"/>
      <c r="W316" s="9"/>
      <c r="X316" s="1"/>
      <c r="Y316" s="12">
        <f>IF(H316=Reference!$A$12, Reference!$C$12, IF(H316=Reference!$A$11, Reference!$C$11, IF(H316=Reference!$A$10, Reference!$C$10, IF(H316=Reference!$A$9, Reference!$C$9, 0))))</f>
        <v>0</v>
      </c>
      <c r="Z316" s="12">
        <f>IF(J316=Reference!$A$20, Reference!$C$20, IF(J316=Reference!$A$19, Reference!$C$19, IF(J316=Reference!$A$18, Reference!$C$18, IF(J316=Reference!$A$17, Reference!$C$17, 0))))</f>
        <v>0</v>
      </c>
      <c r="AA316" s="12">
        <f>IF(L316=Reference!$A$28, Reference!$C$28, IF(L316=Reference!$A$27, Reference!$C$27, IF(L316=Reference!$A$26, Reference!$C$26, IF(L316=Reference!$A$25, Reference!$C$25, 0))))</f>
        <v>0</v>
      </c>
      <c r="AB316" s="12">
        <f>IF(N316=Reference!$A$36, Reference!$C$36, IF(N316=Reference!$A$35, Reference!$C$35, IF(N316=Reference!$A$34, Reference!$C$34, IF(N316=Reference!$A$33, Reference!$C$33, 0))))</f>
        <v>0</v>
      </c>
      <c r="AC316" s="12">
        <f>(Reference!$B$2*Y316 + Reference!$B$3*AA316 + Reference!$B$4*Z316 + Reference!$B$5 * AB316)/4</f>
        <v>0</v>
      </c>
      <c r="AD316" s="12">
        <f>IF(Q316=Reference!$C$41, Reference!$D$41, IF(Q316=Reference!$C$42, Reference!$D$42, IF(Q316=Reference!$C$43, Reference!$D$43, IF(Q316=Reference!$C$44, Reference!$D$44, 0))))</f>
        <v>0</v>
      </c>
      <c r="AE316" s="12">
        <f t="shared" si="37"/>
        <v>1</v>
      </c>
    </row>
    <row r="317" spans="1:31" ht="13.15">
      <c r="A317" s="8"/>
      <c r="B317" s="9"/>
      <c r="C317" s="9"/>
      <c r="D317" s="10"/>
      <c r="E317" s="10"/>
      <c r="F317" s="9"/>
      <c r="G317" s="9"/>
      <c r="H317" s="9"/>
      <c r="I317" s="9"/>
      <c r="J317" s="9"/>
      <c r="K317" s="9"/>
      <c r="L317" s="9"/>
      <c r="M317" s="9"/>
      <c r="N317" s="9"/>
      <c r="O317" s="9"/>
      <c r="P317" s="11" t="str">
        <f>IF(AC317&gt;=Reference!$H$2, Reference!$G$2, IF(AC317&gt;=Reference!$H$3, Reference!$G$3, IF(AC317&gt;=Reference!$H$4, Reference!$G$4, IF(AC317&gt;=Reference!$H$5, Reference!$G$5, ""))))</f>
        <v/>
      </c>
      <c r="Q317" s="11" t="str">
        <f t="shared" si="36"/>
        <v/>
      </c>
      <c r="R317" s="11" t="str">
        <f>IF(AE317&gt;=Reference!$D$2, Reference!$G$2, IF(AE317&gt;=Reference!$D$3, Reference!$E$3, IF(AE317&gt;=Reference!$D$4, Reference!$E$4, IF(AE317&gt;=Reference!$D$5, Reference!$E$5, ""))))</f>
        <v>Low</v>
      </c>
      <c r="S317" s="13"/>
      <c r="T317" s="12"/>
      <c r="U317" s="9"/>
      <c r="V317" s="9"/>
      <c r="W317" s="9"/>
      <c r="Y317" s="12">
        <f>IF(H317=Reference!$A$12, Reference!$C$12, IF(H317=Reference!$A$11, Reference!$C$11, IF(H317=Reference!$A$10, Reference!$C$10, IF(H317=Reference!$A$9, Reference!$C$9, 0))))</f>
        <v>0</v>
      </c>
      <c r="Z317" s="12">
        <f>IF(J317=Reference!$A$20, Reference!$C$20, IF(J317=Reference!$A$19, Reference!$C$19, IF(J317=Reference!$A$18, Reference!$C$18, IF(J317=Reference!$A$17, Reference!$C$17, 0))))</f>
        <v>0</v>
      </c>
      <c r="AA317" s="12">
        <f>IF(L317=Reference!$A$28, Reference!$C$28, IF(L317=Reference!$A$27, Reference!$C$27, IF(L317=Reference!$A$26, Reference!$C$26, IF(L317=Reference!$A$25, Reference!$C$25, 0))))</f>
        <v>0</v>
      </c>
      <c r="AB317" s="12">
        <f>IF(N317=Reference!$A$36, Reference!$C$36, IF(N317=Reference!$A$35, Reference!$C$35, IF(N317=Reference!$A$34, Reference!$C$34, IF(N317=Reference!$A$33, Reference!$C$33, 0))))</f>
        <v>0</v>
      </c>
      <c r="AC317" s="12">
        <f>(Reference!$B$2*Y317 + Reference!$B$3*AA317 + Reference!$B$4*Z317 + Reference!$B$5 * AB317)/4</f>
        <v>0</v>
      </c>
      <c r="AD317" s="12">
        <f>IF(Q317=Reference!$C$41, Reference!$D$41, IF(Q317=Reference!$C$42, Reference!$D$42, IF(Q317=Reference!$C$43, Reference!$D$43, IF(Q317=Reference!$C$44, Reference!$D$44, 0))))</f>
        <v>0</v>
      </c>
      <c r="AE317" s="12">
        <f t="shared" si="37"/>
        <v>1</v>
      </c>
    </row>
    <row r="318" spans="1:31" ht="13.15">
      <c r="A318" s="8"/>
      <c r="B318" s="9"/>
      <c r="C318" s="9"/>
      <c r="D318" s="10"/>
      <c r="E318" s="10"/>
      <c r="F318" s="9"/>
      <c r="G318" s="9"/>
      <c r="H318" s="9"/>
      <c r="I318" s="19"/>
      <c r="J318" s="9"/>
      <c r="K318" s="9"/>
      <c r="L318" s="9"/>
      <c r="M318" s="9"/>
      <c r="N318" s="9"/>
      <c r="O318" s="9"/>
      <c r="P318" s="11" t="str">
        <f>IF(AC318&gt;=Reference!$H$2, Reference!$G$2, IF(AC318&gt;=Reference!$H$3, Reference!$G$3, IF(AC318&gt;=Reference!$H$4, Reference!$G$4, IF(AC318&gt;=Reference!$H$5, Reference!$G$5, ""))))</f>
        <v/>
      </c>
      <c r="Q318" s="11" t="str">
        <f t="shared" si="36"/>
        <v/>
      </c>
      <c r="R318" s="11" t="str">
        <f>IF(AE318&gt;=Reference!$D$2, Reference!$G$2, IF(AE318&gt;=Reference!$D$3, Reference!$E$3, IF(AE318&gt;=Reference!$D$4, Reference!$E$4, IF(AE318&gt;=Reference!$D$5, Reference!$E$5, ""))))</f>
        <v>Low</v>
      </c>
      <c r="S318" s="13"/>
      <c r="T318" s="12"/>
      <c r="U318" s="9"/>
      <c r="V318" s="30"/>
      <c r="W318" s="9"/>
      <c r="X318" s="1"/>
      <c r="Y318" s="12">
        <f>IF(H318=Reference!$A$12, Reference!$C$12, IF(H318=Reference!$A$11, Reference!$C$11, IF(H318=Reference!$A$10, Reference!$C$10, IF(H318=Reference!$A$9, Reference!$C$9, 0))))</f>
        <v>0</v>
      </c>
      <c r="Z318" s="12">
        <f>IF(J318=Reference!$A$20, Reference!$C$20, IF(J318=Reference!$A$19, Reference!$C$19, IF(J318=Reference!$A$18, Reference!$C$18, IF(J318=Reference!$A$17, Reference!$C$17, 0))))</f>
        <v>0</v>
      </c>
      <c r="AA318" s="12">
        <f>IF(L318=Reference!$A$28, Reference!$C$28, IF(L318=Reference!$A$27, Reference!$C$27, IF(L318=Reference!$A$26, Reference!$C$26, IF(L318=Reference!$A$25, Reference!$C$25, 0))))</f>
        <v>0</v>
      </c>
      <c r="AB318" s="12">
        <f>IF(N318=Reference!$A$36, Reference!$C$36, IF(N318=Reference!$A$35, Reference!$C$35, IF(N318=Reference!$A$34, Reference!$C$34, IF(N318=Reference!$A$33, Reference!$C$33, 0))))</f>
        <v>0</v>
      </c>
      <c r="AC318" s="12">
        <f>(Reference!$B$2*Y318 + Reference!$B$3*AA318 + Reference!$B$4*Z318 + Reference!$B$5 * AB318)/4</f>
        <v>0</v>
      </c>
      <c r="AD318" s="12">
        <f>IF(Q318=Reference!$C$41, Reference!$D$41, IF(Q318=Reference!$C$42, Reference!$D$42, IF(Q318=Reference!$C$43, Reference!$D$43, IF(Q318=Reference!$C$44, Reference!$D$44, 0))))</f>
        <v>0</v>
      </c>
      <c r="AE318" s="12">
        <f t="shared" si="37"/>
        <v>1</v>
      </c>
    </row>
    <row r="319" spans="1:31" ht="13.15">
      <c r="A319" s="8"/>
      <c r="B319" s="102"/>
      <c r="C319" s="9"/>
      <c r="D319" s="10"/>
      <c r="E319" s="10"/>
      <c r="F319" s="9"/>
      <c r="G319" s="9"/>
      <c r="H319" s="9"/>
      <c r="I319" s="9"/>
      <c r="J319" s="9"/>
      <c r="K319" s="9"/>
      <c r="L319" s="9"/>
      <c r="M319" s="9"/>
      <c r="N319" s="9"/>
      <c r="O319" s="9"/>
      <c r="P319" s="11" t="str">
        <f>IF(AC319&gt;=Reference!$H$2, Reference!$G$2, IF(AC319&gt;=Reference!$H$3, Reference!$G$3, IF(AC319&gt;=Reference!$H$4, Reference!$G$4, IF(AC319&gt;=Reference!$H$5, Reference!$G$5, ""))))</f>
        <v/>
      </c>
      <c r="Q319" s="11" t="str">
        <f t="shared" si="36"/>
        <v/>
      </c>
      <c r="R319" s="11" t="str">
        <f>IF(AE319&gt;=Reference!$D$2, Reference!$G$2, IF(AE319&gt;=Reference!$D$3, Reference!$E$3, IF(AE319&gt;=Reference!$D$4, Reference!$E$4, IF(AE319&gt;=Reference!$D$5, Reference!$E$5, ""))))</f>
        <v>Low</v>
      </c>
      <c r="S319" s="13"/>
      <c r="T319" s="12"/>
      <c r="U319" s="9"/>
      <c r="V319" s="9"/>
      <c r="W319" s="9"/>
      <c r="Y319" s="12">
        <f>IF(H319=Reference!$A$12, Reference!$C$12, IF(H319=Reference!$A$11, Reference!$C$11, IF(H319=Reference!$A$10, Reference!$C$10, IF(H319=Reference!$A$9, Reference!$C$9, 0))))</f>
        <v>0</v>
      </c>
      <c r="Z319" s="12">
        <f>IF(J319=Reference!$A$20, Reference!$C$20, IF(J319=Reference!$A$19, Reference!$C$19, IF(J319=Reference!$A$18, Reference!$C$18, IF(J319=Reference!$A$17, Reference!$C$17, 0))))</f>
        <v>0</v>
      </c>
      <c r="AA319" s="12">
        <f>IF(L319=Reference!$A$28, Reference!$C$28, IF(L319=Reference!$A$27, Reference!$C$27, IF(L319=Reference!$A$26, Reference!$C$26, IF(L319=Reference!$A$25, Reference!$C$25, 0))))</f>
        <v>0</v>
      </c>
      <c r="AB319" s="12">
        <f>IF(N319=Reference!$A$36, Reference!$C$36, IF(N319=Reference!$A$35, Reference!$C$35, IF(N319=Reference!$A$34, Reference!$C$34, IF(N319=Reference!$A$33, Reference!$C$33, 0))))</f>
        <v>0</v>
      </c>
      <c r="AC319" s="12">
        <f>(Reference!$B$2*Y319 + Reference!$B$3*AA319 + Reference!$B$4*Z319 + Reference!$B$5 * AB319)/4</f>
        <v>0</v>
      </c>
      <c r="AD319" s="12">
        <f>IF(Q319=Reference!$C$41, Reference!$D$41, IF(Q319=Reference!$C$42, Reference!$D$42, IF(Q319=Reference!$C$43, Reference!$D$43, IF(Q319=Reference!$C$44, Reference!$D$44, 0))))</f>
        <v>0</v>
      </c>
      <c r="AE319" s="12">
        <f t="shared" si="37"/>
        <v>1</v>
      </c>
    </row>
    <row r="320" spans="1:31" ht="13.15">
      <c r="A320" s="8"/>
      <c r="B320" s="102"/>
      <c r="C320" s="9"/>
      <c r="D320" s="10"/>
      <c r="E320" s="10"/>
      <c r="F320" s="9"/>
      <c r="G320" s="10"/>
      <c r="H320" s="9"/>
      <c r="I320" s="9"/>
      <c r="J320" s="9"/>
      <c r="K320" s="19"/>
      <c r="L320" s="9"/>
      <c r="M320" s="9"/>
      <c r="N320" s="9"/>
      <c r="O320" s="9"/>
      <c r="P320" s="11" t="str">
        <f>IF(AC320&gt;=Reference!$H$2, Reference!$G$2, IF(AC320&gt;=Reference!$H$3, Reference!$G$3, IF(AC320&gt;=Reference!$H$4, Reference!$G$4, IF(AC320&gt;=Reference!$H$5, Reference!$G$5, ""))))</f>
        <v/>
      </c>
      <c r="Q320" s="11" t="str">
        <f t="shared" si="36"/>
        <v/>
      </c>
      <c r="R320" s="11" t="str">
        <f>IF(AE320&gt;=Reference!$D$2, Reference!$G$2, IF(AE320&gt;=Reference!$D$3, Reference!$E$3, IF(AE320&gt;=Reference!$D$4, Reference!$E$4, IF(AE320&gt;=Reference!$D$5, Reference!$E$5, ""))))</f>
        <v>Low</v>
      </c>
      <c r="S320" s="13"/>
      <c r="T320" s="12"/>
      <c r="U320" s="9"/>
      <c r="V320" s="9"/>
      <c r="W320" s="9"/>
      <c r="Y320" s="12">
        <f>IF(H320=Reference!$A$12, Reference!$C$12, IF(H320=Reference!$A$11, Reference!$C$11, IF(H320=Reference!$A$10, Reference!$C$10, IF(H320=Reference!$A$9, Reference!$C$9, 0))))</f>
        <v>0</v>
      </c>
      <c r="Z320" s="12">
        <f>IF(J320=Reference!$A$20, Reference!$C$20, IF(J320=Reference!$A$19, Reference!$C$19, IF(J320=Reference!$A$18, Reference!$C$18, IF(J320=Reference!$A$17, Reference!$C$17, 0))))</f>
        <v>0</v>
      </c>
      <c r="AA320" s="12">
        <f>IF(L320=Reference!$A$28, Reference!$C$28, IF(L320=Reference!$A$27, Reference!$C$27, IF(L320=Reference!$A$26, Reference!$C$26, IF(L320=Reference!$A$25, Reference!$C$25, 0))))</f>
        <v>0</v>
      </c>
      <c r="AB320" s="12">
        <f>IF(N320=Reference!$A$36, Reference!$C$36, IF(N320=Reference!$A$35, Reference!$C$35, IF(N320=Reference!$A$34, Reference!$C$34, IF(N320=Reference!$A$33, Reference!$C$33, 0))))</f>
        <v>0</v>
      </c>
      <c r="AC320" s="12">
        <f>(Reference!$B$2*Y320 + Reference!$B$3*AA320 + Reference!$B$4*Z320 + Reference!$B$5 * AB320)/4</f>
        <v>0</v>
      </c>
      <c r="AD320" s="12">
        <f>IF(Q320=Reference!$C$41, Reference!$D$41, IF(Q320=Reference!$C$42, Reference!$D$42, IF(Q320=Reference!$C$43, Reference!$D$43, IF(Q320=Reference!$C$44, Reference!$D$44, 0))))</f>
        <v>0</v>
      </c>
      <c r="AE320" s="12">
        <f t="shared" si="37"/>
        <v>1</v>
      </c>
    </row>
    <row r="321" spans="1:31" ht="13.15">
      <c r="A321" s="8"/>
      <c r="B321" s="9"/>
      <c r="C321" s="9"/>
      <c r="D321" s="10"/>
      <c r="E321" s="10"/>
      <c r="F321" s="9"/>
      <c r="G321" s="9"/>
      <c r="H321" s="9"/>
      <c r="I321" s="9"/>
      <c r="J321" s="9"/>
      <c r="K321" s="9"/>
      <c r="L321" s="9"/>
      <c r="M321" s="9"/>
      <c r="N321" s="9"/>
      <c r="O321" s="9"/>
      <c r="P321" s="11" t="str">
        <f>IF(AC321&gt;=Reference!$H$2, Reference!$G$2, IF(AC321&gt;=Reference!$H$3, Reference!$G$3, IF(AC321&gt;=Reference!$H$4, Reference!$G$4, IF(AC321&gt;=Reference!$H$5, Reference!$G$5, ""))))</f>
        <v/>
      </c>
      <c r="Q321" s="11" t="str">
        <f t="shared" si="36"/>
        <v/>
      </c>
      <c r="R321" s="11" t="str">
        <f>IF(AE321&gt;=Reference!$D$2, Reference!$G$2, IF(AE321&gt;=Reference!$D$3, Reference!$E$3, IF(AE321&gt;=Reference!$D$4, Reference!$E$4, IF(AE321&gt;=Reference!$D$5, Reference!$E$5, ""))))</f>
        <v>Low</v>
      </c>
      <c r="S321" s="13"/>
      <c r="T321" s="12"/>
      <c r="U321" s="9"/>
      <c r="V321" s="9"/>
      <c r="W321" s="9"/>
      <c r="Y321" s="12">
        <f>IF(H321=Reference!$A$12, Reference!$C$12, IF(H321=Reference!$A$11, Reference!$C$11, IF(H321=Reference!$A$10, Reference!$C$10, IF(H321=Reference!$A$9, Reference!$C$9, 0))))</f>
        <v>0</v>
      </c>
      <c r="Z321" s="12">
        <f>IF(J321=Reference!$A$20, Reference!$C$20, IF(J321=Reference!$A$19, Reference!$C$19, IF(J321=Reference!$A$18, Reference!$C$18, IF(J321=Reference!$A$17, Reference!$C$17, 0))))</f>
        <v>0</v>
      </c>
      <c r="AA321" s="12">
        <f>IF(L321=Reference!$A$28, Reference!$C$28, IF(L321=Reference!$A$27, Reference!$C$27, IF(L321=Reference!$A$26, Reference!$C$26, IF(L321=Reference!$A$25, Reference!$C$25, 0))))</f>
        <v>0</v>
      </c>
      <c r="AB321" s="12">
        <f>IF(N321=Reference!$A$36, Reference!$C$36, IF(N321=Reference!$A$35, Reference!$C$35, IF(N321=Reference!$A$34, Reference!$C$34, IF(N321=Reference!$A$33, Reference!$C$33, 0))))</f>
        <v>0</v>
      </c>
      <c r="AC321" s="12">
        <f>(Reference!$B$2*Y321 + Reference!$B$3*AA321 + Reference!$B$4*Z321 + Reference!$B$5 * AB321)/4</f>
        <v>0</v>
      </c>
      <c r="AD321" s="12">
        <f>IF(Q321=Reference!$C$41, Reference!$D$41, IF(Q321=Reference!$C$42, Reference!$D$42, IF(Q321=Reference!$C$43, Reference!$D$43, IF(Q321=Reference!$C$44, Reference!$D$44, 0))))</f>
        <v>0</v>
      </c>
      <c r="AE321" s="12">
        <f t="shared" si="37"/>
        <v>1</v>
      </c>
    </row>
    <row r="322" spans="1:31" ht="13.15">
      <c r="A322" s="8"/>
      <c r="B322" s="9"/>
      <c r="C322" s="9"/>
      <c r="D322" s="18"/>
      <c r="E322" s="10"/>
      <c r="F322" s="9"/>
      <c r="G322" s="9"/>
      <c r="H322" s="9"/>
      <c r="I322" s="19"/>
      <c r="J322" s="9"/>
      <c r="K322" s="9"/>
      <c r="L322" s="9"/>
      <c r="M322" s="9"/>
      <c r="N322" s="9"/>
      <c r="O322" s="9"/>
      <c r="P322" s="11" t="str">
        <f>IF(AC322&gt;=Reference!$H$2, Reference!$G$2, IF(AC322&gt;=Reference!$H$3, Reference!$G$3, IF(AC322&gt;=Reference!$H$4, Reference!$G$4, IF(AC322&gt;=Reference!$H$5, Reference!$G$5, ""))))</f>
        <v/>
      </c>
      <c r="Q322" s="11" t="str">
        <f t="shared" si="36"/>
        <v/>
      </c>
      <c r="R322" s="11" t="str">
        <f>IF(AE322&gt;=Reference!$D$2, Reference!$G$2, IF(AE322&gt;=Reference!$D$3, Reference!$E$3, IF(AE322&gt;=Reference!$D$4, Reference!$E$4, IF(AE322&gt;=Reference!$D$5, Reference!$E$5, ""))))</f>
        <v>Low</v>
      </c>
      <c r="S322" s="13"/>
      <c r="T322" s="23"/>
      <c r="U322" s="9"/>
      <c r="V322" s="16"/>
      <c r="W322" s="9"/>
      <c r="Y322" s="12">
        <f>IF(H322=Reference!$A$12, Reference!$C$12, IF(H322=Reference!$A$11, Reference!$C$11, IF(H322=Reference!$A$10, Reference!$C$10, IF(H322=Reference!$A$9, Reference!$C$9, 0))))</f>
        <v>0</v>
      </c>
      <c r="Z322" s="12">
        <f>IF(J322=Reference!$A$20, Reference!$C$20, IF(J322=Reference!$A$19, Reference!$C$19, IF(J322=Reference!$A$18, Reference!$C$18, IF(J322=Reference!$A$17, Reference!$C$17, 0))))</f>
        <v>0</v>
      </c>
      <c r="AA322" s="12">
        <f>IF(L322=Reference!$A$28, Reference!$C$28, IF(L322=Reference!$A$27, Reference!$C$27, IF(L322=Reference!$A$26, Reference!$C$26, IF(L322=Reference!$A$25, Reference!$C$25, 0))))</f>
        <v>0</v>
      </c>
      <c r="AB322" s="12">
        <f>IF(N322=Reference!$A$36, Reference!$C$36, IF(N322=Reference!$A$35, Reference!$C$35, IF(N322=Reference!$A$34, Reference!$C$34, IF(N322=Reference!$A$33, Reference!$C$33, 0))))</f>
        <v>0</v>
      </c>
      <c r="AC322" s="12">
        <f>(Reference!$B$2*Y322 + Reference!$B$3*AA322 + Reference!$B$4*Z322 + Reference!$B$5 * AB322)/4</f>
        <v>0</v>
      </c>
      <c r="AD322" s="12">
        <f>IF(Q322=Reference!$C$41, Reference!$D$41, IF(Q322=Reference!$C$42, Reference!$D$42, IF(Q322=Reference!$C$43, Reference!$D$43, IF(Q322=Reference!$C$44, Reference!$D$44, 0))))</f>
        <v>0</v>
      </c>
      <c r="AE322" s="12">
        <f t="shared" si="37"/>
        <v>1</v>
      </c>
    </row>
    <row r="323" spans="1:31" ht="13.15">
      <c r="A323" s="8"/>
      <c r="B323" s="9"/>
      <c r="C323" s="9"/>
      <c r="D323" s="10"/>
      <c r="E323" s="10"/>
      <c r="F323" s="9"/>
      <c r="G323" s="9"/>
      <c r="H323" s="9"/>
      <c r="I323" s="9"/>
      <c r="J323" s="9"/>
      <c r="K323" s="9"/>
      <c r="L323" s="9"/>
      <c r="M323" s="9"/>
      <c r="N323" s="9"/>
      <c r="O323" s="9"/>
      <c r="P323" s="11" t="str">
        <f>IF(AC323&gt;=Reference!$H$2, Reference!$G$2, IF(AC323&gt;=Reference!$H$3, Reference!$G$3, IF(AC323&gt;=Reference!$H$4, Reference!$G$4, IF(AC323&gt;=Reference!$H$5, Reference!$G$5, ""))))</f>
        <v/>
      </c>
      <c r="Q323" s="11" t="str">
        <f t="shared" si="36"/>
        <v/>
      </c>
      <c r="R323" s="11" t="str">
        <f>IF(AE323&gt;=Reference!$D$2, Reference!$G$2, IF(AE323&gt;=Reference!$D$3, Reference!$E$3, IF(AE323&gt;=Reference!$D$4, Reference!$E$4, IF(AE323&gt;=Reference!$D$5, Reference!$E$5, ""))))</f>
        <v>Low</v>
      </c>
      <c r="S323" s="13"/>
      <c r="T323" s="12"/>
      <c r="U323" s="9"/>
      <c r="V323" s="9"/>
      <c r="W323" s="9"/>
      <c r="Y323" s="12">
        <f>IF(H323=Reference!$A$12, Reference!$C$12, IF(H323=Reference!$A$11, Reference!$C$11, IF(H323=Reference!$A$10, Reference!$C$10, IF(H323=Reference!$A$9, Reference!$C$9, 0))))</f>
        <v>0</v>
      </c>
      <c r="Z323" s="12">
        <f>IF(J323=Reference!$A$20, Reference!$C$20, IF(J323=Reference!$A$19, Reference!$C$19, IF(J323=Reference!$A$18, Reference!$C$18, IF(J323=Reference!$A$17, Reference!$C$17, 0))))</f>
        <v>0</v>
      </c>
      <c r="AA323" s="12">
        <f>IF(L323=Reference!$A$28, Reference!$C$28, IF(L323=Reference!$A$27, Reference!$C$27, IF(L323=Reference!$A$26, Reference!$C$26, IF(L323=Reference!$A$25, Reference!$C$25, 0))))</f>
        <v>0</v>
      </c>
      <c r="AB323" s="12">
        <f>IF(N323=Reference!$A$36, Reference!$C$36, IF(N323=Reference!$A$35, Reference!$C$35, IF(N323=Reference!$A$34, Reference!$C$34, IF(N323=Reference!$A$33, Reference!$C$33, 0))))</f>
        <v>0</v>
      </c>
      <c r="AC323" s="12">
        <f>(Reference!$B$2*Y323 + Reference!$B$3*AA323 + Reference!$B$4*Z323 + Reference!$B$5 * AB323)/4</f>
        <v>0</v>
      </c>
      <c r="AD323" s="12">
        <f>IF(Q323=Reference!$C$41, Reference!$D$41, IF(Q323=Reference!$C$42, Reference!$D$42, IF(Q323=Reference!$C$43, Reference!$D$43, IF(Q323=Reference!$C$44, Reference!$D$44, 0))))</f>
        <v>0</v>
      </c>
      <c r="AE323" s="12">
        <f t="shared" si="37"/>
        <v>1</v>
      </c>
    </row>
    <row r="324" spans="1:31" ht="13.15">
      <c r="A324" s="8"/>
      <c r="B324" s="9"/>
      <c r="C324" s="9"/>
      <c r="D324" s="10"/>
      <c r="E324" s="10"/>
      <c r="F324" s="9"/>
      <c r="G324" s="10"/>
      <c r="H324" s="9"/>
      <c r="I324" s="9"/>
      <c r="J324" s="9"/>
      <c r="K324" s="19"/>
      <c r="L324" s="9"/>
      <c r="M324" s="9"/>
      <c r="N324" s="9"/>
      <c r="O324" s="9"/>
      <c r="P324" s="11" t="str">
        <f>IF(AC324&gt;=Reference!$H$2, Reference!$G$2, IF(AC324&gt;=Reference!$H$3, Reference!$G$3, IF(AC324&gt;=Reference!$H$4, Reference!$G$4, IF(AC324&gt;=Reference!$H$5, Reference!$G$5, ""))))</f>
        <v/>
      </c>
      <c r="Q324" s="11" t="str">
        <f t="shared" si="36"/>
        <v/>
      </c>
      <c r="R324" s="11" t="str">
        <f>IF(AE324&gt;=Reference!$D$2, Reference!$G$2, IF(AE324&gt;=Reference!$D$3, Reference!$E$3, IF(AE324&gt;=Reference!$D$4, Reference!$E$4, IF(AE324&gt;=Reference!$D$5, Reference!$E$5, ""))))</f>
        <v>Low</v>
      </c>
      <c r="S324" s="13"/>
      <c r="T324" s="12"/>
      <c r="U324" s="9"/>
      <c r="V324" s="9"/>
      <c r="W324" s="9"/>
      <c r="Y324" s="12">
        <f>IF(H324=Reference!$A$12, Reference!$C$12, IF(H324=Reference!$A$11, Reference!$C$11, IF(H324=Reference!$A$10, Reference!$C$10, IF(H324=Reference!$A$9, Reference!$C$9, 0))))</f>
        <v>0</v>
      </c>
      <c r="Z324" s="12">
        <f>IF(J324=Reference!$A$20, Reference!$C$20, IF(J324=Reference!$A$19, Reference!$C$19, IF(J324=Reference!$A$18, Reference!$C$18, IF(J324=Reference!$A$17, Reference!$C$17, 0))))</f>
        <v>0</v>
      </c>
      <c r="AA324" s="12">
        <f>IF(L324=Reference!$A$28, Reference!$C$28, IF(L324=Reference!$A$27, Reference!$C$27, IF(L324=Reference!$A$26, Reference!$C$26, IF(L324=Reference!$A$25, Reference!$C$25, 0))))</f>
        <v>0</v>
      </c>
      <c r="AB324" s="12">
        <f>IF(N324=Reference!$A$36, Reference!$C$36, IF(N324=Reference!$A$35, Reference!$C$35, IF(N324=Reference!$A$34, Reference!$C$34, IF(N324=Reference!$A$33, Reference!$C$33, 0))))</f>
        <v>0</v>
      </c>
      <c r="AC324" s="12">
        <f>(Reference!$B$2*Y324 + Reference!$B$3*AA324 + Reference!$B$4*Z324 + Reference!$B$5 * AB324)/4</f>
        <v>0</v>
      </c>
      <c r="AD324" s="12">
        <f>IF(Q324=Reference!$C$41, Reference!$D$41, IF(Q324=Reference!$C$42, Reference!$D$42, IF(Q324=Reference!$C$43, Reference!$D$43, IF(Q324=Reference!$C$44, Reference!$D$44, 0))))</f>
        <v>0</v>
      </c>
      <c r="AE324" s="12">
        <f t="shared" si="37"/>
        <v>1</v>
      </c>
    </row>
    <row r="325" spans="1:31" ht="13.15">
      <c r="A325" s="8"/>
      <c r="B325" s="9"/>
      <c r="C325" s="9"/>
      <c r="D325" s="10"/>
      <c r="E325" s="10"/>
      <c r="F325" s="9"/>
      <c r="G325" s="9"/>
      <c r="H325" s="9"/>
      <c r="I325" s="9"/>
      <c r="J325" s="9"/>
      <c r="K325" s="9"/>
      <c r="L325" s="9"/>
      <c r="M325" s="9"/>
      <c r="N325" s="9"/>
      <c r="O325" s="9"/>
      <c r="P325" s="11" t="str">
        <f>IF(AC325&gt;=Reference!$H$2, Reference!$G$2, IF(AC325&gt;=Reference!$H$3, Reference!$G$3, IF(AC325&gt;=Reference!$H$4, Reference!$G$4, IF(AC325&gt;=Reference!$H$5, Reference!$G$5, ""))))</f>
        <v/>
      </c>
      <c r="Q325" s="11" t="str">
        <f t="shared" si="36"/>
        <v/>
      </c>
      <c r="R325" s="11" t="str">
        <f>IF(AE325&gt;=Reference!$D$2, Reference!$G$2, IF(AE325&gt;=Reference!$D$3, Reference!$E$3, IF(AE325&gt;=Reference!$D$4, Reference!$E$4, IF(AE325&gt;=Reference!$D$5, Reference!$E$5, ""))))</f>
        <v>Low</v>
      </c>
      <c r="S325" s="13"/>
      <c r="T325" s="12"/>
      <c r="U325" s="9"/>
      <c r="V325" s="30"/>
      <c r="W325" s="9"/>
      <c r="X325" s="1"/>
      <c r="Y325" s="12">
        <f>IF(H325=Reference!$A$12, Reference!$C$12, IF(H325=Reference!$A$11, Reference!$C$11, IF(H325=Reference!$A$10, Reference!$C$10, IF(H325=Reference!$A$9, Reference!$C$9, 0))))</f>
        <v>0</v>
      </c>
      <c r="Z325" s="12">
        <f>IF(J325=Reference!$A$20, Reference!$C$20, IF(J325=Reference!$A$19, Reference!$C$19, IF(J325=Reference!$A$18, Reference!$C$18, IF(J325=Reference!$A$17, Reference!$C$17, 0))))</f>
        <v>0</v>
      </c>
      <c r="AA325" s="12">
        <f>IF(L325=Reference!$A$28, Reference!$C$28, IF(L325=Reference!$A$27, Reference!$C$27, IF(L325=Reference!$A$26, Reference!$C$26, IF(L325=Reference!$A$25, Reference!$C$25, 0))))</f>
        <v>0</v>
      </c>
      <c r="AB325" s="12">
        <f>IF(N325=Reference!$A$36, Reference!$C$36, IF(N325=Reference!$A$35, Reference!$C$35, IF(N325=Reference!$A$34, Reference!$C$34, IF(N325=Reference!$A$33, Reference!$C$33, 0))))</f>
        <v>0</v>
      </c>
      <c r="AC325" s="12">
        <f>(Reference!$B$2*Y325 + Reference!$B$3*AA325 + Reference!$B$4*Z325 + Reference!$B$5 * AB325)/4</f>
        <v>0</v>
      </c>
      <c r="AD325" s="12">
        <f>IF(Q325=Reference!$C$41, Reference!$D$41, IF(Q325=Reference!$C$42, Reference!$D$42, IF(Q325=Reference!$C$43, Reference!$D$43, IF(Q325=Reference!$C$44, Reference!$D$44, 0))))</f>
        <v>0</v>
      </c>
      <c r="AE325" s="12">
        <f t="shared" si="37"/>
        <v>1</v>
      </c>
    </row>
    <row r="326" spans="1:31" ht="13.15">
      <c r="A326" s="8"/>
      <c r="B326" s="9"/>
      <c r="C326" s="9"/>
      <c r="D326" s="10"/>
      <c r="E326" s="10"/>
      <c r="F326" s="9"/>
      <c r="G326" s="9"/>
      <c r="H326" s="9"/>
      <c r="I326" s="9"/>
      <c r="J326" s="9"/>
      <c r="K326" s="9"/>
      <c r="L326" s="9"/>
      <c r="M326" s="9"/>
      <c r="N326" s="9"/>
      <c r="O326" s="9"/>
      <c r="P326" s="11" t="str">
        <f>IF(AC326&gt;=Reference!$H$2, Reference!$G$2, IF(AC326&gt;=Reference!$H$3, Reference!$G$3, IF(AC326&gt;=Reference!$H$4, Reference!$G$4, IF(AC326&gt;=Reference!$H$5, Reference!$G$5, ""))))</f>
        <v/>
      </c>
      <c r="Q326" s="11" t="str">
        <f t="shared" si="36"/>
        <v/>
      </c>
      <c r="R326" s="11" t="str">
        <f>IF(AE326&gt;=Reference!$D$2, Reference!$G$2, IF(AE326&gt;=Reference!$D$3, Reference!$E$3, IF(AE326&gt;=Reference!$D$4, Reference!$E$4, IF(AE326&gt;=Reference!$D$5, Reference!$E$5, ""))))</f>
        <v>Low</v>
      </c>
      <c r="S326" s="13"/>
      <c r="T326" s="12"/>
      <c r="U326" s="9"/>
      <c r="V326" s="9"/>
      <c r="W326" s="9"/>
      <c r="Y326" s="12">
        <f>IF(H326=Reference!$A$12, Reference!$C$12, IF(H326=Reference!$A$11, Reference!$C$11, IF(H326=Reference!$A$10, Reference!$C$10, IF(H326=Reference!$A$9, Reference!$C$9, 0))))</f>
        <v>0</v>
      </c>
      <c r="Z326" s="12">
        <f>IF(J326=Reference!$A$20, Reference!$C$20, IF(J326=Reference!$A$19, Reference!$C$19, IF(J326=Reference!$A$18, Reference!$C$18, IF(J326=Reference!$A$17, Reference!$C$17, 0))))</f>
        <v>0</v>
      </c>
      <c r="AA326" s="12">
        <f>IF(L326=Reference!$A$28, Reference!$C$28, IF(L326=Reference!$A$27, Reference!$C$27, IF(L326=Reference!$A$26, Reference!$C$26, IF(L326=Reference!$A$25, Reference!$C$25, 0))))</f>
        <v>0</v>
      </c>
      <c r="AB326" s="12">
        <f>IF(N326=Reference!$A$36, Reference!$C$36, IF(N326=Reference!$A$35, Reference!$C$35, IF(N326=Reference!$A$34, Reference!$C$34, IF(N326=Reference!$A$33, Reference!$C$33, 0))))</f>
        <v>0</v>
      </c>
      <c r="AC326" s="12">
        <f>(Reference!$B$2*Y326 + Reference!$B$3*AA326 + Reference!$B$4*Z326 + Reference!$B$5 * AB326)/4</f>
        <v>0</v>
      </c>
      <c r="AD326" s="12">
        <f>IF(Q326=Reference!$C$41, Reference!$D$41, IF(Q326=Reference!$C$42, Reference!$D$42, IF(Q326=Reference!$C$43, Reference!$D$43, IF(Q326=Reference!$C$44, Reference!$D$44, 0))))</f>
        <v>0</v>
      </c>
      <c r="AE326" s="12">
        <f t="shared" si="37"/>
        <v>1</v>
      </c>
    </row>
    <row r="327" spans="1:31" ht="13.15">
      <c r="A327" s="8"/>
      <c r="B327" s="9"/>
      <c r="C327" s="9"/>
      <c r="D327" s="10"/>
      <c r="E327" s="10"/>
      <c r="F327" s="9"/>
      <c r="G327" s="9"/>
      <c r="H327" s="9"/>
      <c r="I327" s="9"/>
      <c r="J327" s="9"/>
      <c r="K327" s="9"/>
      <c r="L327" s="9"/>
      <c r="M327" s="9"/>
      <c r="N327" s="9"/>
      <c r="O327" s="9"/>
      <c r="P327" s="11" t="str">
        <f>IF(AC327&gt;=Reference!$H$2, Reference!$G$2, IF(AC327&gt;=Reference!$H$3, Reference!$G$3, IF(AC327&gt;=Reference!$H$4, Reference!$G$4, IF(AC327&gt;=Reference!$H$5, Reference!$G$5, ""))))</f>
        <v/>
      </c>
      <c r="Q327" s="11" t="str">
        <f t="shared" si="36"/>
        <v/>
      </c>
      <c r="R327" s="11" t="str">
        <f>IF(AE327&gt;=Reference!$D$2, Reference!$G$2, IF(AE327&gt;=Reference!$D$3, Reference!$E$3, IF(AE327&gt;=Reference!$D$4, Reference!$E$4, IF(AE327&gt;=Reference!$D$5, Reference!$E$5, ""))))</f>
        <v>Low</v>
      </c>
      <c r="S327" s="13"/>
      <c r="T327" s="12"/>
      <c r="U327" s="9"/>
      <c r="V327" s="9"/>
      <c r="W327" s="9"/>
      <c r="Y327" s="12">
        <f>IF(H327=Reference!$A$12, Reference!$C$12, IF(H327=Reference!$A$11, Reference!$C$11, IF(H327=Reference!$A$10, Reference!$C$10, IF(H327=Reference!$A$9, Reference!$C$9, 0))))</f>
        <v>0</v>
      </c>
      <c r="Z327" s="12">
        <f>IF(J327=Reference!$A$20, Reference!$C$20, IF(J327=Reference!$A$19, Reference!$C$19, IF(J327=Reference!$A$18, Reference!$C$18, IF(J327=Reference!$A$17, Reference!$C$17, 0))))</f>
        <v>0</v>
      </c>
      <c r="AA327" s="12">
        <f>IF(L327=Reference!$A$28, Reference!$C$28, IF(L327=Reference!$A$27, Reference!$C$27, IF(L327=Reference!$A$26, Reference!$C$26, IF(L327=Reference!$A$25, Reference!$C$25, 0))))</f>
        <v>0</v>
      </c>
      <c r="AB327" s="12">
        <f>IF(N327=Reference!$A$36, Reference!$C$36, IF(N327=Reference!$A$35, Reference!$C$35, IF(N327=Reference!$A$34, Reference!$C$34, IF(N327=Reference!$A$33, Reference!$C$33, 0))))</f>
        <v>0</v>
      </c>
      <c r="AC327" s="12">
        <f>(Reference!$B$2*Y327 + Reference!$B$3*AA327 + Reference!$B$4*Z327 + Reference!$B$5 * AB327)/4</f>
        <v>0</v>
      </c>
      <c r="AD327" s="12">
        <f>IF(Q327=Reference!$C$41, Reference!$D$41, IF(Q327=Reference!$C$42, Reference!$D$42, IF(Q327=Reference!$C$43, Reference!$D$43, IF(Q327=Reference!$C$44, Reference!$D$44, 0))))</f>
        <v>0</v>
      </c>
      <c r="AE327" s="12">
        <f t="shared" si="37"/>
        <v>1</v>
      </c>
    </row>
    <row r="328" spans="1:31" ht="13.15">
      <c r="A328" s="8"/>
      <c r="B328" s="9"/>
      <c r="C328" s="9"/>
      <c r="D328" s="18"/>
      <c r="E328" s="18"/>
      <c r="F328" s="9"/>
      <c r="G328" s="19"/>
      <c r="H328" s="9"/>
      <c r="I328" s="19"/>
      <c r="J328" s="9"/>
      <c r="K328" s="9"/>
      <c r="L328" s="9"/>
      <c r="M328" s="19"/>
      <c r="N328" s="9"/>
      <c r="O328" s="19"/>
      <c r="P328" s="11" t="str">
        <f>IF(AC328&gt;=Reference!$H$2, Reference!$G$2, IF(AC328&gt;=Reference!$H$3, Reference!$G$3, IF(AC328&gt;=Reference!$H$4, Reference!$G$4, IF(AC328&gt;=Reference!$H$5, Reference!$G$5, ""))))</f>
        <v/>
      </c>
      <c r="Q328" s="11" t="str">
        <f t="shared" si="36"/>
        <v/>
      </c>
      <c r="R328" s="11" t="str">
        <f>IF(AE328&gt;=Reference!$D$2, Reference!$G$2, IF(AE328&gt;=Reference!$D$3, Reference!$E$3, IF(AE328&gt;=Reference!$D$4, Reference!$E$4, IF(AE328&gt;=Reference!$D$5, Reference!$E$5, ""))))</f>
        <v>Low</v>
      </c>
      <c r="S328" s="9"/>
      <c r="T328" s="16"/>
      <c r="U328" s="19"/>
      <c r="V328" s="16"/>
      <c r="W328" s="9"/>
      <c r="Y328" s="12">
        <f>IF(H328=Reference!$A$12, Reference!$C$12, IF(H328=Reference!$A$11, Reference!$C$11, IF(H328=Reference!$A$10, Reference!$C$10, IF(H328=Reference!$A$9, Reference!$C$9, 0))))</f>
        <v>0</v>
      </c>
      <c r="Z328" s="12">
        <f>IF(J328=Reference!$A$20, Reference!$C$20, IF(J328=Reference!$A$19, Reference!$C$19, IF(J328=Reference!$A$18, Reference!$C$18, IF(J328=Reference!$A$17, Reference!$C$17, 0))))</f>
        <v>0</v>
      </c>
      <c r="AA328" s="12">
        <f>IF(L328=Reference!$A$28, Reference!$C$28, IF(L328=Reference!$A$27, Reference!$C$27, IF(L328=Reference!$A$26, Reference!$C$26, IF(L328=Reference!$A$25, Reference!$C$25, 0))))</f>
        <v>0</v>
      </c>
      <c r="AB328" s="12">
        <f>IF(N328=Reference!$A$36, Reference!$C$36, IF(N328=Reference!$A$35, Reference!$C$35, IF(N328=Reference!$A$34, Reference!$C$34, IF(N328=Reference!$A$33, Reference!$C$33, 0))))</f>
        <v>0</v>
      </c>
      <c r="AC328" s="12">
        <f>(Reference!$B$2*Y328 + Reference!$B$3*AA328 + Reference!$B$4*Z328 + Reference!$B$5 * AB328)/4</f>
        <v>0</v>
      </c>
      <c r="AD328" s="12">
        <f>IF(Q328=Reference!$C$41, Reference!$D$41, IF(Q328=Reference!$C$42, Reference!$D$42, IF(Q328=Reference!$C$43, Reference!$D$43, IF(Q328=Reference!$C$44, Reference!$D$44, 0))))</f>
        <v>0</v>
      </c>
      <c r="AE328" s="12">
        <f t="shared" si="37"/>
        <v>1</v>
      </c>
    </row>
    <row r="329" spans="1:31" ht="13.15">
      <c r="A329" s="8"/>
      <c r="B329" s="9"/>
      <c r="C329" s="9"/>
      <c r="D329" s="10"/>
      <c r="E329" s="10"/>
      <c r="F329" s="9"/>
      <c r="G329" s="9"/>
      <c r="H329" s="9"/>
      <c r="I329" s="9"/>
      <c r="J329" s="9"/>
      <c r="K329" s="9"/>
      <c r="L329" s="9"/>
      <c r="M329" s="9"/>
      <c r="N329" s="9"/>
      <c r="O329" s="9"/>
      <c r="P329" s="11" t="str">
        <f>IF(AC329&gt;=Reference!$H$2, Reference!$G$2, IF(AC329&gt;=Reference!$H$3, Reference!$G$3, IF(AC329&gt;=Reference!$H$4, Reference!$G$4, IF(AC329&gt;=Reference!$H$5, Reference!$G$5, ""))))</f>
        <v/>
      </c>
      <c r="Q329" s="11" t="str">
        <f t="shared" si="36"/>
        <v/>
      </c>
      <c r="R329" s="11" t="str">
        <f>IF(AE329&gt;=Reference!$D$2, Reference!$G$2, IF(AE329&gt;=Reference!$D$3, Reference!$E$3, IF(AE329&gt;=Reference!$D$4, Reference!$E$4, IF(AE329&gt;=Reference!$D$5, Reference!$E$5, ""))))</f>
        <v>Low</v>
      </c>
      <c r="S329" s="9"/>
      <c r="T329" s="9"/>
      <c r="U329" s="9"/>
      <c r="V329" s="9"/>
      <c r="W329" s="9"/>
      <c r="Y329" s="12">
        <f>IF(H329=Reference!$A$12, Reference!$C$12, IF(H329=Reference!$A$11, Reference!$C$11, IF(H329=Reference!$A$10, Reference!$C$10, IF(H329=Reference!$A$9, Reference!$C$9, 0))))</f>
        <v>0</v>
      </c>
      <c r="Z329" s="12">
        <f>IF(J329=Reference!$A$20, Reference!$C$20, IF(J329=Reference!$A$19, Reference!$C$19, IF(J329=Reference!$A$18, Reference!$C$18, IF(J329=Reference!$A$17, Reference!$C$17, 0))))</f>
        <v>0</v>
      </c>
      <c r="AA329" s="12">
        <f>IF(L329=Reference!$A$28, Reference!$C$28, IF(L329=Reference!$A$27, Reference!$C$27, IF(L329=Reference!$A$26, Reference!$C$26, IF(L329=Reference!$A$25, Reference!$C$25, 0))))</f>
        <v>0</v>
      </c>
      <c r="AB329" s="12">
        <f>IF(N329=Reference!$A$36, Reference!$C$36, IF(N329=Reference!$A$35, Reference!$C$35, IF(N329=Reference!$A$34, Reference!$C$34, IF(N329=Reference!$A$33, Reference!$C$33, 0))))</f>
        <v>0</v>
      </c>
      <c r="AC329" s="12">
        <f>(Reference!$B$2*Y329 + Reference!$B$3*AA329 + Reference!$B$4*Z329 + Reference!$B$5 * AB329)/4</f>
        <v>0</v>
      </c>
      <c r="AD329" s="12">
        <f>IF(Q329=Reference!$C$41, Reference!$D$41, IF(Q329=Reference!$C$42, Reference!$D$42, IF(Q329=Reference!$C$43, Reference!$D$43, IF(Q329=Reference!$C$44, Reference!$D$44, 0))))</f>
        <v>0</v>
      </c>
      <c r="AE329" s="12">
        <f t="shared" si="37"/>
        <v>1</v>
      </c>
    </row>
    <row r="330" spans="1:31" ht="13.15">
      <c r="A330" s="8"/>
      <c r="B330" s="9"/>
      <c r="C330" s="9"/>
      <c r="D330" s="10"/>
      <c r="E330" s="10"/>
      <c r="F330" s="9"/>
      <c r="G330" s="9"/>
      <c r="H330" s="9"/>
      <c r="I330" s="9"/>
      <c r="J330" s="9"/>
      <c r="K330" s="9"/>
      <c r="L330" s="9"/>
      <c r="M330" s="9"/>
      <c r="N330" s="9"/>
      <c r="O330" s="9"/>
      <c r="P330" s="11" t="str">
        <f>IF(AC330&gt;=Reference!$H$2, Reference!$G$2, IF(AC330&gt;=Reference!$H$3, Reference!$G$3, IF(AC330&gt;=Reference!$H$4, Reference!$G$4, IF(AC330&gt;=Reference!$H$5, Reference!$G$5, ""))))</f>
        <v/>
      </c>
      <c r="Q330" s="11" t="str">
        <f t="shared" si="36"/>
        <v/>
      </c>
      <c r="R330" s="11" t="str">
        <f>IF(AE330&gt;=Reference!$D$2, Reference!$G$2, IF(AE330&gt;=Reference!$D$3, Reference!$E$3, IF(AE330&gt;=Reference!$D$4, Reference!$E$4, IF(AE330&gt;=Reference!$D$5, Reference!$E$5, ""))))</f>
        <v>Low</v>
      </c>
      <c r="S330" s="9"/>
      <c r="T330" s="19"/>
      <c r="U330" s="9"/>
      <c r="V330" s="9"/>
      <c r="W330" s="9"/>
      <c r="Y330" s="12">
        <f>IF(H330=Reference!$A$12, Reference!$C$12, IF(H330=Reference!$A$11, Reference!$C$11, IF(H330=Reference!$A$10, Reference!$C$10, IF(H330=Reference!$A$9, Reference!$C$9, 0))))</f>
        <v>0</v>
      </c>
      <c r="Z330" s="12">
        <f>IF(J330=Reference!$A$20, Reference!$C$20, IF(J330=Reference!$A$19, Reference!$C$19, IF(J330=Reference!$A$18, Reference!$C$18, IF(J330=Reference!$A$17, Reference!$C$17, 0))))</f>
        <v>0</v>
      </c>
      <c r="AA330" s="12">
        <f>IF(L330=Reference!$A$28, Reference!$C$28, IF(L330=Reference!$A$27, Reference!$C$27, IF(L330=Reference!$A$26, Reference!$C$26, IF(L330=Reference!$A$25, Reference!$C$25, 0))))</f>
        <v>0</v>
      </c>
      <c r="AB330" s="12">
        <f>IF(N330=Reference!$A$36, Reference!$C$36, IF(N330=Reference!$A$35, Reference!$C$35, IF(N330=Reference!$A$34, Reference!$C$34, IF(N330=Reference!$A$33, Reference!$C$33, 0))))</f>
        <v>0</v>
      </c>
      <c r="AC330" s="12">
        <f>(Reference!$B$2*Y330 + Reference!$B$3*AA330 + Reference!$B$4*Z330 + Reference!$B$5 * AB330)/4</f>
        <v>0</v>
      </c>
      <c r="AD330" s="12">
        <f>IF(Q330=Reference!$C$41, Reference!$D$41, IF(Q330=Reference!$C$42, Reference!$D$42, IF(Q330=Reference!$C$43, Reference!$D$43, IF(Q330=Reference!$C$44, Reference!$D$44, 0))))</f>
        <v>0</v>
      </c>
      <c r="AE330" s="12">
        <f t="shared" si="37"/>
        <v>1</v>
      </c>
    </row>
    <row r="331" spans="1:31" ht="13.15">
      <c r="A331" s="8"/>
      <c r="B331" s="9"/>
      <c r="C331" s="9"/>
      <c r="D331" s="10"/>
      <c r="E331" s="10"/>
      <c r="F331" s="9"/>
      <c r="G331" s="9"/>
      <c r="H331" s="9"/>
      <c r="I331" s="9"/>
      <c r="J331" s="9"/>
      <c r="K331" s="9"/>
      <c r="L331" s="9"/>
      <c r="M331" s="9"/>
      <c r="N331" s="9"/>
      <c r="O331" s="9"/>
      <c r="P331" s="11" t="str">
        <f>IF(AC331&gt;=Reference!$H$2, Reference!$G$2, IF(AC331&gt;=Reference!$H$3, Reference!$G$3, IF(AC331&gt;=Reference!$H$4, Reference!$G$4, IF(AC331&gt;=Reference!$H$5, Reference!$G$5, ""))))</f>
        <v/>
      </c>
      <c r="Q331" s="11" t="str">
        <f t="shared" si="36"/>
        <v/>
      </c>
      <c r="R331" s="11" t="str">
        <f>IF(AE331&gt;=Reference!$D$2, Reference!$G$2, IF(AE331&gt;=Reference!$D$3, Reference!$E$3, IF(AE331&gt;=Reference!$D$4, Reference!$E$4, IF(AE331&gt;=Reference!$D$5, Reference!$E$5, ""))))</f>
        <v>Low</v>
      </c>
      <c r="S331" s="9"/>
      <c r="T331" s="9"/>
      <c r="U331" s="9"/>
      <c r="V331" s="9"/>
      <c r="W331" s="9"/>
      <c r="Y331" s="12">
        <f>IF(H331=Reference!$A$12, Reference!$C$12, IF(H331=Reference!$A$11, Reference!$C$11, IF(H331=Reference!$A$10, Reference!$C$10, IF(H331=Reference!$A$9, Reference!$C$9, 0))))</f>
        <v>0</v>
      </c>
      <c r="Z331" s="12">
        <f>IF(J331=Reference!$A$20, Reference!$C$20, IF(J331=Reference!$A$19, Reference!$C$19, IF(J331=Reference!$A$18, Reference!$C$18, IF(J331=Reference!$A$17, Reference!$C$17, 0))))</f>
        <v>0</v>
      </c>
      <c r="AA331" s="12">
        <f>IF(L331=Reference!$A$28, Reference!$C$28, IF(L331=Reference!$A$27, Reference!$C$27, IF(L331=Reference!$A$26, Reference!$C$26, IF(L331=Reference!$A$25, Reference!$C$25, 0))))</f>
        <v>0</v>
      </c>
      <c r="AB331" s="12">
        <f>IF(N331=Reference!$A$36, Reference!$C$36, IF(N331=Reference!$A$35, Reference!$C$35, IF(N331=Reference!$A$34, Reference!$C$34, IF(N331=Reference!$A$33, Reference!$C$33, 0))))</f>
        <v>0</v>
      </c>
      <c r="AC331" s="12">
        <f>(Reference!$B$2*Y331 + Reference!$B$3*AA331 + Reference!$B$4*Z331 + Reference!$B$5 * AB331)/4</f>
        <v>0</v>
      </c>
      <c r="AD331" s="12">
        <f>IF(Q331=Reference!$C$41, Reference!$D$41, IF(Q331=Reference!$C$42, Reference!$D$42, IF(Q331=Reference!$C$43, Reference!$D$43, IF(Q331=Reference!$C$44, Reference!$D$44, 0))))</f>
        <v>0</v>
      </c>
      <c r="AE331" s="12">
        <f t="shared" si="37"/>
        <v>1</v>
      </c>
    </row>
    <row r="332" spans="1:31" ht="13.15">
      <c r="A332" s="8"/>
      <c r="B332" s="9"/>
      <c r="C332" s="9"/>
      <c r="D332" s="10"/>
      <c r="E332" s="10"/>
      <c r="F332" s="9"/>
      <c r="G332" s="9"/>
      <c r="H332" s="9"/>
      <c r="I332" s="9"/>
      <c r="J332" s="9"/>
      <c r="K332" s="9"/>
      <c r="L332" s="9"/>
      <c r="M332" s="9"/>
      <c r="N332" s="9"/>
      <c r="O332" s="9"/>
      <c r="P332" s="11" t="str">
        <f>IF(AC332&gt;=Reference!$H$2, Reference!$G$2, IF(AC332&gt;=Reference!$H$3, Reference!$G$3, IF(AC332&gt;=Reference!$H$4, Reference!$G$4, IF(AC332&gt;=Reference!$H$5, Reference!$G$5, ""))))</f>
        <v/>
      </c>
      <c r="Q332" s="11" t="str">
        <f t="shared" si="36"/>
        <v/>
      </c>
      <c r="R332" s="11" t="str">
        <f>IF(AE332&gt;=Reference!$D$2, Reference!$G$2, IF(AE332&gt;=Reference!$D$3, Reference!$E$3, IF(AE332&gt;=Reference!$D$4, Reference!$E$4, IF(AE332&gt;=Reference!$D$5, Reference!$E$5, ""))))</f>
        <v>Low</v>
      </c>
      <c r="S332" s="9"/>
      <c r="T332" s="9"/>
      <c r="U332" s="9"/>
      <c r="V332" s="9"/>
      <c r="W332" s="9"/>
      <c r="Y332" s="12">
        <f>IF(H332=Reference!$A$12, Reference!$C$12, IF(H332=Reference!$A$11, Reference!$C$11, IF(H332=Reference!$A$10, Reference!$C$10, IF(H332=Reference!$A$9, Reference!$C$9, 0))))</f>
        <v>0</v>
      </c>
      <c r="Z332" s="12">
        <f>IF(J332=Reference!$A$20, Reference!$C$20, IF(J332=Reference!$A$19, Reference!$C$19, IF(J332=Reference!$A$18, Reference!$C$18, IF(J332=Reference!$A$17, Reference!$C$17, 0))))</f>
        <v>0</v>
      </c>
      <c r="AA332" s="12">
        <f>IF(L332=Reference!$A$28, Reference!$C$28, IF(L332=Reference!$A$27, Reference!$C$27, IF(L332=Reference!$A$26, Reference!$C$26, IF(L332=Reference!$A$25, Reference!$C$25, 0))))</f>
        <v>0</v>
      </c>
      <c r="AB332" s="12">
        <f>IF(N332=Reference!$A$36, Reference!$C$36, IF(N332=Reference!$A$35, Reference!$C$35, IF(N332=Reference!$A$34, Reference!$C$34, IF(N332=Reference!$A$33, Reference!$C$33, 0))))</f>
        <v>0</v>
      </c>
      <c r="AC332" s="12">
        <f>(Reference!$B$2*Y332 + Reference!$B$3*AA332 + Reference!$B$4*Z332 + Reference!$B$5 * AB332)/4</f>
        <v>0</v>
      </c>
      <c r="AD332" s="12">
        <f>IF(Q332=Reference!$C$41, Reference!$D$41, IF(Q332=Reference!$C$42, Reference!$D$42, IF(Q332=Reference!$C$43, Reference!$D$43, IF(Q332=Reference!$C$44, Reference!$D$44, 0))))</f>
        <v>0</v>
      </c>
      <c r="AE332" s="12">
        <f t="shared" si="37"/>
        <v>1</v>
      </c>
    </row>
    <row r="333" spans="1:31" ht="24" customHeight="1">
      <c r="A333" s="8"/>
      <c r="B333" s="9"/>
      <c r="C333" s="9"/>
      <c r="D333" s="28"/>
      <c r="E333" s="10"/>
      <c r="F333" s="9"/>
      <c r="H333" s="9"/>
      <c r="I333" s="9"/>
      <c r="J333" s="9"/>
      <c r="K333" s="9"/>
      <c r="L333" s="9"/>
      <c r="M333" s="9"/>
      <c r="N333" s="9"/>
      <c r="O333" s="9"/>
      <c r="P333" s="11" t="str">
        <f>IF(AC333&gt;=Reference!$H$2, Reference!$G$2, IF(AC333&gt;=Reference!$H$3, Reference!$G$3, IF(AC333&gt;=Reference!$H$4, Reference!$G$4, IF(AC333&gt;=Reference!$H$5, Reference!$G$5, ""))))</f>
        <v/>
      </c>
      <c r="Q333" s="11" t="str">
        <f t="shared" si="36"/>
        <v/>
      </c>
      <c r="R333" s="11" t="str">
        <f>IF(AE333&gt;=Reference!$D$2, Reference!$G$2, IF(AE333&gt;=Reference!$D$3, Reference!$E$3, IF(AE333&gt;=Reference!$D$4, Reference!$E$4, IF(AE333&gt;=Reference!$D$5, Reference!$E$5, ""))))</f>
        <v>Low</v>
      </c>
      <c r="S333" s="9"/>
      <c r="T333" s="16"/>
      <c r="U333" s="9"/>
      <c r="V333" s="9"/>
      <c r="W333" s="9"/>
      <c r="Y333" s="12">
        <f>IF(H333=Reference!$A$12, Reference!$C$12, IF(H333=Reference!$A$11, Reference!$C$11, IF(H333=Reference!$A$10, Reference!$C$10, IF(H333=Reference!$A$9, Reference!$C$9, 0))))</f>
        <v>0</v>
      </c>
      <c r="Z333" s="12">
        <f>IF(J333=Reference!$A$20, Reference!$C$20, IF(J333=Reference!$A$19, Reference!$C$19, IF(J333=Reference!$A$18, Reference!$C$18, IF(J333=Reference!$A$17, Reference!$C$17, 0))))</f>
        <v>0</v>
      </c>
      <c r="AA333" s="12">
        <f>IF(L333=Reference!$A$28, Reference!$C$28, IF(L333=Reference!$A$27, Reference!$C$27, IF(L333=Reference!$A$26, Reference!$C$26, IF(L333=Reference!$A$25, Reference!$C$25, 0))))</f>
        <v>0</v>
      </c>
      <c r="AB333" s="12">
        <f>IF(N333=Reference!$A$36, Reference!$C$36, IF(N333=Reference!$A$35, Reference!$C$35, IF(N333=Reference!$A$34, Reference!$C$34, IF(N333=Reference!$A$33, Reference!$C$33, 0))))</f>
        <v>0</v>
      </c>
      <c r="AC333" s="12">
        <f>(Reference!$B$2*Y333 + Reference!$B$3*AA333 + Reference!$B$4*Z333 + Reference!$B$5 * AB333)/4</f>
        <v>0</v>
      </c>
      <c r="AD333" s="12">
        <f>IF(Q333=Reference!$C$41, Reference!$D$41, IF(Q333=Reference!$C$42, Reference!$D$42, IF(Q333=Reference!$C$43, Reference!$D$43, IF(Q333=Reference!$C$44, Reference!$D$44, 0))))</f>
        <v>0</v>
      </c>
      <c r="AE333" s="12">
        <f t="shared" si="37"/>
        <v>1</v>
      </c>
    </row>
    <row r="334" spans="1:31" ht="13.15">
      <c r="A334" s="8"/>
      <c r="B334" s="9"/>
      <c r="C334" s="9"/>
      <c r="D334" s="18"/>
      <c r="E334" s="18"/>
      <c r="F334" s="9"/>
      <c r="G334" s="15"/>
      <c r="H334" s="9"/>
      <c r="I334" s="15"/>
      <c r="J334" s="9"/>
      <c r="K334" s="9"/>
      <c r="L334" s="9"/>
      <c r="M334" s="19"/>
      <c r="N334" s="9"/>
      <c r="O334" s="9"/>
      <c r="P334" s="11" t="str">
        <f>IF(AC334&gt;=Reference!$H$2, Reference!$G$2, IF(AC334&gt;=Reference!$H$3, Reference!$G$3, IF(AC334&gt;=Reference!$H$4, Reference!$G$4, IF(AC334&gt;=Reference!$H$5, Reference!$G$5, ""))))</f>
        <v/>
      </c>
      <c r="Q334" s="11" t="str">
        <f t="shared" si="36"/>
        <v/>
      </c>
      <c r="R334" s="11" t="str">
        <f>IF(AE334&gt;=Reference!$D$2, Reference!$G$2, IF(AE334&gt;=Reference!$D$3, Reference!$E$3, IF(AE334&gt;=Reference!$D$4, Reference!$E$4, IF(AE334&gt;=Reference!$D$5, Reference!$E$5, ""))))</f>
        <v>Low</v>
      </c>
      <c r="S334" s="9"/>
      <c r="T334" s="16"/>
      <c r="U334" s="9"/>
      <c r="V334" s="19"/>
      <c r="W334" s="9"/>
      <c r="Y334" s="12">
        <f>IF(H334=Reference!$A$12, Reference!$C$12, IF(H334=Reference!$A$11, Reference!$C$11, IF(H334=Reference!$A$10, Reference!$C$10, IF(H334=Reference!$A$9, Reference!$C$9, 0))))</f>
        <v>0</v>
      </c>
      <c r="Z334" s="12">
        <f>IF(J334=Reference!$A$20, Reference!$C$20, IF(J334=Reference!$A$19, Reference!$C$19, IF(J334=Reference!$A$18, Reference!$C$18, IF(J334=Reference!$A$17, Reference!$C$17, 0))))</f>
        <v>0</v>
      </c>
      <c r="AA334" s="12">
        <f>IF(L334=Reference!$A$28, Reference!$C$28, IF(L334=Reference!$A$27, Reference!$C$27, IF(L334=Reference!$A$26, Reference!$C$26, IF(L334=Reference!$A$25, Reference!$C$25, 0))))</f>
        <v>0</v>
      </c>
      <c r="AB334" s="12">
        <f>IF(N334=Reference!$A$36, Reference!$C$36, IF(N334=Reference!$A$35, Reference!$C$35, IF(N334=Reference!$A$34, Reference!$C$34, IF(N334=Reference!$A$33, Reference!$C$33, 0))))</f>
        <v>0</v>
      </c>
      <c r="AC334" s="12">
        <f>(Reference!$B$2*Y334 + Reference!$B$3*AA334 + Reference!$B$4*Z334 + Reference!$B$5 * AB334)/4</f>
        <v>0</v>
      </c>
      <c r="AD334" s="12">
        <f>IF(Q334=Reference!$C$41, Reference!$D$41, IF(Q334=Reference!$C$42, Reference!$D$42, IF(Q334=Reference!$C$43, Reference!$D$43, IF(Q334=Reference!$C$44, Reference!$D$44, 0))))</f>
        <v>0</v>
      </c>
      <c r="AE334" s="12">
        <f t="shared" si="37"/>
        <v>1</v>
      </c>
    </row>
    <row r="335" spans="1:31" ht="14.45">
      <c r="A335" s="8"/>
      <c r="B335" s="9"/>
      <c r="C335" s="9"/>
      <c r="D335" s="10"/>
      <c r="E335" s="10"/>
      <c r="F335" s="9"/>
      <c r="G335" s="16"/>
      <c r="H335" s="9"/>
      <c r="I335" s="16"/>
      <c r="J335" s="9"/>
      <c r="K335" s="9"/>
      <c r="L335" s="9"/>
      <c r="M335" s="9"/>
      <c r="N335" s="9"/>
      <c r="O335" s="9"/>
      <c r="P335" s="11" t="str">
        <f>IF(AC335&gt;=Reference!$H$2, Reference!$G$2, IF(AC335&gt;=Reference!$H$3, Reference!$G$3, IF(AC335&gt;=Reference!$H$4, Reference!$G$4, IF(AC335&gt;=Reference!$H$5, Reference!$G$5, ""))))</f>
        <v/>
      </c>
      <c r="Q335" s="11" t="str">
        <f t="shared" si="36"/>
        <v/>
      </c>
      <c r="R335" s="11" t="str">
        <f>IF(AE335&gt;=Reference!$D$2, Reference!$G$2, IF(AE335&gt;=Reference!$D$3, Reference!$E$3, IF(AE335&gt;=Reference!$D$4, Reference!$E$4, IF(AE335&gt;=Reference!$D$5, Reference!$E$5, ""))))</f>
        <v>Low</v>
      </c>
      <c r="S335" s="9"/>
      <c r="T335" s="9"/>
      <c r="U335" s="9"/>
      <c r="V335" s="33"/>
      <c r="W335" s="9"/>
      <c r="Y335" s="12">
        <f>IF(H335=Reference!$A$12, Reference!$C$12, IF(H335=Reference!$A$11, Reference!$C$11, IF(H335=Reference!$A$10, Reference!$C$10, IF(H335=Reference!$A$9, Reference!$C$9, 0))))</f>
        <v>0</v>
      </c>
      <c r="Z335" s="12">
        <f>IF(J335=Reference!$A$20, Reference!$C$20, IF(J335=Reference!$A$19, Reference!$C$19, IF(J335=Reference!$A$18, Reference!$C$18, IF(J335=Reference!$A$17, Reference!$C$17, 0))))</f>
        <v>0</v>
      </c>
      <c r="AA335" s="12">
        <f>IF(L335=Reference!$A$28, Reference!$C$28, IF(L335=Reference!$A$27, Reference!$C$27, IF(L335=Reference!$A$26, Reference!$C$26, IF(L335=Reference!$A$25, Reference!$C$25, 0))))</f>
        <v>0</v>
      </c>
      <c r="AB335" s="12">
        <f>IF(N335=Reference!$A$36, Reference!$C$36, IF(N335=Reference!$A$35, Reference!$C$35, IF(N335=Reference!$A$34, Reference!$C$34, IF(N335=Reference!$A$33, Reference!$C$33, 0))))</f>
        <v>0</v>
      </c>
      <c r="AC335" s="12">
        <f>(Reference!$B$2*Y335 + Reference!$B$3*AA335 + Reference!$B$4*Z335 + Reference!$B$5 * AB335)/4</f>
        <v>0</v>
      </c>
      <c r="AD335" s="12">
        <f>IF(Q335=Reference!$C$41, Reference!$D$41, IF(Q335=Reference!$C$42, Reference!$D$42, IF(Q335=Reference!$C$43, Reference!$D$43, IF(Q335=Reference!$C$44, Reference!$D$44, 0))))</f>
        <v>0</v>
      </c>
      <c r="AE335" s="12">
        <f t="shared" si="37"/>
        <v>1</v>
      </c>
    </row>
    <row r="336" spans="1:31" ht="14.45">
      <c r="A336" s="8"/>
      <c r="B336" s="9"/>
      <c r="C336" s="9"/>
      <c r="D336" s="10"/>
      <c r="E336" s="24"/>
      <c r="F336" s="9"/>
      <c r="G336" s="16"/>
      <c r="H336" s="9"/>
      <c r="I336" s="16"/>
      <c r="J336" s="9"/>
      <c r="K336" s="9"/>
      <c r="L336" s="9"/>
      <c r="M336" s="9"/>
      <c r="N336" s="9"/>
      <c r="O336" s="9"/>
      <c r="P336" s="11" t="str">
        <f>IF(AC336&gt;=Reference!$H$2, Reference!$G$2, IF(AC336&gt;=Reference!$H$3, Reference!$G$3, IF(AC336&gt;=Reference!$H$4, Reference!$G$4, IF(AC336&gt;=Reference!$H$5, Reference!$G$5, ""))))</f>
        <v/>
      </c>
      <c r="Q336" s="11" t="str">
        <f t="shared" si="36"/>
        <v/>
      </c>
      <c r="R336" s="11" t="str">
        <f>IF(AE336&gt;=Reference!$D$2, Reference!$G$2, IF(AE336&gt;=Reference!$D$3, Reference!$E$3, IF(AE336&gt;=Reference!$D$4, Reference!$E$4, IF(AE336&gt;=Reference!$D$5, Reference!$E$5, ""))))</f>
        <v>Low</v>
      </c>
      <c r="S336" s="9"/>
      <c r="T336" s="9"/>
      <c r="U336" s="9"/>
      <c r="V336" s="33"/>
      <c r="W336" s="9"/>
      <c r="Y336" s="12">
        <f>IF(H336=Reference!$A$12, Reference!$C$12, IF(H336=Reference!$A$11, Reference!$C$11, IF(H336=Reference!$A$10, Reference!$C$10, IF(H336=Reference!$A$9, Reference!$C$9, 0))))</f>
        <v>0</v>
      </c>
      <c r="Z336" s="12">
        <f>IF(J336=Reference!$A$20, Reference!$C$20, IF(J336=Reference!$A$19, Reference!$C$19, IF(J336=Reference!$A$18, Reference!$C$18, IF(J336=Reference!$A$17, Reference!$C$17, 0))))</f>
        <v>0</v>
      </c>
      <c r="AA336" s="12">
        <f>IF(L336=Reference!$A$28, Reference!$C$28, IF(L336=Reference!$A$27, Reference!$C$27, IF(L336=Reference!$A$26, Reference!$C$26, IF(L336=Reference!$A$25, Reference!$C$25, 0))))</f>
        <v>0</v>
      </c>
      <c r="AB336" s="12">
        <f>IF(N336=Reference!$A$36, Reference!$C$36, IF(N336=Reference!$A$35, Reference!$C$35, IF(N336=Reference!$A$34, Reference!$C$34, IF(N336=Reference!$A$33, Reference!$C$33, 0))))</f>
        <v>0</v>
      </c>
      <c r="AC336" s="12">
        <f>(Reference!$B$2*Y336 + Reference!$B$3*AA336 + Reference!$B$4*Z336 + Reference!$B$5 * AB336)/4</f>
        <v>0</v>
      </c>
      <c r="AD336" s="12">
        <f>IF(Q336=Reference!$C$41, Reference!$D$41, IF(Q336=Reference!$C$42, Reference!$D$42, IF(Q336=Reference!$C$43, Reference!$D$43, IF(Q336=Reference!$C$44, Reference!$D$44, 0))))</f>
        <v>0</v>
      </c>
      <c r="AE336" s="12">
        <f t="shared" si="37"/>
        <v>1</v>
      </c>
    </row>
    <row r="337" spans="1:31" ht="13.15">
      <c r="A337" s="8"/>
      <c r="B337" s="9"/>
      <c r="C337" s="9"/>
      <c r="D337" s="34"/>
      <c r="E337" s="10"/>
      <c r="F337" s="9"/>
      <c r="G337" s="16"/>
      <c r="H337" s="9"/>
      <c r="I337" s="16"/>
      <c r="J337" s="9"/>
      <c r="K337" s="9"/>
      <c r="L337" s="9"/>
      <c r="M337" s="9"/>
      <c r="N337" s="9"/>
      <c r="O337" s="9"/>
      <c r="P337" s="11" t="str">
        <f>IF(AC337&gt;=Reference!$H$2, Reference!$G$2, IF(AC337&gt;=Reference!$H$3, Reference!$G$3, IF(AC337&gt;=Reference!$H$4, Reference!$G$4, IF(AC337&gt;=Reference!$H$5, Reference!$G$5, ""))))</f>
        <v/>
      </c>
      <c r="Q337" s="11" t="str">
        <f t="shared" si="36"/>
        <v/>
      </c>
      <c r="R337" s="11" t="str">
        <f>IF(AE337&gt;=Reference!$D$2, Reference!$G$2, IF(AE337&gt;=Reference!$D$3, Reference!$E$3, IF(AE337&gt;=Reference!$D$4, Reference!$E$4, IF(AE337&gt;=Reference!$D$5, Reference!$E$5, ""))))</f>
        <v>Low</v>
      </c>
      <c r="S337" s="9"/>
      <c r="T337" s="9"/>
      <c r="U337" s="9"/>
      <c r="V337" s="9"/>
      <c r="W337" s="9"/>
      <c r="Y337" s="12">
        <f>IF(H337=Reference!$A$12, Reference!$C$12, IF(H337=Reference!$A$11, Reference!$C$11, IF(H337=Reference!$A$10, Reference!$C$10, IF(H337=Reference!$A$9, Reference!$C$9, 0))))</f>
        <v>0</v>
      </c>
      <c r="Z337" s="12">
        <f>IF(J337=Reference!$A$20, Reference!$C$20, IF(J337=Reference!$A$19, Reference!$C$19, IF(J337=Reference!$A$18, Reference!$C$18, IF(J337=Reference!$A$17, Reference!$C$17, 0))))</f>
        <v>0</v>
      </c>
      <c r="AA337" s="12">
        <f>IF(L337=Reference!$A$28, Reference!$C$28, IF(L337=Reference!$A$27, Reference!$C$27, IF(L337=Reference!$A$26, Reference!$C$26, IF(L337=Reference!$A$25, Reference!$C$25, 0))))</f>
        <v>0</v>
      </c>
      <c r="AB337" s="12">
        <f>IF(N337=Reference!$A$36, Reference!$C$36, IF(N337=Reference!$A$35, Reference!$C$35, IF(N337=Reference!$A$34, Reference!$C$34, IF(N337=Reference!$A$33, Reference!$C$33, 0))))</f>
        <v>0</v>
      </c>
      <c r="AC337" s="12">
        <f>(Reference!$B$2*Y337 + Reference!$B$3*AA337 + Reference!$B$4*Z337 + Reference!$B$5 * AB337)/4</f>
        <v>0</v>
      </c>
      <c r="AD337" s="12">
        <f>IF(Q337=Reference!$C$41, Reference!$D$41, IF(Q337=Reference!$C$42, Reference!$D$42, IF(Q337=Reference!$C$43, Reference!$D$43, IF(Q337=Reference!$C$44, Reference!$D$44, 0))))</f>
        <v>0</v>
      </c>
      <c r="AE337" s="12">
        <f>1 + (AC337 * AD337)</f>
        <v>1</v>
      </c>
    </row>
    <row r="338" spans="1:31" ht="13.15">
      <c r="A338" s="8"/>
      <c r="B338" s="9"/>
      <c r="C338" s="13"/>
      <c r="D338" s="35"/>
      <c r="E338" s="10"/>
      <c r="F338" s="9"/>
      <c r="G338" s="16"/>
      <c r="H338" s="9"/>
      <c r="I338" s="16"/>
      <c r="J338" s="9"/>
      <c r="K338" s="9"/>
      <c r="L338" s="9"/>
      <c r="M338" s="9"/>
      <c r="N338" s="9"/>
      <c r="O338" s="9"/>
      <c r="P338" s="11" t="str">
        <f>IF(AC338&gt;=Reference!$H$2, Reference!$G$2, IF(AC338&gt;=Reference!$H$3, Reference!$G$3, IF(AC338&gt;=Reference!$H$4, Reference!$G$4, IF(AC338&gt;=Reference!$H$5, Reference!$G$5, ""))))</f>
        <v/>
      </c>
      <c r="Q338" s="11" t="str">
        <f t="shared" si="36"/>
        <v/>
      </c>
      <c r="R338" s="11" t="str">
        <f>IF(AE338&gt;=Reference!$D$2, Reference!$G$2, IF(AE338&gt;=Reference!$D$3, Reference!$E$3, IF(AE338&gt;=Reference!$D$4, Reference!$E$4, IF(AE338&gt;=Reference!$D$5, Reference!$E$5, ""))))</f>
        <v>Low</v>
      </c>
      <c r="S338" s="9"/>
      <c r="T338" s="9"/>
      <c r="U338" s="9"/>
      <c r="V338" s="9"/>
      <c r="W338" s="9"/>
      <c r="Y338" s="12">
        <f>IF(H338=Reference!$A$12, Reference!$C$12, IF(H338=Reference!$A$11, Reference!$C$11, IF(H338=Reference!$A$10, Reference!$C$10, IF(H338=Reference!$A$9, Reference!$C$9, 0))))</f>
        <v>0</v>
      </c>
      <c r="Z338" s="12">
        <f>IF(J338=Reference!$A$20, Reference!$C$20, IF(J338=Reference!$A$19, Reference!$C$19, IF(J338=Reference!$A$18, Reference!$C$18, IF(J338=Reference!$A$17, Reference!$C$17, 0))))</f>
        <v>0</v>
      </c>
      <c r="AA338" s="12">
        <f>IF(L338=Reference!$A$28, Reference!$C$28, IF(L338=Reference!$A$27, Reference!$C$27, IF(L338=Reference!$A$26, Reference!$C$26, IF(L338=Reference!$A$25, Reference!$C$25, 0))))</f>
        <v>0</v>
      </c>
      <c r="AB338" s="12">
        <f>IF(N338=Reference!$A$36, Reference!$C$36, IF(N338=Reference!$A$35, Reference!$C$35, IF(N338=Reference!$A$34, Reference!$C$34, IF(N338=Reference!$A$33, Reference!$C$33, 0))))</f>
        <v>0</v>
      </c>
      <c r="AC338" s="12">
        <f>(Reference!$B$2*Y338 + Reference!$B$3*AA338 + Reference!$B$4*Z338 + Reference!$B$5 * AB338)/4</f>
        <v>0</v>
      </c>
      <c r="AD338" s="12">
        <f>IF(Q338=Reference!$C$41, Reference!$D$41, IF(Q338=Reference!$C$42, Reference!$D$42, IF(Q338=Reference!$C$43, Reference!$D$43, IF(Q338=Reference!$C$44, Reference!$D$44, 0))))</f>
        <v>0</v>
      </c>
      <c r="AE338" s="12">
        <f>1 + (AC338 * AD338)</f>
        <v>1</v>
      </c>
    </row>
    <row r="339" spans="1:31" ht="13.15">
      <c r="A339" s="36"/>
      <c r="D339" s="37"/>
      <c r="E339" s="37"/>
    </row>
    <row r="340" spans="1:31" ht="13.15">
      <c r="A340" s="36"/>
      <c r="D340" s="37"/>
      <c r="E340" s="37"/>
    </row>
    <row r="341" spans="1:31" ht="13.15">
      <c r="A341" s="36"/>
      <c r="D341" s="37"/>
      <c r="E341" s="37"/>
    </row>
    <row r="342" spans="1:31" ht="13.15">
      <c r="A342" s="36"/>
      <c r="D342" s="37"/>
      <c r="E342" s="37"/>
    </row>
    <row r="343" spans="1:31" ht="13.15">
      <c r="A343" s="36"/>
      <c r="D343" s="37"/>
      <c r="E343" s="37"/>
    </row>
    <row r="344" spans="1:31" ht="13.15">
      <c r="A344" s="36"/>
      <c r="D344" s="37"/>
      <c r="E344" s="37"/>
    </row>
    <row r="345" spans="1:31" ht="13.15">
      <c r="A345" s="36"/>
      <c r="D345" s="37"/>
      <c r="E345" s="37"/>
    </row>
    <row r="346" spans="1:31" ht="13.15">
      <c r="A346" s="36"/>
      <c r="D346" s="37"/>
      <c r="E346" s="37"/>
    </row>
    <row r="347" spans="1:31" ht="13.15">
      <c r="A347" s="36"/>
      <c r="D347" s="37"/>
      <c r="E347" s="37"/>
    </row>
    <row r="348" spans="1:31" ht="13.15">
      <c r="A348" s="36"/>
      <c r="D348" s="37"/>
      <c r="E348" s="37"/>
    </row>
    <row r="349" spans="1:31" ht="13.15">
      <c r="A349" s="36"/>
      <c r="D349" s="37"/>
      <c r="E349" s="37"/>
    </row>
    <row r="350" spans="1:31" ht="13.15">
      <c r="A350" s="36"/>
      <c r="D350" s="37"/>
      <c r="E350" s="37"/>
    </row>
    <row r="351" spans="1:31" ht="13.15">
      <c r="A351" s="36"/>
      <c r="D351" s="37"/>
      <c r="E351" s="37"/>
    </row>
    <row r="352" spans="1:31" ht="13.15">
      <c r="A352" s="36"/>
      <c r="D352" s="37"/>
      <c r="E352" s="37"/>
    </row>
    <row r="353" spans="1:5" ht="13.15">
      <c r="A353" s="36"/>
      <c r="D353" s="37"/>
      <c r="E353" s="37"/>
    </row>
    <row r="354" spans="1:5" ht="13.15">
      <c r="A354" s="36"/>
      <c r="D354" s="37"/>
      <c r="E354" s="37"/>
    </row>
    <row r="355" spans="1:5" ht="13.15">
      <c r="A355" s="36"/>
      <c r="D355" s="37"/>
      <c r="E355" s="37"/>
    </row>
    <row r="356" spans="1:5" ht="13.15">
      <c r="A356" s="36"/>
      <c r="D356" s="37"/>
      <c r="E356" s="37"/>
    </row>
    <row r="357" spans="1:5" ht="13.15">
      <c r="A357" s="36"/>
      <c r="D357" s="37"/>
      <c r="E357" s="37"/>
    </row>
    <row r="358" spans="1:5" ht="13.15">
      <c r="A358" s="36"/>
      <c r="D358" s="37"/>
      <c r="E358" s="37"/>
    </row>
    <row r="359" spans="1:5" ht="13.15">
      <c r="A359" s="36"/>
      <c r="D359" s="37"/>
      <c r="E359" s="37"/>
    </row>
    <row r="360" spans="1:5" ht="13.15">
      <c r="A360" s="36"/>
      <c r="D360" s="37"/>
      <c r="E360" s="37"/>
    </row>
    <row r="361" spans="1:5" ht="13.15">
      <c r="A361" s="36"/>
      <c r="D361" s="37"/>
      <c r="E361" s="37"/>
    </row>
    <row r="362" spans="1:5" ht="13.15">
      <c r="A362" s="36"/>
      <c r="D362" s="37"/>
      <c r="E362" s="37"/>
    </row>
    <row r="363" spans="1:5" ht="13.15">
      <c r="A363" s="36"/>
      <c r="D363" s="37"/>
      <c r="E363" s="37"/>
    </row>
    <row r="364" spans="1:5" ht="13.15">
      <c r="A364" s="36"/>
      <c r="D364" s="37"/>
      <c r="E364" s="37"/>
    </row>
    <row r="365" spans="1:5" ht="13.15">
      <c r="A365" s="36"/>
      <c r="D365" s="37"/>
      <c r="E365" s="37"/>
    </row>
    <row r="366" spans="1:5" ht="13.15">
      <c r="A366" s="36"/>
      <c r="D366" s="37"/>
      <c r="E366" s="37"/>
    </row>
    <row r="367" spans="1:5" ht="13.15">
      <c r="A367" s="36"/>
      <c r="D367" s="37"/>
      <c r="E367" s="37"/>
    </row>
    <row r="368" spans="1:5" ht="13.15">
      <c r="A368" s="36"/>
      <c r="D368" s="37"/>
      <c r="E368" s="37"/>
    </row>
    <row r="369" spans="1:5" ht="13.15">
      <c r="A369" s="36"/>
      <c r="D369" s="37"/>
      <c r="E369" s="37"/>
    </row>
    <row r="370" spans="1:5" ht="13.15">
      <c r="A370" s="36"/>
      <c r="D370" s="37"/>
      <c r="E370" s="37"/>
    </row>
    <row r="371" spans="1:5" ht="13.15">
      <c r="A371" s="36"/>
      <c r="D371" s="37"/>
      <c r="E371" s="37"/>
    </row>
    <row r="372" spans="1:5" ht="13.15">
      <c r="A372" s="36"/>
      <c r="D372" s="37"/>
      <c r="E372" s="37"/>
    </row>
    <row r="373" spans="1:5" ht="13.15">
      <c r="A373" s="36"/>
      <c r="D373" s="37"/>
      <c r="E373" s="37"/>
    </row>
    <row r="374" spans="1:5" ht="13.15">
      <c r="A374" s="36"/>
      <c r="D374" s="37"/>
      <c r="E374" s="37"/>
    </row>
    <row r="375" spans="1:5" ht="13.15">
      <c r="A375" s="36"/>
      <c r="D375" s="37"/>
      <c r="E375" s="37"/>
    </row>
    <row r="376" spans="1:5" ht="13.15">
      <c r="A376" s="36"/>
      <c r="D376" s="37"/>
      <c r="E376" s="37"/>
    </row>
    <row r="377" spans="1:5" ht="13.15">
      <c r="A377" s="36"/>
      <c r="D377" s="37"/>
      <c r="E377" s="37"/>
    </row>
    <row r="378" spans="1:5" ht="13.15">
      <c r="A378" s="36"/>
      <c r="D378" s="37"/>
      <c r="E378" s="37"/>
    </row>
    <row r="379" spans="1:5" ht="13.15">
      <c r="A379" s="36"/>
      <c r="D379" s="37"/>
      <c r="E379" s="37"/>
    </row>
    <row r="380" spans="1:5" ht="13.15">
      <c r="A380" s="36"/>
      <c r="D380" s="37"/>
      <c r="E380" s="37"/>
    </row>
    <row r="381" spans="1:5" ht="13.15">
      <c r="A381" s="36"/>
      <c r="D381" s="37"/>
      <c r="E381" s="37"/>
    </row>
    <row r="382" spans="1:5" ht="13.15">
      <c r="A382" s="36"/>
      <c r="D382" s="37"/>
      <c r="E382" s="37"/>
    </row>
    <row r="383" spans="1:5" ht="13.15">
      <c r="A383" s="36"/>
      <c r="D383" s="37"/>
      <c r="E383" s="37"/>
    </row>
    <row r="384" spans="1:5" ht="13.15">
      <c r="A384" s="36"/>
      <c r="D384" s="37"/>
      <c r="E384" s="37"/>
    </row>
    <row r="385" spans="1:5" ht="13.15">
      <c r="A385" s="36"/>
      <c r="D385" s="37"/>
      <c r="E385" s="37"/>
    </row>
    <row r="386" spans="1:5" ht="13.15">
      <c r="A386" s="36"/>
      <c r="D386" s="37"/>
      <c r="E386" s="37"/>
    </row>
    <row r="387" spans="1:5" ht="13.15">
      <c r="A387" s="36"/>
      <c r="D387" s="37"/>
      <c r="E387" s="37"/>
    </row>
    <row r="388" spans="1:5" ht="13.15">
      <c r="A388" s="36"/>
      <c r="D388" s="37"/>
      <c r="E388" s="37"/>
    </row>
    <row r="389" spans="1:5" ht="13.15">
      <c r="A389" s="36"/>
      <c r="D389" s="37"/>
      <c r="E389" s="37"/>
    </row>
    <row r="390" spans="1:5" ht="13.15">
      <c r="A390" s="36"/>
      <c r="D390" s="37"/>
      <c r="E390" s="37"/>
    </row>
    <row r="391" spans="1:5" ht="13.15">
      <c r="A391" s="36"/>
      <c r="D391" s="37"/>
      <c r="E391" s="37"/>
    </row>
    <row r="392" spans="1:5" ht="13.15">
      <c r="A392" s="36"/>
      <c r="D392" s="37"/>
      <c r="E392" s="37"/>
    </row>
    <row r="393" spans="1:5" ht="13.15">
      <c r="A393" s="36"/>
      <c r="D393" s="37"/>
      <c r="E393" s="37"/>
    </row>
    <row r="394" spans="1:5" ht="13.15">
      <c r="A394" s="36"/>
      <c r="D394" s="37"/>
      <c r="E394" s="37"/>
    </row>
    <row r="395" spans="1:5" ht="13.15">
      <c r="A395" s="36"/>
      <c r="D395" s="37"/>
      <c r="E395" s="37"/>
    </row>
    <row r="396" spans="1:5" ht="13.15">
      <c r="A396" s="36"/>
      <c r="D396" s="37"/>
      <c r="E396" s="37"/>
    </row>
    <row r="397" spans="1:5" ht="13.15">
      <c r="A397" s="36"/>
      <c r="D397" s="37"/>
      <c r="E397" s="37"/>
    </row>
    <row r="398" spans="1:5" ht="13.15">
      <c r="A398" s="36"/>
      <c r="D398" s="37"/>
      <c r="E398" s="37"/>
    </row>
    <row r="399" spans="1:5" ht="13.15">
      <c r="A399" s="36"/>
      <c r="D399" s="37"/>
      <c r="E399" s="37"/>
    </row>
    <row r="400" spans="1:5" ht="13.15">
      <c r="A400" s="36"/>
      <c r="D400" s="37"/>
      <c r="E400" s="37"/>
    </row>
    <row r="401" spans="1:5" ht="13.15">
      <c r="A401" s="36"/>
      <c r="D401" s="37"/>
      <c r="E401" s="37"/>
    </row>
    <row r="402" spans="1:5" ht="13.15">
      <c r="A402" s="36"/>
      <c r="D402" s="37"/>
      <c r="E402" s="37"/>
    </row>
    <row r="403" spans="1:5" ht="13.15">
      <c r="A403" s="36"/>
      <c r="D403" s="37"/>
      <c r="E403" s="37"/>
    </row>
    <row r="404" spans="1:5" ht="13.15">
      <c r="A404" s="36"/>
      <c r="D404" s="37"/>
      <c r="E404" s="37"/>
    </row>
    <row r="405" spans="1:5" ht="13.15">
      <c r="A405" s="36"/>
      <c r="D405" s="37"/>
      <c r="E405" s="37"/>
    </row>
    <row r="406" spans="1:5" ht="13.15">
      <c r="A406" s="36"/>
      <c r="D406" s="37"/>
      <c r="E406" s="37"/>
    </row>
    <row r="407" spans="1:5" ht="13.15">
      <c r="A407" s="36"/>
      <c r="D407" s="37"/>
      <c r="E407" s="37"/>
    </row>
    <row r="408" spans="1:5" ht="13.15">
      <c r="A408" s="36"/>
      <c r="D408" s="37"/>
      <c r="E408" s="37"/>
    </row>
    <row r="409" spans="1:5" ht="13.15">
      <c r="A409" s="36"/>
      <c r="D409" s="37"/>
      <c r="E409" s="37"/>
    </row>
    <row r="410" spans="1:5" ht="13.15">
      <c r="A410" s="36"/>
      <c r="D410" s="37"/>
      <c r="E410" s="37"/>
    </row>
    <row r="411" spans="1:5" ht="13.15">
      <c r="A411" s="36"/>
      <c r="D411" s="37"/>
      <c r="E411" s="37"/>
    </row>
    <row r="412" spans="1:5" ht="13.15">
      <c r="A412" s="36"/>
      <c r="D412" s="37"/>
      <c r="E412" s="37"/>
    </row>
    <row r="413" spans="1:5" ht="13.15">
      <c r="A413" s="36"/>
      <c r="D413" s="37"/>
      <c r="E413" s="37"/>
    </row>
    <row r="414" spans="1:5" ht="13.15">
      <c r="A414" s="36"/>
      <c r="D414" s="37"/>
      <c r="E414" s="37"/>
    </row>
    <row r="415" spans="1:5" ht="13.15">
      <c r="A415" s="36"/>
      <c r="D415" s="37"/>
      <c r="E415" s="37"/>
    </row>
    <row r="416" spans="1:5" ht="13.15">
      <c r="A416" s="36"/>
      <c r="D416" s="37"/>
      <c r="E416" s="37"/>
    </row>
    <row r="417" spans="1:5" ht="13.15">
      <c r="A417" s="36"/>
      <c r="D417" s="37"/>
      <c r="E417" s="37"/>
    </row>
    <row r="418" spans="1:5" ht="13.15">
      <c r="A418" s="36"/>
      <c r="D418" s="37"/>
      <c r="E418" s="37"/>
    </row>
    <row r="419" spans="1:5" ht="13.15">
      <c r="A419" s="36"/>
      <c r="D419" s="37"/>
      <c r="E419" s="37"/>
    </row>
    <row r="420" spans="1:5" ht="13.15">
      <c r="A420" s="36"/>
      <c r="D420" s="37"/>
      <c r="E420" s="37"/>
    </row>
    <row r="421" spans="1:5" ht="13.15">
      <c r="A421" s="36"/>
      <c r="D421" s="37"/>
      <c r="E421" s="37"/>
    </row>
    <row r="422" spans="1:5" ht="13.15">
      <c r="A422" s="36"/>
      <c r="D422" s="37"/>
      <c r="E422" s="37"/>
    </row>
    <row r="423" spans="1:5" ht="13.15">
      <c r="A423" s="36"/>
      <c r="D423" s="37"/>
      <c r="E423" s="37"/>
    </row>
    <row r="424" spans="1:5" ht="13.15">
      <c r="A424" s="36"/>
      <c r="D424" s="37"/>
      <c r="E424" s="37"/>
    </row>
    <row r="425" spans="1:5" ht="13.15">
      <c r="A425" s="36"/>
      <c r="D425" s="37"/>
      <c r="E425" s="37"/>
    </row>
    <row r="426" spans="1:5" ht="13.15">
      <c r="A426" s="36"/>
      <c r="D426" s="37"/>
      <c r="E426" s="37"/>
    </row>
    <row r="427" spans="1:5" ht="13.15">
      <c r="A427" s="36"/>
      <c r="D427" s="37"/>
      <c r="E427" s="37"/>
    </row>
    <row r="428" spans="1:5" ht="13.15">
      <c r="A428" s="36"/>
      <c r="D428" s="37"/>
      <c r="E428" s="37"/>
    </row>
    <row r="429" spans="1:5" ht="13.15">
      <c r="A429" s="36"/>
      <c r="D429" s="37"/>
      <c r="E429" s="37"/>
    </row>
    <row r="430" spans="1:5" ht="13.15">
      <c r="A430" s="36"/>
      <c r="D430" s="37"/>
      <c r="E430" s="37"/>
    </row>
    <row r="431" spans="1:5" ht="13.15">
      <c r="A431" s="36"/>
      <c r="D431" s="37"/>
      <c r="E431" s="37"/>
    </row>
    <row r="432" spans="1:5" ht="13.15">
      <c r="A432" s="36"/>
      <c r="D432" s="37"/>
      <c r="E432" s="37"/>
    </row>
    <row r="433" spans="1:5" ht="13.15">
      <c r="A433" s="36"/>
      <c r="D433" s="37"/>
      <c r="E433" s="37"/>
    </row>
    <row r="434" spans="1:5" ht="13.15">
      <c r="A434" s="36"/>
      <c r="D434" s="37"/>
      <c r="E434" s="37"/>
    </row>
    <row r="435" spans="1:5" ht="13.15">
      <c r="A435" s="36"/>
      <c r="D435" s="37"/>
      <c r="E435" s="37"/>
    </row>
    <row r="436" spans="1:5" ht="13.15">
      <c r="A436" s="36"/>
      <c r="D436" s="37"/>
      <c r="E436" s="37"/>
    </row>
    <row r="437" spans="1:5" ht="13.15">
      <c r="A437" s="36"/>
      <c r="D437" s="37"/>
      <c r="E437" s="37"/>
    </row>
    <row r="438" spans="1:5" ht="13.15">
      <c r="A438" s="36"/>
      <c r="D438" s="37"/>
      <c r="E438" s="37"/>
    </row>
    <row r="439" spans="1:5" ht="13.15">
      <c r="A439" s="36"/>
      <c r="D439" s="37"/>
      <c r="E439" s="37"/>
    </row>
    <row r="440" spans="1:5" ht="13.15">
      <c r="A440" s="36"/>
      <c r="D440" s="37"/>
      <c r="E440" s="37"/>
    </row>
    <row r="441" spans="1:5" ht="13.15">
      <c r="A441" s="36"/>
      <c r="D441" s="37"/>
      <c r="E441" s="37"/>
    </row>
    <row r="442" spans="1:5" ht="13.15">
      <c r="A442" s="36"/>
      <c r="D442" s="37"/>
      <c r="E442" s="37"/>
    </row>
    <row r="443" spans="1:5" ht="13.15">
      <c r="A443" s="36"/>
      <c r="D443" s="37"/>
      <c r="E443" s="37"/>
    </row>
    <row r="444" spans="1:5" ht="13.15">
      <c r="A444" s="36"/>
      <c r="D444" s="37"/>
      <c r="E444" s="37"/>
    </row>
    <row r="445" spans="1:5" ht="13.15">
      <c r="A445" s="36"/>
      <c r="D445" s="37"/>
      <c r="E445" s="37"/>
    </row>
    <row r="446" spans="1:5" ht="13.15">
      <c r="A446" s="36"/>
      <c r="D446" s="37"/>
      <c r="E446" s="37"/>
    </row>
    <row r="447" spans="1:5" ht="13.15">
      <c r="A447" s="36"/>
      <c r="D447" s="37"/>
      <c r="E447" s="37"/>
    </row>
    <row r="448" spans="1:5" ht="13.15">
      <c r="A448" s="36"/>
      <c r="D448" s="37"/>
      <c r="E448" s="37"/>
    </row>
    <row r="449" spans="1:5" ht="13.15">
      <c r="A449" s="36"/>
      <c r="D449" s="37"/>
      <c r="E449" s="37"/>
    </row>
    <row r="450" spans="1:5" ht="13.15">
      <c r="A450" s="36"/>
      <c r="D450" s="37"/>
      <c r="E450" s="37"/>
    </row>
    <row r="451" spans="1:5" ht="13.15">
      <c r="A451" s="36"/>
      <c r="D451" s="37"/>
      <c r="E451" s="37"/>
    </row>
    <row r="452" spans="1:5" ht="13.15">
      <c r="A452" s="36"/>
      <c r="D452" s="37"/>
      <c r="E452" s="37"/>
    </row>
    <row r="453" spans="1:5" ht="13.15">
      <c r="A453" s="36"/>
      <c r="D453" s="37"/>
      <c r="E453" s="37"/>
    </row>
    <row r="454" spans="1:5" ht="13.15">
      <c r="A454" s="36"/>
      <c r="D454" s="37"/>
      <c r="E454" s="37"/>
    </row>
    <row r="455" spans="1:5" ht="13.15">
      <c r="A455" s="36"/>
      <c r="D455" s="37"/>
      <c r="E455" s="37"/>
    </row>
    <row r="456" spans="1:5" ht="13.15">
      <c r="A456" s="36"/>
      <c r="D456" s="37"/>
      <c r="E456" s="37"/>
    </row>
    <row r="457" spans="1:5" ht="13.15">
      <c r="A457" s="36"/>
      <c r="D457" s="37"/>
      <c r="E457" s="37"/>
    </row>
    <row r="458" spans="1:5" ht="13.15">
      <c r="A458" s="36"/>
      <c r="D458" s="37"/>
      <c r="E458" s="37"/>
    </row>
    <row r="459" spans="1:5" ht="13.15">
      <c r="A459" s="36"/>
      <c r="D459" s="37"/>
      <c r="E459" s="37"/>
    </row>
    <row r="460" spans="1:5" ht="13.15">
      <c r="A460" s="36"/>
      <c r="D460" s="37"/>
      <c r="E460" s="37"/>
    </row>
    <row r="461" spans="1:5" ht="13.15">
      <c r="A461" s="36"/>
      <c r="D461" s="37"/>
      <c r="E461" s="37"/>
    </row>
    <row r="462" spans="1:5" ht="13.15">
      <c r="A462" s="36"/>
      <c r="D462" s="37"/>
      <c r="E462" s="37"/>
    </row>
    <row r="463" spans="1:5" ht="13.15">
      <c r="A463" s="36"/>
      <c r="D463" s="37"/>
      <c r="E463" s="37"/>
    </row>
    <row r="464" spans="1:5" ht="13.15">
      <c r="A464" s="36"/>
      <c r="D464" s="37"/>
      <c r="E464" s="37"/>
    </row>
    <row r="465" spans="1:5" ht="13.15">
      <c r="A465" s="36"/>
      <c r="D465" s="37"/>
      <c r="E465" s="37"/>
    </row>
    <row r="466" spans="1:5" ht="13.15">
      <c r="A466" s="36"/>
      <c r="D466" s="37"/>
      <c r="E466" s="37"/>
    </row>
    <row r="467" spans="1:5" ht="13.15">
      <c r="A467" s="36"/>
      <c r="D467" s="37"/>
      <c r="E467" s="37"/>
    </row>
    <row r="468" spans="1:5" ht="13.15">
      <c r="A468" s="36"/>
      <c r="D468" s="37"/>
      <c r="E468" s="37"/>
    </row>
    <row r="469" spans="1:5" ht="13.15">
      <c r="A469" s="36"/>
      <c r="D469" s="37"/>
      <c r="E469" s="37"/>
    </row>
    <row r="470" spans="1:5" ht="13.15">
      <c r="A470" s="36"/>
      <c r="D470" s="37"/>
      <c r="E470" s="37"/>
    </row>
    <row r="471" spans="1:5" ht="13.15">
      <c r="A471" s="36"/>
      <c r="D471" s="37"/>
      <c r="E471" s="37"/>
    </row>
    <row r="472" spans="1:5" ht="13.15">
      <c r="A472" s="36"/>
      <c r="D472" s="37"/>
      <c r="E472" s="37"/>
    </row>
    <row r="473" spans="1:5" ht="13.15">
      <c r="A473" s="36"/>
      <c r="D473" s="37"/>
      <c r="E473" s="37"/>
    </row>
    <row r="474" spans="1:5" ht="13.15">
      <c r="A474" s="36"/>
      <c r="D474" s="37"/>
      <c r="E474" s="37"/>
    </row>
    <row r="475" spans="1:5" ht="13.15">
      <c r="A475" s="36"/>
      <c r="D475" s="37"/>
      <c r="E475" s="37"/>
    </row>
    <row r="476" spans="1:5" ht="13.15">
      <c r="A476" s="36"/>
      <c r="D476" s="37"/>
      <c r="E476" s="37"/>
    </row>
    <row r="477" spans="1:5" ht="13.15">
      <c r="A477" s="36"/>
      <c r="D477" s="37"/>
      <c r="E477" s="37"/>
    </row>
    <row r="478" spans="1:5" ht="13.15">
      <c r="A478" s="36"/>
      <c r="D478" s="37"/>
      <c r="E478" s="37"/>
    </row>
    <row r="479" spans="1:5" ht="13.15">
      <c r="A479" s="36"/>
      <c r="D479" s="37"/>
      <c r="E479" s="37"/>
    </row>
    <row r="480" spans="1:5" ht="13.15">
      <c r="A480" s="36"/>
      <c r="D480" s="37"/>
      <c r="E480" s="37"/>
    </row>
    <row r="481" spans="1:5" ht="13.15">
      <c r="A481" s="36"/>
      <c r="D481" s="37"/>
      <c r="E481" s="37"/>
    </row>
    <row r="482" spans="1:5" ht="13.15">
      <c r="A482" s="36"/>
      <c r="D482" s="37"/>
      <c r="E482" s="37"/>
    </row>
    <row r="483" spans="1:5" ht="13.15">
      <c r="A483" s="36"/>
      <c r="D483" s="37"/>
      <c r="E483" s="37"/>
    </row>
    <row r="484" spans="1:5" ht="13.15">
      <c r="A484" s="36"/>
      <c r="D484" s="37"/>
      <c r="E484" s="37"/>
    </row>
    <row r="485" spans="1:5" ht="13.15">
      <c r="A485" s="36"/>
      <c r="D485" s="37"/>
      <c r="E485" s="37"/>
    </row>
    <row r="486" spans="1:5" ht="13.15">
      <c r="A486" s="36"/>
      <c r="D486" s="37"/>
      <c r="E486" s="37"/>
    </row>
    <row r="487" spans="1:5" ht="13.15">
      <c r="A487" s="36"/>
      <c r="D487" s="37"/>
      <c r="E487" s="37"/>
    </row>
    <row r="488" spans="1:5" ht="13.15">
      <c r="A488" s="36"/>
      <c r="D488" s="37"/>
      <c r="E488" s="37"/>
    </row>
    <row r="489" spans="1:5" ht="13.15">
      <c r="A489" s="36"/>
      <c r="D489" s="37"/>
      <c r="E489" s="37"/>
    </row>
    <row r="490" spans="1:5" ht="13.15">
      <c r="A490" s="36"/>
      <c r="D490" s="37"/>
      <c r="E490" s="37"/>
    </row>
    <row r="491" spans="1:5" ht="13.15">
      <c r="A491" s="36"/>
      <c r="D491" s="37"/>
      <c r="E491" s="37"/>
    </row>
    <row r="492" spans="1:5" ht="13.15">
      <c r="A492" s="36"/>
      <c r="D492" s="37"/>
      <c r="E492" s="37"/>
    </row>
    <row r="493" spans="1:5" ht="13.15">
      <c r="A493" s="36"/>
      <c r="D493" s="37"/>
      <c r="E493" s="37"/>
    </row>
    <row r="494" spans="1:5" ht="13.15">
      <c r="A494" s="36"/>
      <c r="D494" s="37"/>
      <c r="E494" s="37"/>
    </row>
    <row r="495" spans="1:5" ht="13.15">
      <c r="A495" s="36"/>
      <c r="D495" s="37"/>
      <c r="E495" s="37"/>
    </row>
    <row r="496" spans="1:5" ht="13.15">
      <c r="A496" s="36"/>
      <c r="D496" s="37"/>
      <c r="E496" s="37"/>
    </row>
    <row r="497" spans="1:5" ht="13.15">
      <c r="A497" s="36"/>
      <c r="D497" s="37"/>
      <c r="E497" s="37"/>
    </row>
    <row r="498" spans="1:5" ht="13.15">
      <c r="A498" s="36"/>
      <c r="D498" s="37"/>
      <c r="E498" s="37"/>
    </row>
    <row r="499" spans="1:5" ht="13.15">
      <c r="A499" s="36"/>
      <c r="D499" s="37"/>
      <c r="E499" s="37"/>
    </row>
    <row r="500" spans="1:5" ht="13.15">
      <c r="A500" s="36"/>
      <c r="D500" s="37"/>
      <c r="E500" s="37"/>
    </row>
    <row r="501" spans="1:5" ht="13.15">
      <c r="A501" s="36"/>
      <c r="D501" s="37"/>
      <c r="E501" s="37"/>
    </row>
    <row r="502" spans="1:5" ht="13.15">
      <c r="A502" s="36"/>
      <c r="D502" s="37"/>
      <c r="E502" s="37"/>
    </row>
    <row r="503" spans="1:5" ht="13.15">
      <c r="A503" s="36"/>
      <c r="D503" s="37"/>
      <c r="E503" s="37"/>
    </row>
    <row r="504" spans="1:5" ht="13.15">
      <c r="A504" s="36"/>
      <c r="D504" s="37"/>
      <c r="E504" s="37"/>
    </row>
    <row r="505" spans="1:5" ht="13.15">
      <c r="A505" s="36"/>
      <c r="D505" s="37"/>
      <c r="E505" s="37"/>
    </row>
    <row r="506" spans="1:5" ht="13.15">
      <c r="A506" s="36"/>
      <c r="D506" s="37"/>
      <c r="E506" s="37"/>
    </row>
    <row r="507" spans="1:5" ht="13.15">
      <c r="A507" s="36"/>
      <c r="D507" s="37"/>
      <c r="E507" s="37"/>
    </row>
    <row r="508" spans="1:5" ht="13.15">
      <c r="A508" s="36"/>
      <c r="D508" s="37"/>
      <c r="E508" s="37"/>
    </row>
    <row r="509" spans="1:5" ht="13.15">
      <c r="A509" s="36"/>
      <c r="D509" s="37"/>
      <c r="E509" s="37"/>
    </row>
    <row r="510" spans="1:5" ht="13.15">
      <c r="A510" s="36"/>
      <c r="D510" s="37"/>
      <c r="E510" s="37"/>
    </row>
    <row r="511" spans="1:5" ht="13.15">
      <c r="A511" s="36"/>
      <c r="D511" s="37"/>
      <c r="E511" s="37"/>
    </row>
    <row r="512" spans="1:5" ht="13.15">
      <c r="A512" s="36"/>
      <c r="D512" s="37"/>
      <c r="E512" s="37"/>
    </row>
    <row r="513" spans="1:5" ht="13.15">
      <c r="A513" s="36"/>
      <c r="D513" s="37"/>
      <c r="E513" s="37"/>
    </row>
    <row r="514" spans="1:5" ht="13.15">
      <c r="A514" s="36"/>
      <c r="D514" s="37"/>
      <c r="E514" s="37"/>
    </row>
    <row r="515" spans="1:5" ht="13.15">
      <c r="A515" s="36"/>
      <c r="D515" s="37"/>
      <c r="E515" s="37"/>
    </row>
    <row r="516" spans="1:5" ht="13.15">
      <c r="A516" s="36"/>
      <c r="D516" s="37"/>
      <c r="E516" s="37"/>
    </row>
    <row r="517" spans="1:5" ht="13.15">
      <c r="A517" s="36"/>
      <c r="D517" s="37"/>
      <c r="E517" s="37"/>
    </row>
    <row r="518" spans="1:5" ht="13.15">
      <c r="A518" s="36"/>
      <c r="D518" s="37"/>
      <c r="E518" s="37"/>
    </row>
    <row r="519" spans="1:5" ht="13.15">
      <c r="A519" s="36"/>
      <c r="D519" s="37"/>
      <c r="E519" s="37"/>
    </row>
    <row r="520" spans="1:5" ht="13.15">
      <c r="A520" s="36"/>
      <c r="D520" s="37"/>
      <c r="E520" s="37"/>
    </row>
    <row r="521" spans="1:5" ht="13.15">
      <c r="A521" s="36"/>
      <c r="D521" s="37"/>
      <c r="E521" s="37"/>
    </row>
    <row r="522" spans="1:5" ht="13.15">
      <c r="A522" s="36"/>
      <c r="D522" s="37"/>
      <c r="E522" s="37"/>
    </row>
    <row r="523" spans="1:5" ht="13.15">
      <c r="A523" s="36"/>
      <c r="D523" s="37"/>
      <c r="E523" s="37"/>
    </row>
    <row r="524" spans="1:5" ht="13.15">
      <c r="A524" s="36"/>
      <c r="D524" s="37"/>
      <c r="E524" s="37"/>
    </row>
    <row r="525" spans="1:5" ht="13.15">
      <c r="A525" s="36"/>
      <c r="D525" s="37"/>
      <c r="E525" s="37"/>
    </row>
    <row r="526" spans="1:5" ht="13.15">
      <c r="A526" s="36"/>
      <c r="D526" s="37"/>
      <c r="E526" s="37"/>
    </row>
    <row r="527" spans="1:5" ht="13.15">
      <c r="A527" s="36"/>
      <c r="D527" s="37"/>
      <c r="E527" s="37"/>
    </row>
    <row r="528" spans="1:5" ht="13.15">
      <c r="A528" s="36"/>
      <c r="D528" s="37"/>
      <c r="E528" s="37"/>
    </row>
    <row r="529" spans="1:5" ht="13.15">
      <c r="A529" s="36"/>
      <c r="D529" s="37"/>
      <c r="E529" s="37"/>
    </row>
    <row r="530" spans="1:5" ht="13.15">
      <c r="A530" s="36"/>
      <c r="D530" s="37"/>
      <c r="E530" s="37"/>
    </row>
    <row r="531" spans="1:5" ht="13.15">
      <c r="A531" s="36"/>
      <c r="D531" s="37"/>
      <c r="E531" s="37"/>
    </row>
    <row r="532" spans="1:5" ht="13.15">
      <c r="A532" s="36"/>
      <c r="D532" s="37"/>
      <c r="E532" s="37"/>
    </row>
    <row r="533" spans="1:5" ht="13.15">
      <c r="A533" s="36"/>
      <c r="D533" s="37"/>
      <c r="E533" s="37"/>
    </row>
    <row r="534" spans="1:5" ht="13.15">
      <c r="A534" s="36"/>
      <c r="D534" s="37"/>
      <c r="E534" s="37"/>
    </row>
    <row r="535" spans="1:5" ht="13.15">
      <c r="A535" s="36"/>
      <c r="D535" s="37"/>
      <c r="E535" s="37"/>
    </row>
    <row r="536" spans="1:5" ht="13.15">
      <c r="A536" s="36"/>
      <c r="D536" s="37"/>
      <c r="E536" s="37"/>
    </row>
    <row r="537" spans="1:5" ht="13.15">
      <c r="A537" s="36"/>
      <c r="D537" s="37"/>
      <c r="E537" s="37"/>
    </row>
    <row r="538" spans="1:5" ht="13.15">
      <c r="A538" s="36"/>
      <c r="D538" s="37"/>
      <c r="E538" s="37"/>
    </row>
    <row r="539" spans="1:5" ht="13.15">
      <c r="A539" s="36"/>
      <c r="D539" s="37"/>
      <c r="E539" s="37"/>
    </row>
    <row r="540" spans="1:5" ht="13.15">
      <c r="A540" s="36"/>
      <c r="D540" s="37"/>
      <c r="E540" s="37"/>
    </row>
    <row r="541" spans="1:5" ht="13.15">
      <c r="A541" s="36"/>
      <c r="D541" s="37"/>
      <c r="E541" s="37"/>
    </row>
    <row r="542" spans="1:5" ht="13.15">
      <c r="A542" s="36"/>
      <c r="D542" s="37"/>
      <c r="E542" s="37"/>
    </row>
    <row r="543" spans="1:5" ht="13.15">
      <c r="A543" s="36"/>
      <c r="D543" s="37"/>
      <c r="E543" s="37"/>
    </row>
    <row r="544" spans="1:5" ht="13.15">
      <c r="A544" s="36"/>
      <c r="D544" s="37"/>
      <c r="E544" s="37"/>
    </row>
    <row r="545" spans="1:5" ht="13.15">
      <c r="A545" s="36"/>
      <c r="D545" s="37"/>
      <c r="E545" s="37"/>
    </row>
    <row r="546" spans="1:5" ht="13.15">
      <c r="A546" s="36"/>
      <c r="D546" s="37"/>
      <c r="E546" s="37"/>
    </row>
    <row r="547" spans="1:5" ht="13.15">
      <c r="A547" s="36"/>
      <c r="D547" s="37"/>
      <c r="E547" s="37"/>
    </row>
    <row r="548" spans="1:5" ht="13.15">
      <c r="A548" s="36"/>
      <c r="D548" s="37"/>
      <c r="E548" s="37"/>
    </row>
    <row r="549" spans="1:5" ht="13.15">
      <c r="A549" s="36"/>
      <c r="D549" s="37"/>
      <c r="E549" s="37"/>
    </row>
    <row r="550" spans="1:5" ht="13.15">
      <c r="A550" s="36"/>
      <c r="D550" s="37"/>
      <c r="E550" s="37"/>
    </row>
    <row r="551" spans="1:5" ht="13.15">
      <c r="A551" s="36"/>
      <c r="D551" s="37"/>
      <c r="E551" s="37"/>
    </row>
    <row r="552" spans="1:5" ht="13.15">
      <c r="A552" s="36"/>
      <c r="D552" s="37"/>
      <c r="E552" s="37"/>
    </row>
    <row r="553" spans="1:5" ht="13.15">
      <c r="A553" s="36"/>
      <c r="D553" s="37"/>
      <c r="E553" s="37"/>
    </row>
    <row r="554" spans="1:5" ht="13.15">
      <c r="A554" s="36"/>
      <c r="D554" s="37"/>
      <c r="E554" s="37"/>
    </row>
    <row r="555" spans="1:5" ht="13.15">
      <c r="A555" s="36"/>
      <c r="D555" s="37"/>
      <c r="E555" s="37"/>
    </row>
    <row r="556" spans="1:5" ht="13.15">
      <c r="A556" s="36"/>
      <c r="D556" s="37"/>
      <c r="E556" s="37"/>
    </row>
    <row r="557" spans="1:5" ht="13.15">
      <c r="A557" s="36"/>
      <c r="D557" s="37"/>
      <c r="E557" s="37"/>
    </row>
    <row r="558" spans="1:5" ht="13.15">
      <c r="A558" s="36"/>
      <c r="D558" s="37"/>
      <c r="E558" s="37"/>
    </row>
    <row r="559" spans="1:5" ht="13.15">
      <c r="A559" s="36"/>
      <c r="D559" s="37"/>
      <c r="E559" s="37"/>
    </row>
    <row r="560" spans="1:5" ht="13.15">
      <c r="A560" s="36"/>
      <c r="D560" s="37"/>
      <c r="E560" s="37"/>
    </row>
    <row r="561" spans="1:5" ht="13.15">
      <c r="A561" s="36"/>
      <c r="D561" s="37"/>
      <c r="E561" s="37"/>
    </row>
    <row r="562" spans="1:5" ht="13.15">
      <c r="A562" s="36"/>
      <c r="D562" s="37"/>
      <c r="E562" s="37"/>
    </row>
    <row r="563" spans="1:5" ht="13.15">
      <c r="A563" s="36"/>
      <c r="D563" s="37"/>
      <c r="E563" s="37"/>
    </row>
    <row r="564" spans="1:5" ht="13.15">
      <c r="A564" s="36"/>
      <c r="D564" s="37"/>
      <c r="E564" s="37"/>
    </row>
    <row r="565" spans="1:5" ht="13.15">
      <c r="A565" s="36"/>
      <c r="D565" s="37"/>
      <c r="E565" s="37"/>
    </row>
    <row r="566" spans="1:5" ht="13.15">
      <c r="A566" s="36"/>
      <c r="D566" s="37"/>
      <c r="E566" s="37"/>
    </row>
    <row r="567" spans="1:5" ht="13.15">
      <c r="A567" s="36"/>
      <c r="D567" s="37"/>
      <c r="E567" s="37"/>
    </row>
    <row r="568" spans="1:5" ht="13.15">
      <c r="A568" s="36"/>
      <c r="D568" s="37"/>
      <c r="E568" s="37"/>
    </row>
    <row r="569" spans="1:5" ht="13.15">
      <c r="A569" s="36"/>
      <c r="D569" s="37"/>
      <c r="E569" s="37"/>
    </row>
    <row r="570" spans="1:5" ht="13.15">
      <c r="A570" s="36"/>
      <c r="D570" s="37"/>
      <c r="E570" s="37"/>
    </row>
    <row r="571" spans="1:5" ht="13.15">
      <c r="A571" s="36"/>
      <c r="D571" s="37"/>
      <c r="E571" s="37"/>
    </row>
    <row r="572" spans="1:5" ht="13.15">
      <c r="A572" s="36"/>
      <c r="D572" s="37"/>
      <c r="E572" s="37"/>
    </row>
    <row r="573" spans="1:5" ht="13.15">
      <c r="A573" s="36"/>
      <c r="D573" s="37"/>
      <c r="E573" s="37"/>
    </row>
    <row r="574" spans="1:5" ht="13.15">
      <c r="A574" s="36"/>
      <c r="D574" s="37"/>
      <c r="E574" s="37"/>
    </row>
    <row r="575" spans="1:5" ht="13.15">
      <c r="A575" s="36"/>
      <c r="D575" s="37"/>
      <c r="E575" s="37"/>
    </row>
    <row r="576" spans="1:5" ht="13.15">
      <c r="A576" s="36"/>
      <c r="D576" s="37"/>
      <c r="E576" s="37"/>
    </row>
    <row r="577" spans="1:5" ht="13.15">
      <c r="A577" s="36"/>
      <c r="D577" s="37"/>
      <c r="E577" s="37"/>
    </row>
    <row r="578" spans="1:5" ht="13.15">
      <c r="A578" s="36"/>
      <c r="D578" s="37"/>
      <c r="E578" s="37"/>
    </row>
    <row r="579" spans="1:5" ht="13.15">
      <c r="A579" s="36"/>
      <c r="D579" s="37"/>
      <c r="E579" s="37"/>
    </row>
    <row r="580" spans="1:5" ht="13.15">
      <c r="A580" s="36"/>
      <c r="D580" s="37"/>
      <c r="E580" s="37"/>
    </row>
    <row r="581" spans="1:5" ht="13.15">
      <c r="A581" s="36"/>
      <c r="D581" s="37"/>
      <c r="E581" s="37"/>
    </row>
    <row r="582" spans="1:5" ht="13.15">
      <c r="A582" s="36"/>
      <c r="D582" s="37"/>
      <c r="E582" s="37"/>
    </row>
    <row r="583" spans="1:5" ht="13.15">
      <c r="A583" s="36"/>
      <c r="D583" s="37"/>
      <c r="E583" s="37"/>
    </row>
    <row r="584" spans="1:5" ht="13.15">
      <c r="A584" s="36"/>
      <c r="D584" s="37"/>
      <c r="E584" s="37"/>
    </row>
    <row r="585" spans="1:5" ht="13.15">
      <c r="A585" s="36"/>
      <c r="D585" s="37"/>
      <c r="E585" s="37"/>
    </row>
    <row r="586" spans="1:5" ht="13.15">
      <c r="A586" s="36"/>
      <c r="D586" s="37"/>
      <c r="E586" s="37"/>
    </row>
    <row r="587" spans="1:5" ht="13.15">
      <c r="A587" s="36"/>
      <c r="D587" s="37"/>
      <c r="E587" s="37"/>
    </row>
    <row r="588" spans="1:5" ht="13.15">
      <c r="A588" s="36"/>
      <c r="D588" s="37"/>
      <c r="E588" s="37"/>
    </row>
    <row r="589" spans="1:5" ht="13.15">
      <c r="A589" s="36"/>
      <c r="D589" s="37"/>
      <c r="E589" s="37"/>
    </row>
    <row r="590" spans="1:5" ht="13.15">
      <c r="A590" s="36"/>
      <c r="D590" s="37"/>
      <c r="E590" s="37"/>
    </row>
    <row r="591" spans="1:5" ht="13.15">
      <c r="A591" s="36"/>
      <c r="D591" s="37"/>
      <c r="E591" s="37"/>
    </row>
    <row r="592" spans="1:5" ht="13.15">
      <c r="A592" s="36"/>
      <c r="D592" s="37"/>
      <c r="E592" s="37"/>
    </row>
    <row r="593" spans="1:5" ht="13.15">
      <c r="A593" s="36"/>
      <c r="D593" s="37"/>
      <c r="E593" s="37"/>
    </row>
    <row r="594" spans="1:5" ht="13.15">
      <c r="A594" s="36"/>
      <c r="D594" s="37"/>
      <c r="E594" s="37"/>
    </row>
    <row r="595" spans="1:5" ht="13.15">
      <c r="A595" s="36"/>
      <c r="D595" s="37"/>
      <c r="E595" s="37"/>
    </row>
    <row r="596" spans="1:5" ht="13.15">
      <c r="A596" s="36"/>
      <c r="D596" s="37"/>
      <c r="E596" s="37"/>
    </row>
    <row r="597" spans="1:5" ht="13.15">
      <c r="A597" s="36"/>
      <c r="D597" s="37"/>
      <c r="E597" s="37"/>
    </row>
    <row r="598" spans="1:5" ht="13.15">
      <c r="A598" s="36"/>
      <c r="D598" s="37"/>
      <c r="E598" s="37"/>
    </row>
    <row r="599" spans="1:5" ht="13.15">
      <c r="A599" s="36"/>
      <c r="D599" s="37"/>
      <c r="E599" s="37"/>
    </row>
    <row r="600" spans="1:5" ht="13.15">
      <c r="A600" s="36"/>
      <c r="D600" s="37"/>
      <c r="E600" s="37"/>
    </row>
    <row r="601" spans="1:5" ht="13.15">
      <c r="A601" s="36"/>
      <c r="D601" s="37"/>
      <c r="E601" s="37"/>
    </row>
    <row r="602" spans="1:5" ht="13.15">
      <c r="A602" s="36"/>
      <c r="D602" s="37"/>
      <c r="E602" s="37"/>
    </row>
    <row r="603" spans="1:5" ht="13.15">
      <c r="A603" s="36"/>
      <c r="D603" s="37"/>
      <c r="E603" s="37"/>
    </row>
    <row r="604" spans="1:5" ht="13.15">
      <c r="A604" s="36"/>
      <c r="D604" s="37"/>
      <c r="E604" s="37"/>
    </row>
    <row r="605" spans="1:5" ht="13.15">
      <c r="A605" s="36"/>
      <c r="D605" s="37"/>
      <c r="E605" s="37"/>
    </row>
    <row r="606" spans="1:5" ht="13.15">
      <c r="A606" s="36"/>
      <c r="D606" s="37"/>
      <c r="E606" s="37"/>
    </row>
    <row r="607" spans="1:5" ht="13.15">
      <c r="A607" s="36"/>
      <c r="D607" s="37"/>
      <c r="E607" s="37"/>
    </row>
    <row r="608" spans="1:5" ht="13.15">
      <c r="A608" s="36"/>
      <c r="D608" s="37"/>
      <c r="E608" s="37"/>
    </row>
    <row r="609" spans="1:5" ht="13.15">
      <c r="A609" s="36"/>
      <c r="D609" s="37"/>
      <c r="E609" s="37"/>
    </row>
    <row r="610" spans="1:5" ht="13.15">
      <c r="A610" s="36"/>
      <c r="D610" s="37"/>
      <c r="E610" s="37"/>
    </row>
    <row r="611" spans="1:5" ht="13.15">
      <c r="A611" s="36"/>
      <c r="D611" s="37"/>
      <c r="E611" s="37"/>
    </row>
    <row r="612" spans="1:5" ht="13.15">
      <c r="A612" s="36"/>
      <c r="D612" s="37"/>
      <c r="E612" s="37"/>
    </row>
    <row r="613" spans="1:5" ht="13.15">
      <c r="A613" s="36"/>
      <c r="D613" s="37"/>
      <c r="E613" s="37"/>
    </row>
    <row r="614" spans="1:5" ht="13.15">
      <c r="A614" s="36"/>
      <c r="D614" s="37"/>
      <c r="E614" s="37"/>
    </row>
    <row r="615" spans="1:5" ht="13.15">
      <c r="A615" s="36"/>
      <c r="D615" s="37"/>
      <c r="E615" s="37"/>
    </row>
    <row r="616" spans="1:5" ht="13.15">
      <c r="A616" s="36"/>
      <c r="D616" s="37"/>
      <c r="E616" s="37"/>
    </row>
    <row r="617" spans="1:5" ht="13.15">
      <c r="A617" s="36"/>
      <c r="D617" s="37"/>
      <c r="E617" s="37"/>
    </row>
    <row r="618" spans="1:5" ht="13.15">
      <c r="A618" s="36"/>
      <c r="D618" s="37"/>
      <c r="E618" s="37"/>
    </row>
    <row r="619" spans="1:5" ht="13.15">
      <c r="A619" s="36"/>
      <c r="D619" s="37"/>
      <c r="E619" s="37"/>
    </row>
    <row r="620" spans="1:5" ht="13.15">
      <c r="A620" s="36"/>
      <c r="D620" s="37"/>
      <c r="E620" s="37"/>
    </row>
    <row r="621" spans="1:5" ht="13.15">
      <c r="A621" s="36"/>
      <c r="D621" s="37"/>
      <c r="E621" s="37"/>
    </row>
    <row r="622" spans="1:5" ht="13.15">
      <c r="A622" s="36"/>
      <c r="D622" s="37"/>
      <c r="E622" s="37"/>
    </row>
    <row r="623" spans="1:5" ht="13.15">
      <c r="A623" s="36"/>
      <c r="D623" s="37"/>
      <c r="E623" s="37"/>
    </row>
    <row r="624" spans="1:5" ht="13.15">
      <c r="A624" s="36"/>
      <c r="D624" s="37"/>
      <c r="E624" s="37"/>
    </row>
    <row r="625" spans="1:5" ht="13.15">
      <c r="A625" s="36"/>
      <c r="D625" s="37"/>
      <c r="E625" s="37"/>
    </row>
    <row r="626" spans="1:5" ht="13.15">
      <c r="A626" s="36"/>
      <c r="D626" s="37"/>
      <c r="E626" s="37"/>
    </row>
    <row r="627" spans="1:5" ht="13.15">
      <c r="A627" s="36"/>
      <c r="D627" s="37"/>
      <c r="E627" s="37"/>
    </row>
    <row r="628" spans="1:5" ht="13.15">
      <c r="A628" s="36"/>
      <c r="D628" s="37"/>
      <c r="E628" s="37"/>
    </row>
    <row r="629" spans="1:5" ht="13.15">
      <c r="A629" s="36"/>
      <c r="D629" s="37"/>
      <c r="E629" s="37"/>
    </row>
    <row r="630" spans="1:5" ht="13.15">
      <c r="A630" s="36"/>
      <c r="D630" s="37"/>
      <c r="E630" s="37"/>
    </row>
    <row r="631" spans="1:5" ht="13.15">
      <c r="A631" s="36"/>
      <c r="D631" s="37"/>
      <c r="E631" s="37"/>
    </row>
    <row r="632" spans="1:5" ht="13.15">
      <c r="A632" s="36"/>
      <c r="D632" s="37"/>
      <c r="E632" s="37"/>
    </row>
    <row r="633" spans="1:5" ht="13.15">
      <c r="A633" s="36"/>
      <c r="D633" s="37"/>
      <c r="E633" s="37"/>
    </row>
    <row r="634" spans="1:5" ht="13.15">
      <c r="A634" s="36"/>
      <c r="D634" s="37"/>
      <c r="E634" s="37"/>
    </row>
    <row r="635" spans="1:5" ht="13.15">
      <c r="A635" s="36"/>
      <c r="D635" s="37"/>
      <c r="E635" s="37"/>
    </row>
    <row r="636" spans="1:5" ht="13.15">
      <c r="A636" s="36"/>
      <c r="D636" s="37"/>
      <c r="E636" s="37"/>
    </row>
    <row r="637" spans="1:5" ht="13.15">
      <c r="A637" s="36"/>
      <c r="D637" s="37"/>
      <c r="E637" s="37"/>
    </row>
    <row r="638" spans="1:5" ht="13.15">
      <c r="A638" s="36"/>
      <c r="D638" s="37"/>
      <c r="E638" s="37"/>
    </row>
    <row r="639" spans="1:5" ht="13.15">
      <c r="A639" s="36"/>
      <c r="D639" s="37"/>
      <c r="E639" s="37"/>
    </row>
    <row r="640" spans="1:5" ht="13.15">
      <c r="A640" s="36"/>
      <c r="D640" s="37"/>
      <c r="E640" s="37"/>
    </row>
    <row r="641" spans="1:5" ht="13.15">
      <c r="A641" s="36"/>
      <c r="D641" s="37"/>
      <c r="E641" s="37"/>
    </row>
    <row r="642" spans="1:5" ht="13.15">
      <c r="A642" s="36"/>
      <c r="D642" s="37"/>
      <c r="E642" s="37"/>
    </row>
    <row r="643" spans="1:5" ht="13.15">
      <c r="A643" s="36"/>
      <c r="D643" s="37"/>
      <c r="E643" s="37"/>
    </row>
    <row r="644" spans="1:5" ht="13.15">
      <c r="A644" s="36"/>
      <c r="D644" s="37"/>
      <c r="E644" s="37"/>
    </row>
    <row r="645" spans="1:5" ht="13.15">
      <c r="A645" s="36"/>
      <c r="D645" s="37"/>
      <c r="E645" s="37"/>
    </row>
    <row r="646" spans="1:5" ht="13.15">
      <c r="A646" s="36"/>
      <c r="D646" s="37"/>
      <c r="E646" s="37"/>
    </row>
    <row r="647" spans="1:5" ht="13.15">
      <c r="A647" s="36"/>
      <c r="D647" s="37"/>
      <c r="E647" s="37"/>
    </row>
    <row r="648" spans="1:5" ht="13.15">
      <c r="A648" s="36"/>
      <c r="D648" s="37"/>
      <c r="E648" s="37"/>
    </row>
    <row r="649" spans="1:5" ht="13.15">
      <c r="A649" s="36"/>
      <c r="D649" s="37"/>
      <c r="E649" s="37"/>
    </row>
    <row r="650" spans="1:5" ht="13.15">
      <c r="A650" s="36"/>
      <c r="D650" s="37"/>
      <c r="E650" s="37"/>
    </row>
    <row r="651" spans="1:5" ht="13.15">
      <c r="A651" s="36"/>
      <c r="D651" s="37"/>
      <c r="E651" s="37"/>
    </row>
    <row r="652" spans="1:5" ht="13.15">
      <c r="A652" s="36"/>
      <c r="D652" s="37"/>
      <c r="E652" s="37"/>
    </row>
    <row r="653" spans="1:5" ht="13.15">
      <c r="A653" s="36"/>
      <c r="D653" s="37"/>
      <c r="E653" s="37"/>
    </row>
    <row r="654" spans="1:5" ht="13.15">
      <c r="A654" s="36"/>
      <c r="D654" s="37"/>
      <c r="E654" s="37"/>
    </row>
    <row r="655" spans="1:5" ht="13.15">
      <c r="A655" s="36"/>
      <c r="D655" s="37"/>
      <c r="E655" s="37"/>
    </row>
    <row r="656" spans="1:5" ht="13.15">
      <c r="A656" s="36"/>
      <c r="D656" s="37"/>
      <c r="E656" s="37"/>
    </row>
    <row r="657" spans="1:5" ht="13.15">
      <c r="A657" s="36"/>
      <c r="D657" s="37"/>
      <c r="E657" s="37"/>
    </row>
    <row r="658" spans="1:5" ht="13.15">
      <c r="A658" s="36"/>
      <c r="D658" s="37"/>
      <c r="E658" s="37"/>
    </row>
    <row r="659" spans="1:5" ht="13.15">
      <c r="A659" s="36"/>
      <c r="D659" s="37"/>
      <c r="E659" s="37"/>
    </row>
    <row r="660" spans="1:5" ht="13.15">
      <c r="A660" s="36"/>
      <c r="D660" s="37"/>
      <c r="E660" s="37"/>
    </row>
    <row r="661" spans="1:5" ht="13.15">
      <c r="A661" s="36"/>
      <c r="D661" s="37"/>
      <c r="E661" s="37"/>
    </row>
    <row r="662" spans="1:5" ht="13.15">
      <c r="A662" s="36"/>
      <c r="D662" s="37"/>
      <c r="E662" s="37"/>
    </row>
    <row r="663" spans="1:5" ht="13.15">
      <c r="A663" s="36"/>
      <c r="D663" s="37"/>
      <c r="E663" s="37"/>
    </row>
    <row r="664" spans="1:5" ht="13.15">
      <c r="A664" s="36"/>
      <c r="D664" s="37"/>
      <c r="E664" s="37"/>
    </row>
    <row r="665" spans="1:5" ht="13.15">
      <c r="A665" s="36"/>
      <c r="D665" s="37"/>
      <c r="E665" s="37"/>
    </row>
    <row r="666" spans="1:5" ht="13.15">
      <c r="A666" s="36"/>
      <c r="D666" s="37"/>
      <c r="E666" s="37"/>
    </row>
    <row r="667" spans="1:5" ht="13.15">
      <c r="A667" s="36"/>
      <c r="D667" s="37"/>
      <c r="E667" s="37"/>
    </row>
    <row r="668" spans="1:5" ht="13.15">
      <c r="A668" s="36"/>
      <c r="D668" s="37"/>
      <c r="E668" s="37"/>
    </row>
    <row r="669" spans="1:5" ht="13.15">
      <c r="A669" s="36"/>
      <c r="D669" s="37"/>
      <c r="E669" s="37"/>
    </row>
    <row r="670" spans="1:5" ht="13.15">
      <c r="A670" s="36"/>
      <c r="D670" s="37"/>
      <c r="E670" s="37"/>
    </row>
    <row r="671" spans="1:5" ht="13.15">
      <c r="A671" s="36"/>
      <c r="D671" s="37"/>
      <c r="E671" s="37"/>
    </row>
    <row r="672" spans="1:5" ht="13.15">
      <c r="A672" s="36"/>
      <c r="D672" s="37"/>
      <c r="E672" s="37"/>
    </row>
    <row r="673" spans="1:5" ht="13.15">
      <c r="A673" s="36"/>
      <c r="D673" s="37"/>
      <c r="E673" s="37"/>
    </row>
    <row r="674" spans="1:5" ht="13.15">
      <c r="A674" s="36"/>
      <c r="D674" s="37"/>
      <c r="E674" s="37"/>
    </row>
    <row r="675" spans="1:5" ht="13.15">
      <c r="A675" s="36"/>
      <c r="D675" s="37"/>
      <c r="E675" s="37"/>
    </row>
    <row r="676" spans="1:5" ht="13.15">
      <c r="A676" s="36"/>
      <c r="D676" s="37"/>
      <c r="E676" s="37"/>
    </row>
    <row r="677" spans="1:5" ht="13.15">
      <c r="A677" s="36"/>
      <c r="D677" s="37"/>
      <c r="E677" s="37"/>
    </row>
    <row r="678" spans="1:5" ht="13.15">
      <c r="A678" s="36"/>
      <c r="D678" s="37"/>
      <c r="E678" s="37"/>
    </row>
    <row r="679" spans="1:5" ht="13.15">
      <c r="A679" s="36"/>
      <c r="D679" s="37"/>
      <c r="E679" s="37"/>
    </row>
    <row r="680" spans="1:5" ht="13.15">
      <c r="A680" s="36"/>
      <c r="D680" s="37"/>
      <c r="E680" s="37"/>
    </row>
    <row r="681" spans="1:5" ht="13.15">
      <c r="A681" s="36"/>
      <c r="D681" s="37"/>
      <c r="E681" s="37"/>
    </row>
    <row r="682" spans="1:5" ht="13.15">
      <c r="A682" s="36"/>
      <c r="D682" s="37"/>
      <c r="E682" s="37"/>
    </row>
    <row r="683" spans="1:5" ht="13.15">
      <c r="A683" s="36"/>
      <c r="D683" s="37"/>
      <c r="E683" s="37"/>
    </row>
    <row r="684" spans="1:5" ht="13.15">
      <c r="A684" s="36"/>
      <c r="D684" s="37"/>
      <c r="E684" s="37"/>
    </row>
    <row r="685" spans="1:5" ht="13.15">
      <c r="A685" s="36"/>
      <c r="D685" s="37"/>
      <c r="E685" s="37"/>
    </row>
    <row r="686" spans="1:5" ht="13.15">
      <c r="A686" s="36"/>
      <c r="D686" s="37"/>
      <c r="E686" s="37"/>
    </row>
    <row r="687" spans="1:5" ht="13.15">
      <c r="A687" s="36"/>
      <c r="D687" s="37"/>
      <c r="E687" s="37"/>
    </row>
    <row r="688" spans="1:5" ht="13.15">
      <c r="A688" s="36"/>
      <c r="D688" s="37"/>
      <c r="E688" s="37"/>
    </row>
    <row r="689" spans="1:5" ht="13.15">
      <c r="A689" s="36"/>
      <c r="D689" s="37"/>
      <c r="E689" s="37"/>
    </row>
    <row r="690" spans="1:5" ht="13.15">
      <c r="A690" s="36"/>
      <c r="D690" s="37"/>
      <c r="E690" s="37"/>
    </row>
    <row r="691" spans="1:5" ht="13.15">
      <c r="A691" s="36"/>
      <c r="D691" s="37"/>
      <c r="E691" s="37"/>
    </row>
    <row r="692" spans="1:5" ht="13.15">
      <c r="A692" s="36"/>
      <c r="D692" s="37"/>
      <c r="E692" s="37"/>
    </row>
    <row r="693" spans="1:5" ht="13.15">
      <c r="A693" s="36"/>
      <c r="D693" s="37"/>
      <c r="E693" s="37"/>
    </row>
    <row r="694" spans="1:5" ht="13.15">
      <c r="A694" s="36"/>
      <c r="D694" s="37"/>
      <c r="E694" s="37"/>
    </row>
    <row r="695" spans="1:5" ht="13.15">
      <c r="A695" s="36"/>
      <c r="D695" s="37"/>
      <c r="E695" s="37"/>
    </row>
    <row r="696" spans="1:5" ht="13.15">
      <c r="A696" s="36"/>
      <c r="D696" s="37"/>
      <c r="E696" s="37"/>
    </row>
    <row r="697" spans="1:5" ht="13.15">
      <c r="A697" s="36"/>
      <c r="D697" s="37"/>
      <c r="E697" s="37"/>
    </row>
    <row r="698" spans="1:5" ht="13.15">
      <c r="A698" s="36"/>
      <c r="D698" s="37"/>
      <c r="E698" s="37"/>
    </row>
    <row r="699" spans="1:5" ht="13.15">
      <c r="A699" s="36"/>
      <c r="D699" s="37"/>
      <c r="E699" s="37"/>
    </row>
    <row r="700" spans="1:5" ht="13.15">
      <c r="A700" s="36"/>
      <c r="D700" s="37"/>
      <c r="E700" s="37"/>
    </row>
    <row r="701" spans="1:5" ht="13.15">
      <c r="A701" s="36"/>
      <c r="D701" s="37"/>
      <c r="E701" s="37"/>
    </row>
    <row r="702" spans="1:5" ht="13.15">
      <c r="A702" s="36"/>
      <c r="D702" s="37"/>
      <c r="E702" s="37"/>
    </row>
    <row r="703" spans="1:5" ht="13.15">
      <c r="A703" s="36"/>
      <c r="D703" s="37"/>
      <c r="E703" s="37"/>
    </row>
    <row r="704" spans="1:5" ht="13.15">
      <c r="A704" s="36"/>
      <c r="D704" s="37"/>
      <c r="E704" s="37"/>
    </row>
    <row r="705" spans="1:5" ht="13.15">
      <c r="A705" s="36"/>
      <c r="D705" s="37"/>
      <c r="E705" s="37"/>
    </row>
    <row r="706" spans="1:5" ht="13.15">
      <c r="A706" s="36"/>
      <c r="D706" s="37"/>
      <c r="E706" s="37"/>
    </row>
    <row r="707" spans="1:5" ht="13.15">
      <c r="A707" s="36"/>
      <c r="D707" s="37"/>
      <c r="E707" s="37"/>
    </row>
    <row r="708" spans="1:5" ht="13.15">
      <c r="A708" s="36"/>
      <c r="D708" s="37"/>
      <c r="E708" s="37"/>
    </row>
    <row r="709" spans="1:5" ht="13.15">
      <c r="A709" s="36"/>
      <c r="D709" s="37"/>
      <c r="E709" s="37"/>
    </row>
    <row r="710" spans="1:5" ht="13.15">
      <c r="A710" s="36"/>
      <c r="D710" s="37"/>
      <c r="E710" s="37"/>
    </row>
    <row r="711" spans="1:5" ht="13.15">
      <c r="A711" s="36"/>
      <c r="D711" s="37"/>
      <c r="E711" s="37"/>
    </row>
    <row r="712" spans="1:5" ht="13.15">
      <c r="A712" s="36"/>
      <c r="D712" s="37"/>
      <c r="E712" s="37"/>
    </row>
    <row r="713" spans="1:5" ht="13.15">
      <c r="A713" s="36"/>
      <c r="D713" s="37"/>
      <c r="E713" s="37"/>
    </row>
    <row r="714" spans="1:5" ht="13.15">
      <c r="A714" s="36"/>
      <c r="D714" s="37"/>
      <c r="E714" s="37"/>
    </row>
    <row r="715" spans="1:5" ht="13.15">
      <c r="A715" s="36"/>
      <c r="D715" s="37"/>
      <c r="E715" s="37"/>
    </row>
    <row r="716" spans="1:5" ht="13.15">
      <c r="A716" s="36"/>
      <c r="D716" s="37"/>
      <c r="E716" s="37"/>
    </row>
    <row r="717" spans="1:5" ht="13.15">
      <c r="A717" s="36"/>
      <c r="D717" s="37"/>
      <c r="E717" s="37"/>
    </row>
    <row r="718" spans="1:5" ht="13.15">
      <c r="A718" s="36"/>
      <c r="D718" s="37"/>
      <c r="E718" s="37"/>
    </row>
    <row r="719" spans="1:5" ht="13.15">
      <c r="A719" s="36"/>
      <c r="D719" s="37"/>
      <c r="E719" s="37"/>
    </row>
    <row r="720" spans="1:5" ht="13.15">
      <c r="A720" s="36"/>
      <c r="D720" s="37"/>
      <c r="E720" s="37"/>
    </row>
    <row r="721" spans="1:5" ht="13.15">
      <c r="A721" s="36"/>
      <c r="D721" s="37"/>
      <c r="E721" s="37"/>
    </row>
    <row r="722" spans="1:5" ht="13.15">
      <c r="A722" s="36"/>
      <c r="D722" s="37"/>
      <c r="E722" s="37"/>
    </row>
    <row r="723" spans="1:5" ht="13.15">
      <c r="A723" s="36"/>
      <c r="D723" s="37"/>
      <c r="E723" s="37"/>
    </row>
    <row r="724" spans="1:5" ht="13.15">
      <c r="A724" s="36"/>
      <c r="D724" s="37"/>
      <c r="E724" s="37"/>
    </row>
    <row r="725" spans="1:5" ht="13.15">
      <c r="A725" s="36"/>
      <c r="D725" s="37"/>
      <c r="E725" s="37"/>
    </row>
    <row r="726" spans="1:5" ht="13.15">
      <c r="A726" s="36"/>
      <c r="D726" s="37"/>
      <c r="E726" s="37"/>
    </row>
    <row r="727" spans="1:5" ht="13.15">
      <c r="A727" s="36"/>
      <c r="D727" s="37"/>
      <c r="E727" s="37"/>
    </row>
    <row r="728" spans="1:5" ht="13.15">
      <c r="A728" s="36"/>
      <c r="D728" s="37"/>
      <c r="E728" s="37"/>
    </row>
    <row r="729" spans="1:5" ht="13.15">
      <c r="A729" s="36"/>
      <c r="D729" s="37"/>
      <c r="E729" s="37"/>
    </row>
    <row r="730" spans="1:5" ht="13.15">
      <c r="A730" s="36"/>
      <c r="D730" s="37"/>
      <c r="E730" s="37"/>
    </row>
    <row r="731" spans="1:5" ht="13.15">
      <c r="A731" s="36"/>
      <c r="D731" s="37"/>
      <c r="E731" s="37"/>
    </row>
    <row r="732" spans="1:5" ht="13.15">
      <c r="A732" s="36"/>
      <c r="D732" s="37"/>
      <c r="E732" s="37"/>
    </row>
    <row r="733" spans="1:5" ht="13.15">
      <c r="A733" s="36"/>
      <c r="D733" s="37"/>
      <c r="E733" s="37"/>
    </row>
    <row r="734" spans="1:5" ht="13.15">
      <c r="A734" s="36"/>
      <c r="D734" s="37"/>
      <c r="E734" s="37"/>
    </row>
    <row r="735" spans="1:5" ht="13.15">
      <c r="A735" s="36"/>
      <c r="D735" s="37"/>
      <c r="E735" s="37"/>
    </row>
    <row r="736" spans="1:5" ht="13.15">
      <c r="A736" s="36"/>
      <c r="D736" s="37"/>
      <c r="E736" s="37"/>
    </row>
    <row r="737" spans="1:5" ht="13.15">
      <c r="A737" s="36"/>
      <c r="D737" s="37"/>
      <c r="E737" s="37"/>
    </row>
    <row r="738" spans="1:5" ht="13.15">
      <c r="A738" s="36"/>
      <c r="D738" s="37"/>
      <c r="E738" s="37"/>
    </row>
    <row r="739" spans="1:5" ht="13.15">
      <c r="A739" s="36"/>
      <c r="D739" s="37"/>
      <c r="E739" s="37"/>
    </row>
    <row r="740" spans="1:5" ht="13.15">
      <c r="A740" s="36"/>
      <c r="D740" s="37"/>
      <c r="E740" s="37"/>
    </row>
    <row r="741" spans="1:5" ht="13.15">
      <c r="A741" s="36"/>
      <c r="D741" s="37"/>
      <c r="E741" s="37"/>
    </row>
    <row r="742" spans="1:5" ht="13.15">
      <c r="A742" s="36"/>
      <c r="D742" s="37"/>
      <c r="E742" s="37"/>
    </row>
    <row r="743" spans="1:5" ht="13.15">
      <c r="A743" s="36"/>
      <c r="D743" s="37"/>
      <c r="E743" s="37"/>
    </row>
    <row r="744" spans="1:5" ht="13.15">
      <c r="A744" s="36"/>
      <c r="D744" s="37"/>
      <c r="E744" s="37"/>
    </row>
    <row r="745" spans="1:5" ht="13.15">
      <c r="A745" s="36"/>
      <c r="D745" s="37"/>
      <c r="E745" s="37"/>
    </row>
    <row r="746" spans="1:5" ht="13.15">
      <c r="A746" s="36"/>
      <c r="D746" s="37"/>
      <c r="E746" s="37"/>
    </row>
    <row r="747" spans="1:5" ht="13.15">
      <c r="A747" s="36"/>
      <c r="D747" s="37"/>
      <c r="E747" s="37"/>
    </row>
    <row r="748" spans="1:5" ht="13.15">
      <c r="A748" s="36"/>
      <c r="D748" s="37"/>
      <c r="E748" s="37"/>
    </row>
    <row r="749" spans="1:5" ht="13.15">
      <c r="A749" s="36"/>
      <c r="D749" s="37"/>
      <c r="E749" s="37"/>
    </row>
    <row r="750" spans="1:5" ht="13.15">
      <c r="A750" s="36"/>
      <c r="D750" s="37"/>
      <c r="E750" s="37"/>
    </row>
    <row r="751" spans="1:5" ht="13.15">
      <c r="A751" s="36"/>
      <c r="D751" s="37"/>
      <c r="E751" s="37"/>
    </row>
    <row r="752" spans="1:5" ht="13.15">
      <c r="A752" s="36"/>
      <c r="D752" s="37"/>
      <c r="E752" s="37"/>
    </row>
    <row r="753" spans="1:5" ht="13.15">
      <c r="A753" s="36"/>
      <c r="D753" s="37"/>
      <c r="E753" s="37"/>
    </row>
    <row r="754" spans="1:5" ht="13.15">
      <c r="A754" s="36"/>
      <c r="D754" s="37"/>
      <c r="E754" s="37"/>
    </row>
    <row r="755" spans="1:5" ht="13.15">
      <c r="A755" s="36"/>
      <c r="D755" s="37"/>
      <c r="E755" s="37"/>
    </row>
    <row r="756" spans="1:5" ht="13.15">
      <c r="A756" s="36"/>
      <c r="D756" s="37"/>
      <c r="E756" s="37"/>
    </row>
    <row r="757" spans="1:5" ht="13.15">
      <c r="A757" s="36"/>
      <c r="D757" s="37"/>
      <c r="E757" s="37"/>
    </row>
    <row r="758" spans="1:5" ht="13.15">
      <c r="A758" s="36"/>
      <c r="D758" s="37"/>
      <c r="E758" s="37"/>
    </row>
    <row r="759" spans="1:5" ht="13.15">
      <c r="A759" s="36"/>
      <c r="D759" s="37"/>
      <c r="E759" s="37"/>
    </row>
    <row r="760" spans="1:5" ht="13.15">
      <c r="A760" s="36"/>
      <c r="D760" s="37"/>
      <c r="E760" s="37"/>
    </row>
    <row r="761" spans="1:5" ht="13.15">
      <c r="A761" s="36"/>
      <c r="D761" s="37"/>
      <c r="E761" s="37"/>
    </row>
    <row r="762" spans="1:5" ht="13.15">
      <c r="A762" s="36"/>
      <c r="D762" s="37"/>
      <c r="E762" s="37"/>
    </row>
    <row r="763" spans="1:5" ht="13.15">
      <c r="A763" s="36"/>
      <c r="D763" s="37"/>
      <c r="E763" s="37"/>
    </row>
    <row r="764" spans="1:5" ht="13.15">
      <c r="A764" s="36"/>
      <c r="D764" s="37"/>
      <c r="E764" s="37"/>
    </row>
    <row r="765" spans="1:5" ht="13.15">
      <c r="A765" s="36"/>
      <c r="D765" s="37"/>
      <c r="E765" s="37"/>
    </row>
    <row r="766" spans="1:5" ht="13.15">
      <c r="A766" s="36"/>
      <c r="D766" s="37"/>
      <c r="E766" s="37"/>
    </row>
    <row r="767" spans="1:5" ht="13.15">
      <c r="A767" s="36"/>
      <c r="D767" s="37"/>
      <c r="E767" s="37"/>
    </row>
    <row r="768" spans="1:5" ht="13.15">
      <c r="A768" s="36"/>
      <c r="D768" s="37"/>
      <c r="E768" s="37"/>
    </row>
    <row r="769" spans="1:5" ht="13.15">
      <c r="A769" s="36"/>
      <c r="D769" s="37"/>
      <c r="E769" s="37"/>
    </row>
    <row r="770" spans="1:5" ht="13.15">
      <c r="A770" s="36"/>
      <c r="D770" s="37"/>
      <c r="E770" s="37"/>
    </row>
    <row r="771" spans="1:5" ht="13.15">
      <c r="A771" s="36"/>
      <c r="D771" s="37"/>
      <c r="E771" s="37"/>
    </row>
    <row r="772" spans="1:5" ht="13.15">
      <c r="A772" s="36"/>
      <c r="D772" s="37"/>
      <c r="E772" s="37"/>
    </row>
    <row r="773" spans="1:5" ht="13.15">
      <c r="A773" s="36"/>
      <c r="D773" s="37"/>
      <c r="E773" s="37"/>
    </row>
    <row r="774" spans="1:5" ht="13.15">
      <c r="A774" s="36"/>
      <c r="D774" s="37"/>
      <c r="E774" s="37"/>
    </row>
    <row r="775" spans="1:5" ht="13.15">
      <c r="A775" s="36"/>
      <c r="D775" s="37"/>
      <c r="E775" s="37"/>
    </row>
    <row r="776" spans="1:5" ht="13.15">
      <c r="A776" s="36"/>
      <c r="D776" s="37"/>
      <c r="E776" s="37"/>
    </row>
    <row r="777" spans="1:5" ht="13.15">
      <c r="A777" s="36"/>
      <c r="D777" s="37"/>
      <c r="E777" s="37"/>
    </row>
    <row r="778" spans="1:5" ht="13.15">
      <c r="A778" s="36"/>
      <c r="D778" s="37"/>
      <c r="E778" s="37"/>
    </row>
    <row r="779" spans="1:5" ht="13.15">
      <c r="A779" s="36"/>
      <c r="D779" s="37"/>
      <c r="E779" s="37"/>
    </row>
    <row r="780" spans="1:5" ht="13.15">
      <c r="A780" s="36"/>
      <c r="D780" s="37"/>
      <c r="E780" s="37"/>
    </row>
    <row r="781" spans="1:5" ht="13.15">
      <c r="A781" s="36"/>
      <c r="D781" s="37"/>
      <c r="E781" s="37"/>
    </row>
    <row r="782" spans="1:5" ht="13.15">
      <c r="A782" s="36"/>
      <c r="D782" s="37"/>
      <c r="E782" s="37"/>
    </row>
    <row r="783" spans="1:5" ht="13.15">
      <c r="A783" s="36"/>
      <c r="D783" s="37"/>
      <c r="E783" s="37"/>
    </row>
    <row r="784" spans="1:5" ht="13.15">
      <c r="A784" s="36"/>
      <c r="D784" s="37"/>
      <c r="E784" s="37"/>
    </row>
    <row r="785" spans="1:5" ht="13.15">
      <c r="A785" s="36"/>
      <c r="D785" s="37"/>
      <c r="E785" s="37"/>
    </row>
    <row r="786" spans="1:5" ht="13.15">
      <c r="A786" s="36"/>
      <c r="D786" s="37"/>
      <c r="E786" s="37"/>
    </row>
    <row r="787" spans="1:5" ht="13.15">
      <c r="A787" s="36"/>
      <c r="D787" s="37"/>
      <c r="E787" s="37"/>
    </row>
    <row r="788" spans="1:5" ht="13.15">
      <c r="A788" s="36"/>
      <c r="D788" s="37"/>
      <c r="E788" s="37"/>
    </row>
    <row r="789" spans="1:5" ht="13.15">
      <c r="A789" s="36"/>
      <c r="D789" s="37"/>
      <c r="E789" s="37"/>
    </row>
    <row r="790" spans="1:5" ht="13.15">
      <c r="A790" s="36"/>
      <c r="D790" s="37"/>
      <c r="E790" s="37"/>
    </row>
    <row r="791" spans="1:5" ht="13.15">
      <c r="A791" s="36"/>
      <c r="D791" s="37"/>
      <c r="E791" s="37"/>
    </row>
    <row r="792" spans="1:5" ht="13.15">
      <c r="A792" s="36"/>
      <c r="D792" s="37"/>
      <c r="E792" s="37"/>
    </row>
    <row r="793" spans="1:5" ht="13.15">
      <c r="A793" s="36"/>
      <c r="D793" s="37"/>
      <c r="E793" s="37"/>
    </row>
    <row r="794" spans="1:5" ht="13.15">
      <c r="A794" s="36"/>
      <c r="D794" s="37"/>
      <c r="E794" s="37"/>
    </row>
    <row r="795" spans="1:5" ht="13.15">
      <c r="A795" s="36"/>
      <c r="D795" s="37"/>
      <c r="E795" s="37"/>
    </row>
    <row r="796" spans="1:5" ht="13.15">
      <c r="A796" s="36"/>
      <c r="D796" s="37"/>
      <c r="E796" s="37"/>
    </row>
    <row r="797" spans="1:5" ht="13.15">
      <c r="A797" s="36"/>
      <c r="D797" s="37"/>
      <c r="E797" s="37"/>
    </row>
    <row r="798" spans="1:5" ht="13.15">
      <c r="A798" s="36"/>
      <c r="D798" s="37"/>
      <c r="E798" s="37"/>
    </row>
    <row r="799" spans="1:5" ht="13.15">
      <c r="A799" s="36"/>
      <c r="D799" s="37"/>
      <c r="E799" s="37"/>
    </row>
    <row r="800" spans="1:5" ht="13.15">
      <c r="A800" s="36"/>
      <c r="D800" s="37"/>
      <c r="E800" s="37"/>
    </row>
    <row r="801" spans="1:5" ht="13.15">
      <c r="A801" s="36"/>
      <c r="D801" s="37"/>
      <c r="E801" s="37"/>
    </row>
    <row r="802" spans="1:5" ht="13.15">
      <c r="A802" s="36"/>
      <c r="D802" s="37"/>
      <c r="E802" s="37"/>
    </row>
    <row r="803" spans="1:5" ht="13.15">
      <c r="A803" s="36"/>
      <c r="D803" s="37"/>
      <c r="E803" s="37"/>
    </row>
    <row r="804" spans="1:5" ht="13.15">
      <c r="A804" s="36"/>
      <c r="D804" s="37"/>
      <c r="E804" s="37"/>
    </row>
    <row r="805" spans="1:5" ht="13.15">
      <c r="A805" s="36"/>
      <c r="D805" s="37"/>
      <c r="E805" s="37"/>
    </row>
    <row r="806" spans="1:5" ht="13.15">
      <c r="A806" s="36"/>
      <c r="D806" s="37"/>
      <c r="E806" s="37"/>
    </row>
    <row r="807" spans="1:5" ht="13.15">
      <c r="A807" s="36"/>
      <c r="D807" s="37"/>
      <c r="E807" s="37"/>
    </row>
    <row r="808" spans="1:5" ht="13.15">
      <c r="A808" s="36"/>
      <c r="D808" s="37"/>
      <c r="E808" s="37"/>
    </row>
    <row r="809" spans="1:5" ht="13.15">
      <c r="A809" s="36"/>
      <c r="D809" s="37"/>
      <c r="E809" s="37"/>
    </row>
    <row r="810" spans="1:5" ht="13.15">
      <c r="A810" s="36"/>
      <c r="D810" s="37"/>
      <c r="E810" s="37"/>
    </row>
    <row r="811" spans="1:5" ht="13.15">
      <c r="A811" s="36"/>
      <c r="D811" s="37"/>
      <c r="E811" s="37"/>
    </row>
    <row r="812" spans="1:5" ht="13.15">
      <c r="A812" s="36"/>
      <c r="D812" s="37"/>
      <c r="E812" s="37"/>
    </row>
    <row r="813" spans="1:5" ht="13.15">
      <c r="A813" s="36"/>
      <c r="D813" s="37"/>
      <c r="E813" s="37"/>
    </row>
    <row r="814" spans="1:5" ht="13.15">
      <c r="A814" s="36"/>
      <c r="D814" s="37"/>
      <c r="E814" s="37"/>
    </row>
    <row r="815" spans="1:5" ht="13.15">
      <c r="A815" s="36"/>
      <c r="D815" s="37"/>
      <c r="E815" s="37"/>
    </row>
    <row r="816" spans="1:5" ht="13.15">
      <c r="A816" s="36"/>
      <c r="D816" s="37"/>
      <c r="E816" s="37"/>
    </row>
    <row r="817" spans="1:5" ht="13.15">
      <c r="A817" s="36"/>
      <c r="D817" s="37"/>
      <c r="E817" s="37"/>
    </row>
    <row r="818" spans="1:5" ht="13.15">
      <c r="A818" s="36"/>
      <c r="D818" s="37"/>
      <c r="E818" s="37"/>
    </row>
    <row r="819" spans="1:5" ht="13.15">
      <c r="A819" s="36"/>
      <c r="D819" s="37"/>
      <c r="E819" s="37"/>
    </row>
    <row r="820" spans="1:5" ht="13.15">
      <c r="A820" s="36"/>
      <c r="D820" s="37"/>
      <c r="E820" s="37"/>
    </row>
    <row r="821" spans="1:5" ht="13.15">
      <c r="A821" s="36"/>
      <c r="D821" s="37"/>
      <c r="E821" s="37"/>
    </row>
    <row r="822" spans="1:5" ht="13.15">
      <c r="A822" s="36"/>
      <c r="D822" s="37"/>
      <c r="E822" s="37"/>
    </row>
    <row r="823" spans="1:5" ht="13.15">
      <c r="A823" s="36"/>
      <c r="D823" s="37"/>
      <c r="E823" s="37"/>
    </row>
    <row r="824" spans="1:5" ht="13.15">
      <c r="A824" s="36"/>
      <c r="D824" s="37"/>
      <c r="E824" s="37"/>
    </row>
    <row r="825" spans="1:5" ht="13.15">
      <c r="A825" s="36"/>
      <c r="D825" s="37"/>
      <c r="E825" s="37"/>
    </row>
    <row r="826" spans="1:5" ht="13.15">
      <c r="A826" s="36"/>
      <c r="D826" s="37"/>
      <c r="E826" s="37"/>
    </row>
    <row r="827" spans="1:5" ht="13.15">
      <c r="A827" s="36"/>
      <c r="D827" s="37"/>
      <c r="E827" s="37"/>
    </row>
    <row r="828" spans="1:5" ht="13.15">
      <c r="A828" s="36"/>
      <c r="D828" s="37"/>
      <c r="E828" s="37"/>
    </row>
    <row r="829" spans="1:5" ht="13.15">
      <c r="A829" s="36"/>
      <c r="D829" s="37"/>
      <c r="E829" s="37"/>
    </row>
    <row r="830" spans="1:5" ht="13.15">
      <c r="A830" s="36"/>
      <c r="D830" s="37"/>
      <c r="E830" s="37"/>
    </row>
    <row r="831" spans="1:5" ht="13.15">
      <c r="A831" s="36"/>
      <c r="D831" s="37"/>
      <c r="E831" s="37"/>
    </row>
    <row r="832" spans="1:5" ht="13.15">
      <c r="A832" s="36"/>
      <c r="D832" s="37"/>
      <c r="E832" s="37"/>
    </row>
    <row r="833" spans="1:5" ht="13.15">
      <c r="A833" s="36"/>
      <c r="D833" s="37"/>
      <c r="E833" s="37"/>
    </row>
    <row r="834" spans="1:5" ht="13.15">
      <c r="A834" s="36"/>
      <c r="D834" s="37"/>
      <c r="E834" s="37"/>
    </row>
    <row r="835" spans="1:5" ht="13.15">
      <c r="A835" s="36"/>
      <c r="D835" s="37"/>
      <c r="E835" s="37"/>
    </row>
    <row r="836" spans="1:5" ht="13.15">
      <c r="A836" s="36"/>
      <c r="D836" s="37"/>
      <c r="E836" s="37"/>
    </row>
    <row r="837" spans="1:5" ht="13.15">
      <c r="A837" s="36"/>
      <c r="D837" s="37"/>
      <c r="E837" s="37"/>
    </row>
    <row r="838" spans="1:5" ht="13.15">
      <c r="A838" s="36"/>
      <c r="D838" s="37"/>
      <c r="E838" s="37"/>
    </row>
    <row r="839" spans="1:5" ht="13.15">
      <c r="A839" s="36"/>
      <c r="D839" s="37"/>
      <c r="E839" s="37"/>
    </row>
    <row r="840" spans="1:5" ht="13.15">
      <c r="A840" s="36"/>
      <c r="D840" s="37"/>
      <c r="E840" s="37"/>
    </row>
    <row r="841" spans="1:5" ht="13.15">
      <c r="A841" s="36"/>
      <c r="D841" s="37"/>
      <c r="E841" s="37"/>
    </row>
    <row r="842" spans="1:5" ht="13.15">
      <c r="A842" s="36"/>
      <c r="D842" s="37"/>
      <c r="E842" s="37"/>
    </row>
    <row r="843" spans="1:5" ht="13.15">
      <c r="A843" s="36"/>
      <c r="D843" s="37"/>
      <c r="E843" s="37"/>
    </row>
    <row r="844" spans="1:5" ht="13.15">
      <c r="A844" s="36"/>
      <c r="D844" s="37"/>
      <c r="E844" s="37"/>
    </row>
    <row r="845" spans="1:5" ht="13.15">
      <c r="A845" s="36"/>
      <c r="D845" s="37"/>
      <c r="E845" s="37"/>
    </row>
    <row r="846" spans="1:5" ht="13.15">
      <c r="A846" s="36"/>
      <c r="D846" s="37"/>
      <c r="E846" s="37"/>
    </row>
    <row r="847" spans="1:5" ht="13.15">
      <c r="A847" s="36"/>
      <c r="D847" s="37"/>
      <c r="E847" s="37"/>
    </row>
    <row r="848" spans="1:5" ht="13.15">
      <c r="A848" s="36"/>
      <c r="D848" s="37"/>
      <c r="E848" s="37"/>
    </row>
    <row r="849" spans="1:5" ht="13.15">
      <c r="A849" s="36"/>
      <c r="D849" s="37"/>
      <c r="E849" s="37"/>
    </row>
    <row r="850" spans="1:5" ht="13.15">
      <c r="A850" s="36"/>
      <c r="D850" s="37"/>
      <c r="E850" s="37"/>
    </row>
    <row r="851" spans="1:5" ht="13.15">
      <c r="A851" s="36"/>
      <c r="D851" s="37"/>
      <c r="E851" s="37"/>
    </row>
    <row r="852" spans="1:5" ht="13.15">
      <c r="A852" s="36"/>
      <c r="D852" s="37"/>
      <c r="E852" s="37"/>
    </row>
    <row r="853" spans="1:5" ht="13.15">
      <c r="A853" s="36"/>
      <c r="D853" s="37"/>
      <c r="E853" s="37"/>
    </row>
    <row r="854" spans="1:5" ht="13.15">
      <c r="A854" s="36"/>
      <c r="D854" s="37"/>
      <c r="E854" s="37"/>
    </row>
    <row r="855" spans="1:5" ht="13.15">
      <c r="A855" s="36"/>
      <c r="D855" s="37"/>
      <c r="E855" s="37"/>
    </row>
    <row r="856" spans="1:5" ht="13.15">
      <c r="A856" s="36"/>
      <c r="D856" s="37"/>
      <c r="E856" s="37"/>
    </row>
    <row r="857" spans="1:5" ht="13.15">
      <c r="A857" s="36"/>
      <c r="D857" s="37"/>
      <c r="E857" s="37"/>
    </row>
    <row r="858" spans="1:5" ht="13.15">
      <c r="A858" s="36"/>
      <c r="D858" s="37"/>
      <c r="E858" s="37"/>
    </row>
    <row r="859" spans="1:5" ht="13.15">
      <c r="A859" s="36"/>
      <c r="D859" s="37"/>
      <c r="E859" s="37"/>
    </row>
    <row r="860" spans="1:5" ht="13.15">
      <c r="A860" s="36"/>
      <c r="D860" s="37"/>
      <c r="E860" s="37"/>
    </row>
    <row r="861" spans="1:5" ht="13.15">
      <c r="A861" s="36"/>
      <c r="D861" s="37"/>
      <c r="E861" s="37"/>
    </row>
    <row r="862" spans="1:5" ht="13.15">
      <c r="A862" s="36"/>
      <c r="D862" s="37"/>
      <c r="E862" s="37"/>
    </row>
    <row r="863" spans="1:5" ht="13.15">
      <c r="A863" s="36"/>
      <c r="D863" s="37"/>
      <c r="E863" s="37"/>
    </row>
    <row r="864" spans="1:5" ht="13.15">
      <c r="A864" s="36"/>
      <c r="D864" s="37"/>
      <c r="E864" s="37"/>
    </row>
    <row r="865" spans="1:5" ht="13.15">
      <c r="A865" s="36"/>
      <c r="D865" s="37"/>
      <c r="E865" s="37"/>
    </row>
    <row r="866" spans="1:5" ht="13.15">
      <c r="A866" s="36"/>
      <c r="D866" s="37"/>
      <c r="E866" s="37"/>
    </row>
    <row r="867" spans="1:5" ht="13.15">
      <c r="A867" s="36"/>
      <c r="D867" s="37"/>
      <c r="E867" s="37"/>
    </row>
    <row r="868" spans="1:5" ht="13.15">
      <c r="A868" s="36"/>
      <c r="D868" s="37"/>
      <c r="E868" s="37"/>
    </row>
    <row r="869" spans="1:5" ht="13.15">
      <c r="A869" s="36"/>
      <c r="D869" s="37"/>
      <c r="E869" s="37"/>
    </row>
    <row r="870" spans="1:5" ht="13.15">
      <c r="A870" s="36"/>
      <c r="D870" s="37"/>
      <c r="E870" s="37"/>
    </row>
    <row r="871" spans="1:5" ht="13.15">
      <c r="A871" s="36"/>
      <c r="D871" s="37"/>
      <c r="E871" s="37"/>
    </row>
    <row r="872" spans="1:5" ht="13.15">
      <c r="A872" s="36"/>
      <c r="D872" s="37"/>
      <c r="E872" s="37"/>
    </row>
    <row r="873" spans="1:5" ht="13.15">
      <c r="A873" s="36"/>
      <c r="D873" s="37"/>
      <c r="E873" s="37"/>
    </row>
    <row r="874" spans="1:5" ht="13.15">
      <c r="A874" s="36"/>
      <c r="D874" s="37"/>
      <c r="E874" s="37"/>
    </row>
    <row r="875" spans="1:5" ht="13.15">
      <c r="A875" s="36"/>
      <c r="D875" s="37"/>
      <c r="E875" s="37"/>
    </row>
    <row r="876" spans="1:5" ht="13.15">
      <c r="A876" s="36"/>
      <c r="D876" s="37"/>
      <c r="E876" s="37"/>
    </row>
    <row r="877" spans="1:5" ht="13.15">
      <c r="A877" s="36"/>
      <c r="D877" s="37"/>
      <c r="E877" s="37"/>
    </row>
    <row r="878" spans="1:5" ht="13.15">
      <c r="A878" s="36"/>
      <c r="D878" s="37"/>
      <c r="E878" s="37"/>
    </row>
    <row r="879" spans="1:5" ht="13.15">
      <c r="A879" s="36"/>
      <c r="D879" s="37"/>
      <c r="E879" s="37"/>
    </row>
    <row r="880" spans="1:5" ht="13.15">
      <c r="A880" s="36"/>
      <c r="D880" s="37"/>
      <c r="E880" s="37"/>
    </row>
    <row r="881" spans="1:5" ht="13.15">
      <c r="A881" s="36"/>
      <c r="D881" s="37"/>
      <c r="E881" s="37"/>
    </row>
    <row r="882" spans="1:5" ht="13.15">
      <c r="A882" s="36"/>
      <c r="D882" s="37"/>
      <c r="E882" s="37"/>
    </row>
    <row r="883" spans="1:5" ht="13.15">
      <c r="A883" s="36"/>
      <c r="D883" s="37"/>
      <c r="E883" s="37"/>
    </row>
    <row r="884" spans="1:5" ht="13.15">
      <c r="A884" s="36"/>
      <c r="D884" s="37"/>
      <c r="E884" s="37"/>
    </row>
    <row r="885" spans="1:5" ht="13.15">
      <c r="A885" s="36"/>
      <c r="D885" s="37"/>
      <c r="E885" s="37"/>
    </row>
    <row r="886" spans="1:5" ht="13.15">
      <c r="A886" s="36"/>
      <c r="D886" s="37"/>
      <c r="E886" s="37"/>
    </row>
    <row r="887" spans="1:5" ht="13.15">
      <c r="A887" s="36"/>
      <c r="D887" s="37"/>
      <c r="E887" s="37"/>
    </row>
    <row r="888" spans="1:5" ht="13.15">
      <c r="A888" s="36"/>
      <c r="D888" s="37"/>
      <c r="E888" s="37"/>
    </row>
    <row r="889" spans="1:5" ht="13.15">
      <c r="A889" s="36"/>
      <c r="D889" s="37"/>
      <c r="E889" s="37"/>
    </row>
    <row r="890" spans="1:5" ht="13.15">
      <c r="A890" s="36"/>
      <c r="D890" s="37"/>
      <c r="E890" s="37"/>
    </row>
    <row r="891" spans="1:5" ht="13.15">
      <c r="A891" s="36"/>
      <c r="D891" s="37"/>
      <c r="E891" s="37"/>
    </row>
    <row r="892" spans="1:5" ht="13.15">
      <c r="A892" s="36"/>
      <c r="D892" s="37"/>
      <c r="E892" s="37"/>
    </row>
    <row r="893" spans="1:5" ht="13.15">
      <c r="A893" s="36"/>
      <c r="D893" s="37"/>
      <c r="E893" s="37"/>
    </row>
    <row r="894" spans="1:5" ht="13.15">
      <c r="A894" s="36"/>
      <c r="D894" s="37"/>
      <c r="E894" s="37"/>
    </row>
    <row r="895" spans="1:5" ht="13.15">
      <c r="A895" s="36"/>
      <c r="D895" s="37"/>
      <c r="E895" s="37"/>
    </row>
    <row r="896" spans="1:5" ht="13.15">
      <c r="A896" s="36"/>
      <c r="D896" s="37"/>
      <c r="E896" s="37"/>
    </row>
    <row r="897" spans="1:5" ht="13.15">
      <c r="A897" s="36"/>
      <c r="D897" s="37"/>
      <c r="E897" s="37"/>
    </row>
    <row r="898" spans="1:5" ht="13.15">
      <c r="A898" s="36"/>
      <c r="D898" s="37"/>
      <c r="E898" s="37"/>
    </row>
    <row r="899" spans="1:5" ht="13.15">
      <c r="A899" s="36"/>
      <c r="D899" s="37"/>
      <c r="E899" s="37"/>
    </row>
    <row r="900" spans="1:5" ht="13.15">
      <c r="A900" s="36"/>
      <c r="D900" s="37"/>
      <c r="E900" s="37"/>
    </row>
    <row r="901" spans="1:5" ht="13.15">
      <c r="A901" s="36"/>
      <c r="D901" s="37"/>
      <c r="E901" s="37"/>
    </row>
    <row r="902" spans="1:5" ht="13.15">
      <c r="A902" s="36"/>
      <c r="D902" s="37"/>
      <c r="E902" s="37"/>
    </row>
    <row r="903" spans="1:5" ht="13.15">
      <c r="A903" s="36"/>
      <c r="D903" s="37"/>
      <c r="E903" s="37"/>
    </row>
    <row r="904" spans="1:5" ht="13.15">
      <c r="A904" s="36"/>
      <c r="D904" s="37"/>
      <c r="E904" s="37"/>
    </row>
    <row r="905" spans="1:5" ht="13.15">
      <c r="A905" s="36"/>
      <c r="D905" s="37"/>
      <c r="E905" s="37"/>
    </row>
    <row r="906" spans="1:5" ht="13.15">
      <c r="A906" s="36"/>
      <c r="D906" s="37"/>
      <c r="E906" s="37"/>
    </row>
    <row r="907" spans="1:5" ht="13.15">
      <c r="A907" s="36"/>
      <c r="D907" s="37"/>
      <c r="E907" s="37"/>
    </row>
    <row r="908" spans="1:5" ht="13.15">
      <c r="A908" s="36"/>
      <c r="D908" s="37"/>
      <c r="E908" s="37"/>
    </row>
    <row r="909" spans="1:5" ht="13.15">
      <c r="A909" s="36"/>
      <c r="D909" s="37"/>
      <c r="E909" s="37"/>
    </row>
    <row r="910" spans="1:5" ht="13.15">
      <c r="A910" s="36"/>
      <c r="D910" s="37"/>
      <c r="E910" s="37"/>
    </row>
    <row r="911" spans="1:5" ht="13.15">
      <c r="A911" s="36"/>
      <c r="D911" s="37"/>
      <c r="E911" s="37"/>
    </row>
    <row r="912" spans="1:5" ht="13.15">
      <c r="A912" s="36"/>
      <c r="D912" s="37"/>
      <c r="E912" s="37"/>
    </row>
    <row r="913" spans="1:5" ht="13.15">
      <c r="A913" s="36"/>
      <c r="D913" s="37"/>
      <c r="E913" s="37"/>
    </row>
    <row r="914" spans="1:5" ht="13.15">
      <c r="A914" s="36"/>
      <c r="D914" s="37"/>
      <c r="E914" s="37"/>
    </row>
    <row r="915" spans="1:5" ht="13.15">
      <c r="A915" s="36"/>
      <c r="D915" s="37"/>
      <c r="E915" s="37"/>
    </row>
    <row r="916" spans="1:5" ht="13.15">
      <c r="A916" s="36"/>
      <c r="D916" s="37"/>
      <c r="E916" s="37"/>
    </row>
    <row r="917" spans="1:5" ht="13.15">
      <c r="A917" s="36"/>
      <c r="D917" s="37"/>
      <c r="E917" s="37"/>
    </row>
    <row r="918" spans="1:5" ht="13.15">
      <c r="A918" s="36"/>
      <c r="D918" s="37"/>
      <c r="E918" s="37"/>
    </row>
    <row r="919" spans="1:5" ht="13.15">
      <c r="A919" s="36"/>
      <c r="D919" s="37"/>
      <c r="E919" s="37"/>
    </row>
    <row r="920" spans="1:5" ht="13.15">
      <c r="A920" s="36"/>
      <c r="D920" s="37"/>
      <c r="E920" s="37"/>
    </row>
    <row r="921" spans="1:5" ht="13.15">
      <c r="A921" s="36"/>
      <c r="D921" s="37"/>
      <c r="E921" s="37"/>
    </row>
    <row r="922" spans="1:5" ht="13.15">
      <c r="A922" s="36"/>
      <c r="D922" s="37"/>
      <c r="E922" s="37"/>
    </row>
    <row r="923" spans="1:5" ht="13.15">
      <c r="A923" s="36"/>
      <c r="D923" s="37"/>
      <c r="E923" s="37"/>
    </row>
    <row r="924" spans="1:5" ht="13.15">
      <c r="A924" s="36"/>
      <c r="D924" s="37"/>
      <c r="E924" s="37"/>
    </row>
    <row r="925" spans="1:5" ht="13.15">
      <c r="A925" s="36"/>
      <c r="D925" s="37"/>
      <c r="E925" s="37"/>
    </row>
    <row r="926" spans="1:5" ht="13.15">
      <c r="A926" s="36"/>
      <c r="D926" s="37"/>
      <c r="E926" s="37"/>
    </row>
    <row r="927" spans="1:5" ht="13.15">
      <c r="A927" s="36"/>
      <c r="D927" s="37"/>
      <c r="E927" s="37"/>
    </row>
    <row r="928" spans="1:5" ht="13.15">
      <c r="A928" s="36"/>
      <c r="D928" s="37"/>
      <c r="E928" s="37"/>
    </row>
    <row r="929" spans="1:5" ht="13.15">
      <c r="A929" s="36"/>
      <c r="D929" s="37"/>
      <c r="E929" s="37"/>
    </row>
    <row r="930" spans="1:5" ht="13.15">
      <c r="A930" s="36"/>
      <c r="D930" s="37"/>
      <c r="E930" s="37"/>
    </row>
    <row r="931" spans="1:5" ht="13.15">
      <c r="A931" s="36"/>
      <c r="D931" s="37"/>
      <c r="E931" s="37"/>
    </row>
    <row r="932" spans="1:5" ht="13.15">
      <c r="A932" s="36"/>
      <c r="D932" s="37"/>
      <c r="E932" s="37"/>
    </row>
    <row r="933" spans="1:5" ht="13.15">
      <c r="A933" s="36"/>
      <c r="D933" s="37"/>
      <c r="E933" s="37"/>
    </row>
    <row r="934" spans="1:5" ht="13.15">
      <c r="A934" s="36"/>
      <c r="D934" s="37"/>
      <c r="E934" s="37"/>
    </row>
    <row r="935" spans="1:5" ht="13.15">
      <c r="A935" s="36"/>
      <c r="D935" s="37"/>
      <c r="E935" s="37"/>
    </row>
    <row r="936" spans="1:5" ht="13.15">
      <c r="A936" s="36"/>
      <c r="D936" s="37"/>
      <c r="E936" s="37"/>
    </row>
    <row r="937" spans="1:5" ht="13.15">
      <c r="A937" s="36"/>
      <c r="D937" s="37"/>
      <c r="E937" s="37"/>
    </row>
    <row r="938" spans="1:5" ht="13.15">
      <c r="A938" s="36"/>
      <c r="D938" s="37"/>
      <c r="E938" s="37"/>
    </row>
    <row r="939" spans="1:5" ht="13.15">
      <c r="A939" s="36"/>
      <c r="D939" s="37"/>
      <c r="E939" s="37"/>
    </row>
    <row r="940" spans="1:5" ht="13.15">
      <c r="A940" s="36"/>
      <c r="D940" s="37"/>
      <c r="E940" s="37"/>
    </row>
    <row r="941" spans="1:5" ht="13.15">
      <c r="A941" s="36"/>
      <c r="D941" s="37"/>
      <c r="E941" s="37"/>
    </row>
    <row r="942" spans="1:5" ht="13.15">
      <c r="A942" s="36"/>
      <c r="D942" s="37"/>
      <c r="E942" s="37"/>
    </row>
    <row r="943" spans="1:5" ht="13.15">
      <c r="A943" s="36"/>
      <c r="D943" s="37"/>
      <c r="E943" s="37"/>
    </row>
    <row r="944" spans="1:5" ht="13.15">
      <c r="A944" s="36"/>
      <c r="D944" s="37"/>
      <c r="E944" s="37"/>
    </row>
    <row r="945" spans="1:5" ht="13.15">
      <c r="A945" s="36"/>
      <c r="D945" s="37"/>
      <c r="E945" s="37"/>
    </row>
    <row r="946" spans="1:5" ht="13.15">
      <c r="A946" s="36"/>
      <c r="D946" s="37"/>
      <c r="E946" s="37"/>
    </row>
    <row r="947" spans="1:5" ht="13.15">
      <c r="A947" s="36"/>
      <c r="D947" s="37"/>
      <c r="E947" s="37"/>
    </row>
    <row r="948" spans="1:5" ht="13.15">
      <c r="A948" s="36"/>
      <c r="D948" s="37"/>
      <c r="E948" s="37"/>
    </row>
    <row r="949" spans="1:5" ht="13.15">
      <c r="A949" s="36"/>
      <c r="D949" s="37"/>
      <c r="E949" s="37"/>
    </row>
    <row r="950" spans="1:5" ht="13.15">
      <c r="A950" s="36"/>
      <c r="D950" s="37"/>
      <c r="E950" s="37"/>
    </row>
    <row r="951" spans="1:5" ht="13.15">
      <c r="A951" s="36"/>
      <c r="D951" s="37"/>
      <c r="E951" s="37"/>
    </row>
    <row r="952" spans="1:5" ht="13.15">
      <c r="A952" s="36"/>
      <c r="D952" s="37"/>
      <c r="E952" s="37"/>
    </row>
    <row r="953" spans="1:5" ht="13.15">
      <c r="A953" s="36"/>
      <c r="D953" s="37"/>
      <c r="E953" s="37"/>
    </row>
    <row r="954" spans="1:5" ht="13.15">
      <c r="A954" s="36"/>
      <c r="D954" s="37"/>
      <c r="E954" s="37"/>
    </row>
    <row r="955" spans="1:5" ht="13.15">
      <c r="A955" s="36"/>
      <c r="D955" s="37"/>
      <c r="E955" s="37"/>
    </row>
    <row r="956" spans="1:5" ht="13.15">
      <c r="A956" s="36"/>
      <c r="D956" s="37"/>
      <c r="E956" s="37"/>
    </row>
    <row r="957" spans="1:5" ht="13.15">
      <c r="A957" s="36"/>
      <c r="D957" s="37"/>
      <c r="E957" s="37"/>
    </row>
    <row r="958" spans="1:5" ht="13.15">
      <c r="A958" s="36"/>
      <c r="D958" s="37"/>
      <c r="E958" s="37"/>
    </row>
    <row r="959" spans="1:5" ht="13.15">
      <c r="A959" s="36"/>
      <c r="D959" s="37"/>
      <c r="E959" s="37"/>
    </row>
  </sheetData>
  <customSheetViews>
    <customSheetView guid="{B0349FB7-F0B2-4360-BF68-D92EE07C2670}" filter="1" showAutoFilter="1">
      <pageMargins left="0" right="0" top="0" bottom="0" header="0" footer="0"/>
      <autoFilter ref="A1:W293" xr:uid="{CCFAF304-1014-464C-9B94-1B19F367E5B2}"/>
    </customSheetView>
    <customSheetView guid="{D074A271-151C-4CE3-B0D9-35E92897068B}" filter="1" showAutoFilter="1">
      <pageMargins left="0" right="0" top="0" bottom="0" header="0" footer="0"/>
      <autoFilter ref="C1:C944" xr:uid="{D6621ACD-6092-494B-BCED-3C79955EC795}"/>
    </customSheetView>
    <customSheetView guid="{0B0F2042-CC56-4C54-98F8-4FFFD2D3810B}" filter="1" showAutoFilter="1">
      <pageMargins left="0" right="0" top="0" bottom="0" header="0" footer="0"/>
      <autoFilter ref="C1:C944" xr:uid="{7B517C09-3F5E-42AA-A7B1-C78E6D739E9C}"/>
    </customSheetView>
    <customSheetView guid="{760662CC-CB64-421D-9CB8-BFDB7F453921}" filter="1" showAutoFilter="1">
      <pageMargins left="0" right="0" top="0" bottom="0" header="0" footer="0"/>
      <autoFilter ref="C1:C944" xr:uid="{F20D4E08-4D4A-4C48-9C6D-303F04015C9C}"/>
    </customSheetView>
    <customSheetView guid="{8636EF91-5B33-406F-8DA3-A150D471CD61}" filter="1" showAutoFilter="1">
      <pageMargins left="0" right="0" top="0" bottom="0" header="0" footer="0"/>
      <autoFilter ref="A1:W323" xr:uid="{7DE20BE2-2A76-434C-A65F-D4743BFDAC64}"/>
    </customSheetView>
    <customSheetView guid="{CAF0EA69-01F3-4F11-887F-99EA6AEAB662}" filter="1" showAutoFilter="1">
      <pageMargins left="0" right="0" top="0" bottom="0" header="0" footer="0"/>
      <autoFilter ref="A1:W323" xr:uid="{87B582C6-949A-4AC2-836D-6271741DC990}"/>
    </customSheetView>
    <customSheetView guid="{A6471E58-1A21-4644-B7AD-51CB66E2DA25}" filter="1" showAutoFilter="1">
      <pageMargins left="0" right="0" top="0" bottom="0" header="0" footer="0"/>
      <autoFilter ref="A1:W323" xr:uid="{26F6BBD0-1B74-43C3-A23A-5BB6ED2D8515}">
        <filterColumn colId="7">
          <filters blank="1"/>
        </filterColumn>
        <filterColumn colId="17">
          <filters>
            <filter val="Low"/>
          </filters>
        </filterColumn>
      </autoFilter>
    </customSheetView>
    <customSheetView guid="{1488BABD-90C7-4705-99AA-2D3CAD858875}" filter="1" showAutoFilter="1">
      <pageMargins left="0" right="0" top="0" bottom="0" header="0" footer="0"/>
      <autoFilter ref="C1:C944" xr:uid="{66922A14-62F4-428A-80DD-BB846F1F901A}"/>
    </customSheetView>
    <customSheetView guid="{90AA115C-D4C0-406A-800D-7A62E7944F42}" filter="1" showAutoFilter="1">
      <pageMargins left="0" right="0" top="0" bottom="0" header="0" footer="0"/>
      <autoFilter ref="C1:C944" xr:uid="{7F4431B0-2E55-43D3-A21D-81C6B523A549}"/>
    </customSheetView>
    <customSheetView guid="{A8C0CDB0-7B34-4059-8893-504201EB1479}" filter="1" showAutoFilter="1">
      <pageMargins left="0" right="0" top="0" bottom="0" header="0" footer="0"/>
      <autoFilter ref="B1:B944" xr:uid="{AF747317-BCC3-48EE-BBED-3A249858BE29}">
        <filterColumn colId="0">
          <customFilters>
            <customFilter val="*OBD*"/>
          </customFilters>
        </filterColumn>
      </autoFilter>
    </customSheetView>
    <customSheetView guid="{B1147BCB-CB95-4E6E-8179-7D58F01161D2}" filter="1" showAutoFilter="1">
      <pageMargins left="0" right="0" top="0" bottom="0" header="0" footer="0"/>
      <autoFilter ref="C1:C944" xr:uid="{9ED173CD-934B-4004-B148-CC7B0835D4ED}"/>
    </customSheetView>
    <customSheetView guid="{3FB5F56C-89DE-4C32-869D-E6525536F318}" filter="1" showAutoFilter="1">
      <pageMargins left="0" right="0" top="0" bottom="0" header="0" footer="0"/>
      <autoFilter ref="C1:C944" xr:uid="{2F682E6F-8873-4255-B71F-B7870702E974}"/>
    </customSheetView>
    <customSheetView guid="{EB6C5EC7-28BB-497C-8E72-B7C1296A946A}" filter="1" showAutoFilter="1">
      <pageMargins left="0" right="0" top="0" bottom="0" header="0" footer="0"/>
      <autoFilter ref="C1:C944" xr:uid="{C93F14B1-7069-42ED-94FC-C4FA6ACD5613}"/>
    </customSheetView>
    <customSheetView guid="{37D615BE-7420-42DD-BAE2-7F51DCED6BAB}" filter="1" showAutoFilter="1">
      <pageMargins left="0" right="0" top="0" bottom="0" header="0" footer="0"/>
      <autoFilter ref="C1:C944" xr:uid="{182038B3-88D9-44EB-8823-4D18AB7E3BBB}">
        <filterColumn colId="0">
          <customFilters>
            <customFilter val="*temperature*"/>
          </customFilters>
        </filterColumn>
      </autoFilter>
    </customSheetView>
    <customSheetView guid="{372D1D1E-142C-4194-A0DD-689D94A246DE}" filter="1" showAutoFilter="1">
      <pageMargins left="0" right="0" top="0" bottom="0" header="0" footer="0"/>
      <autoFilter ref="C1:C944" xr:uid="{B6245EA2-0950-4E3E-9196-52C6DE175EB3}"/>
    </customSheetView>
    <customSheetView guid="{1F0D97C5-E850-48A4-92AC-7A4616B60FDA}" filter="1" showAutoFilter="1">
      <pageMargins left="0" right="0" top="0" bottom="0" header="0" footer="0"/>
      <autoFilter ref="C1:C944" xr:uid="{C9318183-7085-474C-8DE1-FD4B4D534CD0}"/>
    </customSheetView>
    <customSheetView guid="{04A97E93-A9DC-4C1B-B4C3-A558315B82FE}" filter="1" showAutoFilter="1">
      <pageMargins left="0" right="0" top="0" bottom="0" header="0" footer="0"/>
      <autoFilter ref="C1:C944" xr:uid="{A43CCE75-656E-4747-98EB-2060E1EB03BD}"/>
    </customSheetView>
    <customSheetView guid="{9289254D-A94E-49FC-AD9F-CD028511AD4E}" filter="1" showAutoFilter="1">
      <pageMargins left="0" right="0" top="0" bottom="0" header="0" footer="0"/>
      <autoFilter ref="A1:W323" xr:uid="{C79BEE17-F967-4CA1-A33A-9EB1F5BFF3BB}">
        <filterColumn colId="2">
          <filters blank="1"/>
        </filterColumn>
      </autoFilter>
    </customSheetView>
    <customSheetView guid="{9AA74D9C-3162-4459-AE12-2528934FDDC6}" filter="1" showAutoFilter="1">
      <pageMargins left="0" right="0" top="0" bottom="0" header="0" footer="0"/>
      <autoFilter ref="Y1:AE323" xr:uid="{3873EB53-413D-45B8-BBD3-A7B0CE6F9738}"/>
    </customSheetView>
    <customSheetView guid="{EB9B1935-DCA7-484B-92DF-4C387FD8D288}" filter="1" showAutoFilter="1">
      <pageMargins left="0" right="0" top="0" bottom="0" header="0" footer="0"/>
      <autoFilter ref="A1:W323" xr:uid="{09909E0A-9F54-4880-B384-357CED6722EE}">
        <filterColumn colId="2">
          <filters blank="1"/>
        </filterColumn>
      </autoFilter>
    </customSheetView>
    <customSheetView guid="{6C878C6E-462B-4321-B1C1-92E4316CB75E}" filter="1" showAutoFilter="1">
      <pageMargins left="0" right="0" top="0" bottom="0" header="0" footer="0"/>
      <autoFilter ref="C1:C944" xr:uid="{4BF3957C-3E16-462E-8F52-EE7BF8F25342}">
        <filterColumn colId="0">
          <customFilters>
            <customFilter val="*obd*"/>
          </customFilters>
        </filterColumn>
      </autoFilter>
    </customSheetView>
    <customSheetView guid="{91C26420-5839-44E0-A41A-CFD93A90A732}" filter="1" showAutoFilter="1">
      <pageMargins left="0" right="0" top="0" bottom="0" header="0" footer="0"/>
      <autoFilter ref="C1:C944" xr:uid="{673439E8-85F8-4D98-8A6D-CE6FB15B99AD}"/>
    </customSheetView>
    <customSheetView guid="{4D2DFF6D-5952-4D62-A59C-8D85AA173D33}" filter="1" showAutoFilter="1">
      <pageMargins left="0" right="0" top="0" bottom="0" header="0" footer="0"/>
      <autoFilter ref="A1:W323" xr:uid="{740747A6-DE1C-49ED-9840-A7BC9028772B}"/>
    </customSheetView>
    <customSheetView guid="{DE04874D-EF80-420E-A982-41623F990B46}" filter="1" showAutoFilter="1">
      <pageMargins left="0" right="0" top="0" bottom="0" header="0" footer="0"/>
      <autoFilter ref="C1:C944" xr:uid="{ECF4A81E-4BDB-4900-B397-B66F7FCEC298}"/>
    </customSheetView>
    <customSheetView guid="{4398FFA0-D69F-4DDE-BFBE-0EADA06C4A16}" filter="1" showAutoFilter="1">
      <pageMargins left="0" right="0" top="0" bottom="0" header="0" footer="0"/>
      <autoFilter ref="C1:C944" xr:uid="{66FD356D-011E-4B75-B794-A2AB5C2CC612}"/>
    </customSheetView>
    <customSheetView guid="{0590267C-CCEC-42A0-A715-2D949FCD4392}" filter="1" showAutoFilter="1">
      <pageMargins left="0" right="0" top="0" bottom="0" header="0" footer="0"/>
      <autoFilter ref="C1:C944" xr:uid="{3F64F18F-10E3-4677-BE06-B517C5C3D540}"/>
    </customSheetView>
    <customSheetView guid="{9D64603E-BCCA-4745-AD55-C8F1E2CC7DF6}" filter="1" showAutoFilter="1">
      <pageMargins left="0" right="0" top="0" bottom="0" header="0" footer="0"/>
      <autoFilter ref="B1:B944" xr:uid="{5041325B-E369-4F7F-899C-22A5B91300B9}"/>
    </customSheetView>
    <customSheetView guid="{17B9FE8B-3D16-4C01-B473-D2CF8E545FFB}" filter="1" showAutoFilter="1">
      <pageMargins left="0" right="0" top="0" bottom="0" header="0" footer="0"/>
      <autoFilter ref="C1:C944" xr:uid="{C4E69310-92D2-4FBD-B95A-27557AE82903}"/>
    </customSheetView>
    <customSheetView guid="{9F2E8597-23D6-4579-A79C-C9B4E6C0E833}" filter="1" showAutoFilter="1">
      <pageMargins left="0" right="0" top="0" bottom="0" header="0" footer="0"/>
      <autoFilter ref="C1:C944" xr:uid="{E30F5BD2-38E6-4B53-996B-EDB555B16448}"/>
    </customSheetView>
    <customSheetView guid="{E7212AA7-B944-427B-9823-DB5F24223252}" filter="1" showAutoFilter="1">
      <pageMargins left="0" right="0" top="0" bottom="0" header="0" footer="0"/>
      <autoFilter ref="C1:C944" xr:uid="{961AEE5B-9E62-4372-A4BD-7ABC89016BF3}">
        <filterColumn colId="0">
          <filters blank="1"/>
        </filterColumn>
      </autoFilter>
    </customSheetView>
    <customSheetView guid="{38F00476-24FD-4EA2-8436-2D76EBD0A8DF}" filter="1" showAutoFilter="1">
      <pageMargins left="0" right="0" top="0" bottom="0" header="0" footer="0"/>
      <autoFilter ref="A1:W323" xr:uid="{0D1DF65F-3D76-48E3-9BB8-D3B90961490E}"/>
    </customSheetView>
    <customSheetView guid="{8F77FD58-8227-4A26-B0F7-8D50011D5C21}" filter="1" showAutoFilter="1">
      <pageMargins left="0" right="0" top="0" bottom="0" header="0" footer="0"/>
      <autoFilter ref="A1:W323" xr:uid="{9E8B3B0D-73B4-46D9-83D7-DA02C0EB9121}">
        <filterColumn colId="2">
          <filters blank="1"/>
        </filterColumn>
      </autoFilter>
    </customSheetView>
    <customSheetView guid="{5B38700D-B6C9-4546-A6C1-B210AD8F72FB}" filter="1" showAutoFilter="1">
      <pageMargins left="0" right="0" top="0" bottom="0" header="0" footer="0"/>
      <autoFilter ref="C1:C944" xr:uid="{185A4FF5-37BA-4DF1-A71A-33C1B350F164}"/>
    </customSheetView>
    <customSheetView guid="{CEE893ED-1E8A-47C2-8459-948C3B1D964B}" filter="1" showAutoFilter="1">
      <pageMargins left="0" right="0" top="0" bottom="0" header="0" footer="0"/>
      <autoFilter ref="C1:C944" xr:uid="{2C46CC55-7690-4A2E-B743-2D82D239AAEB}"/>
    </customSheetView>
    <customSheetView guid="{75DE4009-0809-4060-88CF-2E286DAF5F04}" filter="1" showAutoFilter="1">
      <pageMargins left="0" right="0" top="0" bottom="0" header="0" footer="0"/>
      <autoFilter ref="A1:W323" xr:uid="{4B091B44-C97F-4119-894B-39240458122B}"/>
    </customSheetView>
    <customSheetView guid="{CC70E333-17CF-4338-82E0-AD72DF37C24E}" filter="1" showAutoFilter="1">
      <pageMargins left="0" right="0" top="0" bottom="0" header="0" footer="0"/>
      <autoFilter ref="C1:C944" xr:uid="{072BB7D9-4168-4095-82F5-5DF760954C7F}"/>
    </customSheetView>
    <customSheetView guid="{A4CBE3E8-8BD0-4873-BEFE-72F2355A6C60}" filter="1" showAutoFilter="1">
      <pageMargins left="0" right="0" top="0" bottom="0" header="0" footer="0"/>
      <autoFilter ref="C1:C944" xr:uid="{E11BA184-1DAF-4CAF-BE2E-C7C6AC8E145A}"/>
    </customSheetView>
    <customSheetView guid="{C2346DAF-3C6B-4EC4-ADAD-017E8199E43A}" filter="1" showAutoFilter="1">
      <pageMargins left="0" right="0" top="0" bottom="0" header="0" footer="0"/>
      <autoFilter ref="C1:C944" xr:uid="{9A562F3E-F8EF-4ADA-8C60-57F71D255910}">
        <filterColumn colId="0">
          <customFilters>
            <customFilter val="*button*"/>
          </customFilters>
        </filterColumn>
      </autoFilter>
    </customSheetView>
    <customSheetView guid="{5ECA9C19-17C2-4B53-91E9-0C17F8CA4217}" filter="1" showAutoFilter="1">
      <pageMargins left="0" right="0" top="0" bottom="0" header="0" footer="0"/>
      <autoFilter ref="C1:C944" xr:uid="{7F16899F-E4C4-4FB8-950C-F85CAB97F764}"/>
    </customSheetView>
    <customSheetView guid="{4EAD3F2D-5E45-4066-8D34-6297B3E3BE1E}" filter="1" showAutoFilter="1">
      <pageMargins left="0" right="0" top="0" bottom="0" header="0" footer="0"/>
      <autoFilter ref="C1:C944" xr:uid="{BEA83256-0371-495D-ADF8-A449869CBB31}"/>
    </customSheetView>
    <customSheetView guid="{222E66B3-9E17-49DF-B581-D0873A645027}" filter="1" showAutoFilter="1">
      <pageMargins left="0" right="0" top="0" bottom="0" header="0" footer="0"/>
      <autoFilter ref="B1:B944" xr:uid="{691E559C-4869-4590-9A70-810B822D146A}">
        <filterColumn colId="0">
          <customFilters>
            <customFilter val="*TCU*"/>
          </customFilters>
        </filterColumn>
      </autoFilter>
    </customSheetView>
    <customSheetView guid="{D8D4B69D-A22D-4F29-86F0-152D8CF50CD4}" filter="1" showAutoFilter="1">
      <pageMargins left="0" right="0" top="0" bottom="0" header="0" footer="0"/>
      <autoFilter ref="D1:D944" xr:uid="{2056CA99-FFBA-4B40-AFB0-9CD4523465EA}"/>
    </customSheetView>
    <customSheetView guid="{AEF95CDA-7E45-4F86-9841-CD61BFA8E623}" filter="1" showAutoFilter="1">
      <pageMargins left="0" right="0" top="0" bottom="0" header="0" footer="0"/>
      <autoFilter ref="A1:W323" xr:uid="{D2D14BC0-35FA-4505-BB19-D92B72151644}">
        <filterColumn colId="2">
          <filters blank="1"/>
        </filterColumn>
      </autoFilter>
    </customSheetView>
    <customSheetView guid="{4C1E1C7D-57E0-4A0D-8D2E-3FE0B7ADDDD7}" filter="1" showAutoFilter="1">
      <pageMargins left="0" right="0" top="0" bottom="0" header="0" footer="0"/>
      <autoFilter ref="A1:W323" xr:uid="{EDCF123C-5594-43CC-A854-70ECC541E80A}">
        <filterColumn colId="2">
          <filters blank="1"/>
        </filterColumn>
      </autoFilter>
    </customSheetView>
    <customSheetView guid="{F0409DDC-EEB4-40E6-94FD-C6B766E4239D}" filter="1" showAutoFilter="1">
      <pageMargins left="0" right="0" top="0" bottom="0" header="0" footer="0"/>
      <autoFilter ref="C1:C944" xr:uid="{8F0A1F24-5E08-451E-82A0-9D0EDA521906}">
        <filterColumn colId="0">
          <customFilters>
            <customFilter val="*obd*"/>
          </customFilters>
        </filterColumn>
      </autoFilter>
    </customSheetView>
    <customSheetView guid="{48B750AB-A6FE-419F-BF71-04BE9EF337DB}" filter="1" showAutoFilter="1">
      <pageMargins left="0" right="0" top="0" bottom="0" header="0" footer="0"/>
      <autoFilter ref="B1:B944" xr:uid="{A5F77CD5-FA53-49DB-91BF-9989F7700D22}"/>
    </customSheetView>
    <customSheetView guid="{593818F9-56E2-47F4-A6DF-0455D4101279}" filter="1" showAutoFilter="1">
      <pageMargins left="0" right="0" top="0" bottom="0" header="0" footer="0"/>
      <autoFilter ref="C1:C944" xr:uid="{79637852-346F-491E-96B8-9DA05383F6D9}"/>
    </customSheetView>
    <customSheetView guid="{7B124DA9-48B0-40B6-9712-4A03AFFC8E57}" filter="1" showAutoFilter="1">
      <pageMargins left="0" right="0" top="0" bottom="0" header="0" footer="0"/>
      <autoFilter ref="C1:C944" xr:uid="{D26FC747-7C29-4C00-8FE7-73691B31A23C}"/>
    </customSheetView>
    <customSheetView guid="{6EC1CD78-F8A4-4929-BE58-AE6FD52EF834}" filter="1" showAutoFilter="1">
      <pageMargins left="0" right="0" top="0" bottom="0" header="0" footer="0"/>
      <autoFilter ref="A1:W323" xr:uid="{F9E22B75-CB9E-41FD-B5E4-171C04FB4D88}">
        <filterColumn colId="2">
          <filters blank="1"/>
        </filterColumn>
      </autoFilter>
    </customSheetView>
    <customSheetView guid="{4FF1465E-A06C-449A-8181-99398A9708CB}" filter="1" showAutoFilter="1">
      <pageMargins left="0" right="0" top="0" bottom="0" header="0" footer="0"/>
      <autoFilter ref="C1:C944" xr:uid="{91D1CFCB-6359-4747-81FB-ACB8CB646D35}"/>
    </customSheetView>
    <customSheetView guid="{62BEFFAC-61AB-45E5-89EF-3D708EC59F37}" filter="1" showAutoFilter="1">
      <pageMargins left="0" right="0" top="0" bottom="0" header="0" footer="0"/>
      <autoFilter ref="C1:C944" xr:uid="{72C9F8A8-45E7-4B33-A993-BA69E3B09973}">
        <filterColumn colId="0">
          <customFilters>
            <customFilter val="*OBD*"/>
          </customFilters>
        </filterColumn>
      </autoFilter>
    </customSheetView>
    <customSheetView guid="{997057DB-BB51-462C-B40D-52256B7B0B14}" filter="1" showAutoFilter="1">
      <pageMargins left="0" right="0" top="0" bottom="0" header="0" footer="0"/>
      <autoFilter ref="C1:C944" xr:uid="{61B66E38-E0F6-4B40-99B4-FAA382513892}"/>
    </customSheetView>
    <customSheetView guid="{D430B3E1-E60C-4671-8FA8-1D383D225278}" filter="1" showAutoFilter="1">
      <pageMargins left="0" right="0" top="0" bottom="0" header="0" footer="0"/>
      <autoFilter ref="C1:C944" xr:uid="{B941D76C-B920-4D59-A889-4251483E700B}"/>
    </customSheetView>
    <customSheetView guid="{FC2CB815-B2E0-4A25-A9C8-10AFFC5C8B1B}" filter="1" showAutoFilter="1">
      <pageMargins left="0" right="0" top="0" bottom="0" header="0" footer="0"/>
      <autoFilter ref="C1:C944" xr:uid="{2ABA73E0-2F7B-4463-8AC9-DA60A28F3C59}"/>
    </customSheetView>
    <customSheetView guid="{76DE560E-37F3-4170-9F2C-E5BAC227BC31}" filter="1" showAutoFilter="1">
      <pageMargins left="0" right="0" top="0" bottom="0" header="0" footer="0"/>
      <autoFilter ref="A1:W323" xr:uid="{96922801-408B-4987-9C0D-CFEEFB0B3B3F}">
        <filterColumn colId="2">
          <filters blank="1"/>
        </filterColumn>
      </autoFilter>
    </customSheetView>
    <customSheetView guid="{E2A59C1E-06CD-47F7-A24D-FE09CD9EF22C}" filter="1" showAutoFilter="1">
      <pageMargins left="0" right="0" top="0" bottom="0" header="0" footer="0"/>
      <autoFilter ref="A1:W944" xr:uid="{9BD06050-49EA-4FC1-86B2-89FB09D39F90}"/>
    </customSheetView>
    <customSheetView guid="{DA392475-1661-4B54-8BFF-094FFA109104}" filter="1" showAutoFilter="1">
      <pageMargins left="0" right="0" top="0" bottom="0" header="0" footer="0"/>
      <autoFilter ref="C1:C944" xr:uid="{24F12233-4FAD-4375-9F40-C103EF269D40}"/>
    </customSheetView>
    <customSheetView guid="{E5FF392C-5593-4D9B-8773-BA4230B65DD9}" filter="1" showAutoFilter="1">
      <pageMargins left="0" right="0" top="0" bottom="0" header="0" footer="0"/>
      <autoFilter ref="A1:W944" xr:uid="{07A1C589-DC61-4AA1-A766-DBE3274389C6}"/>
    </customSheetView>
    <customSheetView guid="{E4FDEB58-F6D4-4F20-8021-4A7F37853C62}" filter="1" showAutoFilter="1">
      <pageMargins left="0" right="0" top="0" bottom="0" header="0" footer="0"/>
      <autoFilter ref="C1:C944" xr:uid="{2C59597C-B47E-46FA-A9E3-075876AC9DB7}"/>
    </customSheetView>
    <customSheetView guid="{A69627FA-D41F-4A11-9932-FD073A78D696}" filter="1" showAutoFilter="1">
      <pageMargins left="0" right="0" top="0" bottom="0" header="0" footer="0"/>
      <autoFilter ref="C1:C944" xr:uid="{3ED2BE12-A116-4D2D-92CE-95029AA5685D}"/>
    </customSheetView>
    <customSheetView guid="{603FDBA1-D4FE-4AB7-9531-6364C782BA8D}" filter="1" showAutoFilter="1">
      <pageMargins left="0" right="0" top="0" bottom="0" header="0" footer="0"/>
      <autoFilter ref="C1:C944" xr:uid="{8E711C24-01ED-4813-899D-5BC7161FA044}"/>
    </customSheetView>
    <customSheetView guid="{0F767810-6CFE-4948-89FC-5562DF1E5DA6}" filter="1" showAutoFilter="1">
      <pageMargins left="0" right="0" top="0" bottom="0" header="0" footer="0"/>
      <autoFilter ref="C1:C944" xr:uid="{C3A3A1F1-2052-490E-BD5D-A725A0406F6F}"/>
    </customSheetView>
    <customSheetView guid="{E1AA0A4B-6776-4296-B342-5D8947C93E5F}" filter="1" showAutoFilter="1">
      <pageMargins left="0" right="0" top="0" bottom="0" header="0" footer="0"/>
      <autoFilter ref="A1:W323" xr:uid="{FF06A6BA-8163-4012-AB2A-7F38A6E32167}"/>
    </customSheetView>
    <customSheetView guid="{0A5BFFCF-226F-4CA4-A868-8C1E591DF9E5}" filter="1" showAutoFilter="1">
      <pageMargins left="0" right="0" top="0" bottom="0" header="0" footer="0"/>
      <autoFilter ref="A1:W323" xr:uid="{EF6A8970-B6CF-4883-8518-994D9794FC8E}">
        <filterColumn colId="2">
          <filters blank="1"/>
        </filterColumn>
      </autoFilter>
    </customSheetView>
    <customSheetView guid="{D4C268AC-0785-4E67-A6AC-F9ABF6704EE3}" filter="1" showAutoFilter="1">
      <pageMargins left="0" right="0" top="0" bottom="0" header="0" footer="0"/>
      <autoFilter ref="N10" xr:uid="{068C90C0-2666-4CA6-8907-F0AB1770E323}"/>
    </customSheetView>
    <customSheetView guid="{FF987B10-FB23-4B06-938D-0CD5FF652E74}" filter="1" showAutoFilter="1">
      <pageMargins left="0" right="0" top="0" bottom="0" header="0" footer="0"/>
      <autoFilter ref="C1:C944" xr:uid="{CFB85B23-41F6-4931-9413-DEE43C895133}"/>
    </customSheetView>
    <customSheetView guid="{67631504-4C33-4648-9C4A-A62C3D85A17A}" filter="1" showAutoFilter="1">
      <pageMargins left="0" right="0" top="0" bottom="0" header="0" footer="0"/>
      <autoFilter ref="A1:W323" xr:uid="{092C17C0-5D4F-4E1B-8F34-E2F248C82183}"/>
    </customSheetView>
    <customSheetView guid="{F8B02C56-7360-44D2-9782-00BD52FAFCA8}" filter="1" showAutoFilter="1">
      <pageMargins left="0" right="0" top="0" bottom="0" header="0" footer="0"/>
      <autoFilter ref="A1:W323" xr:uid="{421D7C07-7292-401D-865D-F873FBD3428C}"/>
    </customSheetView>
    <customSheetView guid="{025A7AC2-695F-47D3-9E57-A5E831DF09B4}" filter="1" showAutoFilter="1">
      <pageMargins left="0" right="0" top="0" bottom="0" header="0" footer="0"/>
      <autoFilter ref="C1:C944" xr:uid="{3F745337-7C3A-4716-9197-072DCEFCA371}"/>
    </customSheetView>
    <customSheetView guid="{56FFFF34-C789-45A9-B318-6B002FD92CEC}" filter="1" showAutoFilter="1">
      <pageMargins left="0" right="0" top="0" bottom="0" header="0" footer="0"/>
      <autoFilter ref="C1:C944" xr:uid="{35E2ACEB-FBDF-4207-AE0F-F10F1C460D74}"/>
    </customSheetView>
    <customSheetView guid="{84B80BEF-2750-4CC2-B01B-F580FFFD29AB}" filter="1" showAutoFilter="1">
      <pageMargins left="0" right="0" top="0" bottom="0" header="0" footer="0"/>
      <autoFilter ref="C1:C944" xr:uid="{7B6187EB-7E7D-422C-8483-C3D1F29D4F63}"/>
    </customSheetView>
    <customSheetView guid="{4E214EB7-A561-4E22-8884-0514B86E0E63}" filter="1" showAutoFilter="1">
      <pageMargins left="0" right="0" top="0" bottom="0" header="0" footer="0"/>
      <autoFilter ref="A1:W944" xr:uid="{84DE2B4A-29ED-402F-A531-E0BF757E3A83}">
        <filterColumn colId="2">
          <filters blank="1"/>
        </filterColumn>
      </autoFilter>
    </customSheetView>
    <customSheetView guid="{DBD08A63-DAD5-48CF-80CB-5B7B05966D15}" filter="1" showAutoFilter="1">
      <pageMargins left="0" right="0" top="0" bottom="0" header="0" footer="0"/>
      <autoFilter ref="C1:C944" xr:uid="{18938CE3-BF51-42A1-ACC8-457E96C9C9F5}"/>
    </customSheetView>
    <customSheetView guid="{DC1A5D44-85B8-498A-96BF-E0FFE02DC92F}" filter="1" showAutoFilter="1">
      <pageMargins left="0" right="0" top="0" bottom="0" header="0" footer="0"/>
      <autoFilter ref="C1:C944" xr:uid="{D5E15C24-4BA0-4F93-9479-E2E3795DEC1B}"/>
    </customSheetView>
    <customSheetView guid="{64501680-B516-41FC-AA40-5944C37CD813}" filter="1" showAutoFilter="1">
      <pageMargins left="0" right="0" top="0" bottom="0" header="0" footer="0"/>
      <autoFilter ref="C1:C944" xr:uid="{6956E85D-B12B-4679-B3ED-6DD5CD02E167}"/>
    </customSheetView>
    <customSheetView guid="{4A067BC4-D2E6-4FB2-8678-980D99240757}" filter="1" showAutoFilter="1">
      <pageMargins left="0" right="0" top="0" bottom="0" header="0" footer="0"/>
      <autoFilter ref="A1:W944" xr:uid="{3EAD37D8-9FA5-4344-A00C-34F4C94AC8C6}"/>
    </customSheetView>
    <customSheetView guid="{4E214EB7-A561-4E22-8884-0514B86E0E63}" filter="1" showAutoFilter="1">
      <pageMargins left="0" right="0" top="0" bottom="0" header="0" footer="0"/>
      <autoFilter ref="C1:C944" xr:uid="{2D51F474-AE89-447E-9AC0-E83720AD8BF0}"/>
    </customSheetView>
    <customSheetView guid="{313E5414-8FB1-4B4C-9831-EA4BA4469F27}" filter="1" showAutoFilter="1">
      <pageMargins left="0" right="0" top="0" bottom="0" header="0" footer="0"/>
      <autoFilter ref="A1:W944" xr:uid="{0CA3B2D4-3FB6-45D5-946C-7B0CB6520E2E}">
        <filterColumn colId="2">
          <filters blank="1"/>
        </filterColumn>
      </autoFilter>
    </customSheetView>
  </customSheetViews>
  <mergeCells count="25">
    <mergeCell ref="A2:A4"/>
    <mergeCell ref="A43:A45"/>
    <mergeCell ref="A46:A48"/>
    <mergeCell ref="A9:A10"/>
    <mergeCell ref="A40:A42"/>
    <mergeCell ref="A36:A37"/>
    <mergeCell ref="A38:A39"/>
    <mergeCell ref="A26:A27"/>
    <mergeCell ref="A28:A29"/>
    <mergeCell ref="A30:A31"/>
    <mergeCell ref="A32:A33"/>
    <mergeCell ref="A34:A35"/>
    <mergeCell ref="A93:A94"/>
    <mergeCell ref="A22:A23"/>
    <mergeCell ref="A15:A17"/>
    <mergeCell ref="A71:A73"/>
    <mergeCell ref="A74:A76"/>
    <mergeCell ref="A53:A54"/>
    <mergeCell ref="A49:A50"/>
    <mergeCell ref="A51:A52"/>
    <mergeCell ref="A58:A59"/>
    <mergeCell ref="A60:A61"/>
    <mergeCell ref="A62:A65"/>
    <mergeCell ref="A66:A70"/>
    <mergeCell ref="A55:A57"/>
  </mergeCells>
  <conditionalFormatting sqref="A22 A43 A46 A49 A51 A55 A58 A60 A62 A66 A71 A244:A281 A283:A959 A74 A77 A81:A93 A95:A242">
    <cfRule type="notContainsBlanks" dxfId="1" priority="1">
      <formula>LEN(TRIM(A22))&gt;0</formula>
    </cfRule>
  </conditionalFormatting>
  <conditionalFormatting sqref="B113">
    <cfRule type="colorScale" priority="3">
      <colorScale>
        <cfvo type="min"/>
        <cfvo type="max"/>
        <color rgb="FF57BB8A"/>
        <color rgb="FFFFFFFF"/>
      </colorScale>
    </cfRule>
  </conditionalFormatting>
  <conditionalFormatting sqref="T34:T37 V49 V86 T107:T239 V123 T241:T301 T303:T311 T314:T338 V335:V336 T43:T83 T86:T105">
    <cfRule type="notContainsBlanks" dxfId="0" priority="2">
      <formula>LEN(TRIM(T34))&gt;0</formula>
    </cfRule>
  </conditionalFormatting>
  <dataValidations count="6">
    <dataValidation type="list" allowBlank="1" showInputMessage="1" showErrorMessage="1" sqref="C30:C1048576 C2:C28" xr:uid="{00000000-0002-0000-0000-000000000000}">
      <formula1>"Confidentiality, Integrity,  Availability"</formula1>
    </dataValidation>
    <dataValidation type="list" allowBlank="1" showInputMessage="1" showErrorMessage="1" sqref="C29" xr:uid="{00000000-0002-0000-0000-000001000000}">
      <formula1>"Confidentiality, Integrity,  Availability, Integrity&amp;Availability"</formula1>
    </dataValidation>
    <dataValidation type="list" allowBlank="1" showErrorMessage="1" sqref="F2:F338" xr:uid="{00000000-0002-0000-0000-000002000000}">
      <formula1>"Physical,Local,Adjacent,Network"</formula1>
    </dataValidation>
    <dataValidation type="list" allowBlank="1" showErrorMessage="1" sqref="H2:H338 N2:N338 L2:L338 J2:J338" xr:uid="{00000000-0002-0000-0000-000003000000}">
      <formula1>"Negligible,Moderate,Major,Severe"</formula1>
    </dataValidation>
    <dataValidation type="list" allowBlank="1" showErrorMessage="1" sqref="S2:S338" xr:uid="{00000000-0002-0000-0000-000004000000}">
      <formula1>"Avoidance,Mitigation,Acceptance,Transfer"</formula1>
    </dataValidation>
    <dataValidation type="list" allowBlank="1" showInputMessage="1" showErrorMessage="1" sqref="B1:B130" xr:uid="{00000000-0002-0000-0000-000005000000}">
      <formula1>"Spoofing,Tampering,Repudiation,Information disclosure,Denial of service, Elevation of privilege"</formula1>
    </dataValidation>
  </dataValidation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showGridLines="0" topLeftCell="D4" workbookViewId="0">
      <selection activeCell="B42" sqref="B42"/>
    </sheetView>
  </sheetViews>
  <sheetFormatPr defaultColWidth="12.7109375" defaultRowHeight="15.75" customHeight="1"/>
  <cols>
    <col min="1" max="1" width="24.42578125" customWidth="1"/>
    <col min="2" max="2" width="44.42578125" customWidth="1"/>
    <col min="3" max="3" width="19" customWidth="1"/>
    <col min="4" max="4" width="14.42578125" customWidth="1"/>
    <col min="5" max="5" width="27" customWidth="1"/>
    <col min="6" max="6" width="7.42578125" customWidth="1"/>
    <col min="7" max="7" width="13.28515625" customWidth="1"/>
    <col min="8" max="8" width="15" customWidth="1"/>
    <col min="9" max="26" width="12.42578125" customWidth="1"/>
  </cols>
  <sheetData>
    <row r="1" spans="1:12" ht="15" customHeight="1">
      <c r="A1" s="38" t="s">
        <v>926</v>
      </c>
      <c r="B1" s="38" t="s">
        <v>927</v>
      </c>
      <c r="C1" s="39"/>
      <c r="D1" s="40" t="s">
        <v>928</v>
      </c>
      <c r="E1" s="38" t="s">
        <v>929</v>
      </c>
      <c r="F1" s="41"/>
      <c r="G1" s="38" t="s">
        <v>930</v>
      </c>
      <c r="H1" s="38" t="s">
        <v>931</v>
      </c>
    </row>
    <row r="2" spans="1:12" ht="13.15">
      <c r="A2" s="42" t="s">
        <v>932</v>
      </c>
      <c r="B2" s="43">
        <v>5</v>
      </c>
      <c r="C2" s="44"/>
      <c r="D2" s="45">
        <v>100</v>
      </c>
      <c r="E2" s="45" t="s">
        <v>933</v>
      </c>
      <c r="F2" s="41"/>
      <c r="G2" s="45" t="s">
        <v>119</v>
      </c>
      <c r="H2" s="43">
        <v>8.3000000000000007</v>
      </c>
    </row>
    <row r="3" spans="1:12" ht="13.15">
      <c r="A3" s="42" t="s">
        <v>934</v>
      </c>
      <c r="B3" s="43">
        <v>1</v>
      </c>
      <c r="C3" s="44"/>
      <c r="D3" s="45">
        <v>49</v>
      </c>
      <c r="E3" s="45" t="s">
        <v>935</v>
      </c>
      <c r="F3" s="41"/>
      <c r="G3" s="45" t="s">
        <v>64</v>
      </c>
      <c r="H3" s="43">
        <v>5.0999999999999996</v>
      </c>
    </row>
    <row r="4" spans="1:12" ht="13.15">
      <c r="A4" s="42" t="s">
        <v>936</v>
      </c>
      <c r="B4" s="43">
        <v>0.5</v>
      </c>
      <c r="C4" s="44"/>
      <c r="D4" s="45">
        <v>16</v>
      </c>
      <c r="E4" s="45" t="s">
        <v>937</v>
      </c>
      <c r="F4" s="41"/>
      <c r="G4" s="45" t="s">
        <v>39</v>
      </c>
      <c r="H4" s="43">
        <v>2.5</v>
      </c>
    </row>
    <row r="5" spans="1:12" ht="13.15">
      <c r="A5" s="42" t="s">
        <v>938</v>
      </c>
      <c r="B5" s="43">
        <v>0.25</v>
      </c>
      <c r="C5" s="44"/>
      <c r="D5" s="45">
        <v>1</v>
      </c>
      <c r="E5" s="45" t="s">
        <v>939</v>
      </c>
      <c r="F5" s="41"/>
      <c r="G5" s="45" t="s">
        <v>37</v>
      </c>
      <c r="H5" s="43">
        <v>1</v>
      </c>
    </row>
    <row r="6" spans="1:12" ht="13.15">
      <c r="A6" s="46"/>
      <c r="B6" s="44"/>
      <c r="C6" s="44"/>
      <c r="D6" s="45">
        <v>0</v>
      </c>
      <c r="E6" s="45" t="s">
        <v>940</v>
      </c>
      <c r="F6" s="41"/>
      <c r="G6" s="41"/>
      <c r="H6" s="41"/>
    </row>
    <row r="7" spans="1:12" ht="13.15">
      <c r="A7" s="47" t="s">
        <v>941</v>
      </c>
      <c r="B7" s="48"/>
      <c r="C7" s="48"/>
      <c r="D7" s="44"/>
      <c r="E7" s="44"/>
      <c r="F7" s="41"/>
      <c r="G7" s="41"/>
      <c r="H7" s="41"/>
    </row>
    <row r="8" spans="1:12" ht="13.15">
      <c r="A8" s="49" t="s">
        <v>930</v>
      </c>
      <c r="B8" s="38" t="s">
        <v>942</v>
      </c>
      <c r="C8" s="38" t="s">
        <v>943</v>
      </c>
      <c r="D8" s="44"/>
      <c r="E8" s="44"/>
      <c r="F8" s="41"/>
      <c r="G8" s="41"/>
      <c r="H8" s="41"/>
    </row>
    <row r="9" spans="1:12" ht="26.45">
      <c r="A9" s="47" t="s">
        <v>119</v>
      </c>
      <c r="B9" s="48" t="s">
        <v>944</v>
      </c>
      <c r="C9" s="47">
        <v>10</v>
      </c>
      <c r="D9" s="44"/>
      <c r="E9" s="44"/>
      <c r="F9" s="41"/>
      <c r="G9" s="50" t="s">
        <v>945</v>
      </c>
      <c r="H9" s="51"/>
      <c r="I9" s="35"/>
      <c r="J9" s="35"/>
      <c r="K9" s="35"/>
      <c r="L9" s="35"/>
    </row>
    <row r="10" spans="1:12" ht="27">
      <c r="A10" s="47" t="s">
        <v>64</v>
      </c>
      <c r="B10" s="48" t="s">
        <v>946</v>
      </c>
      <c r="C10" s="47">
        <v>7</v>
      </c>
      <c r="D10" s="44"/>
      <c r="E10" s="52" t="s">
        <v>947</v>
      </c>
      <c r="F10" s="41"/>
      <c r="G10" s="53" t="s">
        <v>939</v>
      </c>
      <c r="H10" s="53" t="s">
        <v>939</v>
      </c>
      <c r="I10" s="53" t="s">
        <v>939</v>
      </c>
      <c r="J10" s="54" t="s">
        <v>937</v>
      </c>
      <c r="K10" s="55" t="s">
        <v>37</v>
      </c>
      <c r="L10" s="150" t="s">
        <v>948</v>
      </c>
    </row>
    <row r="11" spans="1:12" ht="27">
      <c r="A11" s="47" t="s">
        <v>39</v>
      </c>
      <c r="B11" s="48" t="s">
        <v>949</v>
      </c>
      <c r="C11" s="47">
        <v>4</v>
      </c>
      <c r="D11" s="44"/>
      <c r="E11" s="48" t="s">
        <v>950</v>
      </c>
      <c r="F11" s="41"/>
      <c r="G11" s="53" t="s">
        <v>939</v>
      </c>
      <c r="H11" s="54" t="s">
        <v>937</v>
      </c>
      <c r="I11" s="54" t="s">
        <v>937</v>
      </c>
      <c r="J11" s="54" t="s">
        <v>937</v>
      </c>
      <c r="K11" s="55" t="s">
        <v>39</v>
      </c>
      <c r="L11" s="152"/>
    </row>
    <row r="12" spans="1:12" ht="14.45">
      <c r="A12" s="47" t="s">
        <v>37</v>
      </c>
      <c r="B12" s="48" t="s">
        <v>951</v>
      </c>
      <c r="C12" s="47">
        <v>1</v>
      </c>
      <c r="D12" s="44"/>
      <c r="E12" s="52" t="s">
        <v>952</v>
      </c>
      <c r="F12" s="41"/>
      <c r="G12" s="53" t="s">
        <v>939</v>
      </c>
      <c r="H12" s="54" t="s">
        <v>937</v>
      </c>
      <c r="I12" s="56" t="s">
        <v>935</v>
      </c>
      <c r="J12" s="56" t="s">
        <v>935</v>
      </c>
      <c r="K12" s="55" t="s">
        <v>64</v>
      </c>
      <c r="L12" s="152"/>
    </row>
    <row r="13" spans="1:12" ht="14.45">
      <c r="A13" s="46"/>
      <c r="B13" s="44"/>
      <c r="C13" s="44"/>
      <c r="D13" s="44"/>
      <c r="E13" s="51" t="s">
        <v>953</v>
      </c>
      <c r="F13" s="41"/>
      <c r="G13" s="54" t="s">
        <v>937</v>
      </c>
      <c r="H13" s="56" t="s">
        <v>935</v>
      </c>
      <c r="I13" s="56" t="s">
        <v>935</v>
      </c>
      <c r="J13" s="57" t="s">
        <v>933</v>
      </c>
      <c r="K13" s="55" t="s">
        <v>119</v>
      </c>
      <c r="L13" s="152"/>
    </row>
    <row r="14" spans="1:12" ht="14.45">
      <c r="A14" s="46"/>
      <c r="B14" s="44"/>
      <c r="C14" s="44"/>
      <c r="D14" s="44"/>
      <c r="E14" s="44"/>
      <c r="F14" s="41"/>
      <c r="G14" s="55" t="s">
        <v>940</v>
      </c>
      <c r="H14" s="55" t="s">
        <v>939</v>
      </c>
      <c r="I14" s="55" t="s">
        <v>937</v>
      </c>
      <c r="J14" s="55" t="s">
        <v>935</v>
      </c>
      <c r="K14" s="55"/>
      <c r="L14" s="152"/>
    </row>
    <row r="15" spans="1:12" ht="14.45">
      <c r="A15" s="47" t="s">
        <v>954</v>
      </c>
      <c r="B15" s="48"/>
      <c r="C15" s="48"/>
      <c r="D15" s="44"/>
      <c r="E15" s="44"/>
      <c r="F15" s="41"/>
      <c r="G15" s="151" t="s">
        <v>955</v>
      </c>
      <c r="H15" s="153"/>
      <c r="I15" s="153"/>
      <c r="J15" s="153"/>
      <c r="K15" s="154"/>
      <c r="L15" s="155"/>
    </row>
    <row r="16" spans="1:12" ht="13.15">
      <c r="A16" s="49" t="s">
        <v>930</v>
      </c>
      <c r="B16" s="40" t="s">
        <v>956</v>
      </c>
      <c r="C16" s="38" t="s">
        <v>943</v>
      </c>
      <c r="D16" s="44"/>
      <c r="E16" s="49" t="s">
        <v>957</v>
      </c>
      <c r="F16" s="41"/>
      <c r="G16" s="41"/>
      <c r="H16" s="41"/>
    </row>
    <row r="17" spans="1:8" ht="39.6">
      <c r="A17" s="47" t="s">
        <v>119</v>
      </c>
      <c r="B17" s="48" t="s">
        <v>958</v>
      </c>
      <c r="C17" s="47">
        <v>10</v>
      </c>
      <c r="D17" s="44"/>
      <c r="E17" s="58" t="s">
        <v>47</v>
      </c>
      <c r="F17" s="41"/>
      <c r="G17" s="59" t="s">
        <v>959</v>
      </c>
      <c r="H17" s="60" t="s">
        <v>960</v>
      </c>
    </row>
    <row r="18" spans="1:8" ht="39.6">
      <c r="A18" s="47" t="s">
        <v>64</v>
      </c>
      <c r="B18" s="48" t="s">
        <v>961</v>
      </c>
      <c r="C18" s="47">
        <v>7</v>
      </c>
      <c r="D18" s="44"/>
      <c r="E18" s="42" t="s">
        <v>31</v>
      </c>
      <c r="F18" s="41"/>
      <c r="G18" s="59" t="s">
        <v>962</v>
      </c>
      <c r="H18" s="60" t="s">
        <v>939</v>
      </c>
    </row>
    <row r="19" spans="1:8" ht="39.6">
      <c r="A19" s="47" t="s">
        <v>39</v>
      </c>
      <c r="B19" s="48" t="s">
        <v>963</v>
      </c>
      <c r="C19" s="47">
        <v>4</v>
      </c>
      <c r="D19" s="44"/>
      <c r="E19" s="58" t="s">
        <v>179</v>
      </c>
      <c r="F19" s="41"/>
      <c r="G19" s="61" t="s">
        <v>964</v>
      </c>
      <c r="H19" s="62" t="s">
        <v>965</v>
      </c>
    </row>
    <row r="20" spans="1:8" ht="39.6">
      <c r="A20" s="47" t="s">
        <v>37</v>
      </c>
      <c r="B20" s="48" t="s">
        <v>966</v>
      </c>
      <c r="C20" s="47">
        <v>1</v>
      </c>
      <c r="D20" s="44"/>
      <c r="E20" s="42" t="s">
        <v>967</v>
      </c>
      <c r="F20" s="41"/>
      <c r="G20" s="41"/>
      <c r="H20" s="41"/>
    </row>
    <row r="21" spans="1:8" ht="13.15">
      <c r="A21" s="46"/>
      <c r="B21" s="44"/>
      <c r="C21" s="44"/>
      <c r="D21" s="44"/>
      <c r="E21" s="58" t="s">
        <v>968</v>
      </c>
      <c r="F21" s="41"/>
      <c r="G21" s="41"/>
      <c r="H21" s="41"/>
    </row>
    <row r="22" spans="1:8" ht="13.15">
      <c r="A22" s="46"/>
      <c r="B22" s="44"/>
      <c r="C22" s="44"/>
      <c r="D22" s="44"/>
      <c r="E22" s="42" t="s">
        <v>969</v>
      </c>
      <c r="F22" s="41"/>
      <c r="G22" s="41"/>
      <c r="H22" s="41"/>
    </row>
    <row r="23" spans="1:8" ht="13.15">
      <c r="A23" s="47" t="s">
        <v>970</v>
      </c>
      <c r="B23" s="39"/>
      <c r="C23" s="39"/>
      <c r="D23" s="44"/>
      <c r="E23" s="44"/>
      <c r="F23" s="41"/>
      <c r="G23" s="41"/>
      <c r="H23" s="41"/>
    </row>
    <row r="24" spans="1:8" ht="13.15">
      <c r="A24" s="49" t="s">
        <v>930</v>
      </c>
      <c r="B24" s="40" t="s">
        <v>971</v>
      </c>
      <c r="C24" s="40" t="s">
        <v>943</v>
      </c>
      <c r="D24" s="44"/>
      <c r="E24" s="44"/>
      <c r="F24" s="41"/>
      <c r="G24" s="41"/>
      <c r="H24" s="41"/>
    </row>
    <row r="25" spans="1:8" ht="92.45">
      <c r="A25" s="47" t="s">
        <v>119</v>
      </c>
      <c r="B25" s="48" t="s">
        <v>972</v>
      </c>
      <c r="C25" s="47">
        <v>10</v>
      </c>
      <c r="D25" s="44"/>
      <c r="E25" s="44"/>
      <c r="F25" s="41"/>
      <c r="G25" s="41"/>
      <c r="H25" s="41"/>
    </row>
    <row r="26" spans="1:8" ht="52.9">
      <c r="A26" s="47" t="s">
        <v>64</v>
      </c>
      <c r="B26" s="48" t="s">
        <v>973</v>
      </c>
      <c r="C26" s="47">
        <v>7</v>
      </c>
      <c r="D26" s="44"/>
      <c r="E26" s="44"/>
      <c r="F26" s="41"/>
      <c r="G26" s="41"/>
      <c r="H26" s="41"/>
    </row>
    <row r="27" spans="1:8" ht="52.9">
      <c r="A27" s="47" t="s">
        <v>39</v>
      </c>
      <c r="B27" s="48" t="s">
        <v>974</v>
      </c>
      <c r="C27" s="47">
        <v>4</v>
      </c>
      <c r="D27" s="44"/>
      <c r="E27" s="44"/>
      <c r="F27" s="41"/>
      <c r="G27" s="41"/>
      <c r="H27" s="41"/>
    </row>
    <row r="28" spans="1:8" ht="26.45">
      <c r="A28" s="47" t="s">
        <v>37</v>
      </c>
      <c r="B28" s="48" t="s">
        <v>975</v>
      </c>
      <c r="C28" s="47">
        <v>1</v>
      </c>
      <c r="D28" s="44"/>
      <c r="E28" s="44"/>
      <c r="F28" s="41"/>
      <c r="G28" s="41"/>
      <c r="H28" s="41"/>
    </row>
    <row r="29" spans="1:8" ht="13.15">
      <c r="A29" s="46"/>
      <c r="B29" s="44"/>
      <c r="C29" s="44"/>
      <c r="D29" s="44"/>
      <c r="E29" s="44"/>
      <c r="F29" s="41"/>
      <c r="G29" s="41"/>
      <c r="H29" s="41"/>
    </row>
    <row r="30" spans="1:8" ht="13.15">
      <c r="A30" s="46"/>
      <c r="B30" s="44"/>
      <c r="C30" s="44"/>
      <c r="D30" s="44"/>
      <c r="E30" s="44"/>
      <c r="F30" s="41"/>
      <c r="G30" s="41"/>
      <c r="H30" s="41"/>
    </row>
    <row r="31" spans="1:8" ht="13.15">
      <c r="A31" s="47" t="s">
        <v>976</v>
      </c>
      <c r="B31" s="44"/>
      <c r="C31" s="44"/>
      <c r="D31" s="44"/>
      <c r="E31" s="44"/>
      <c r="F31" s="41"/>
      <c r="G31" s="41"/>
      <c r="H31" s="41"/>
    </row>
    <row r="32" spans="1:8" ht="13.15">
      <c r="A32" s="49" t="s">
        <v>930</v>
      </c>
      <c r="B32" s="40" t="s">
        <v>977</v>
      </c>
      <c r="C32" s="49" t="s">
        <v>943</v>
      </c>
      <c r="D32" s="44"/>
      <c r="E32" s="44"/>
      <c r="F32" s="41"/>
      <c r="G32" s="41"/>
      <c r="H32" s="41"/>
    </row>
    <row r="33" spans="1:8" ht="52.9">
      <c r="A33" s="47" t="s">
        <v>119</v>
      </c>
      <c r="B33" s="63" t="s">
        <v>978</v>
      </c>
      <c r="C33" s="47">
        <v>10</v>
      </c>
      <c r="D33" s="44"/>
      <c r="E33" s="44"/>
      <c r="F33" s="41"/>
      <c r="G33" s="41"/>
      <c r="H33" s="41"/>
    </row>
    <row r="34" spans="1:8" ht="66">
      <c r="A34" s="47" t="s">
        <v>64</v>
      </c>
      <c r="B34" s="63" t="s">
        <v>979</v>
      </c>
      <c r="C34" s="47">
        <v>7</v>
      </c>
      <c r="D34" s="44"/>
      <c r="E34" s="44"/>
      <c r="F34" s="41"/>
      <c r="G34" s="41"/>
      <c r="H34" s="41"/>
    </row>
    <row r="35" spans="1:8" ht="66">
      <c r="A35" s="47" t="s">
        <v>39</v>
      </c>
      <c r="B35" s="63" t="s">
        <v>980</v>
      </c>
      <c r="C35" s="47">
        <v>4</v>
      </c>
      <c r="D35" s="44"/>
      <c r="E35" s="44"/>
      <c r="F35" s="41"/>
      <c r="G35" s="41"/>
      <c r="H35" s="41"/>
    </row>
    <row r="36" spans="1:8" ht="52.9">
      <c r="A36" s="47" t="s">
        <v>37</v>
      </c>
      <c r="B36" s="63" t="s">
        <v>981</v>
      </c>
      <c r="C36" s="47">
        <v>1</v>
      </c>
      <c r="D36" s="44"/>
      <c r="E36" s="44"/>
      <c r="F36" s="41"/>
      <c r="G36" s="41"/>
      <c r="H36" s="41"/>
    </row>
    <row r="37" spans="1:8" ht="13.15">
      <c r="A37" s="44"/>
      <c r="B37" s="44"/>
      <c r="C37" s="44"/>
      <c r="D37" s="44"/>
      <c r="E37" s="44"/>
      <c r="F37" s="41"/>
      <c r="G37" s="41"/>
      <c r="H37" s="41"/>
    </row>
    <row r="38" spans="1:8" ht="15.75" customHeight="1">
      <c r="A38" s="44"/>
      <c r="B38" s="44" t="s">
        <v>982</v>
      </c>
      <c r="C38" s="44"/>
      <c r="D38" s="44"/>
      <c r="E38" s="44"/>
      <c r="F38" s="41"/>
      <c r="G38" s="41"/>
      <c r="H38" s="41"/>
    </row>
    <row r="39" spans="1:8" ht="15.75" customHeight="1">
      <c r="A39" s="64" t="s">
        <v>983</v>
      </c>
      <c r="B39" s="44"/>
      <c r="C39" s="44"/>
      <c r="D39" s="44"/>
      <c r="E39" s="44"/>
      <c r="F39" s="41"/>
      <c r="G39" s="41"/>
      <c r="H39" s="41"/>
    </row>
    <row r="40" spans="1:8" ht="15.75" customHeight="1">
      <c r="A40" s="38" t="s">
        <v>984</v>
      </c>
      <c r="B40" s="40" t="s">
        <v>985</v>
      </c>
      <c r="C40" s="38" t="s">
        <v>986</v>
      </c>
      <c r="D40" s="38" t="s">
        <v>943</v>
      </c>
      <c r="E40" s="41"/>
      <c r="F40" s="41"/>
      <c r="G40" s="41"/>
      <c r="H40" s="41"/>
    </row>
    <row r="41" spans="1:8" ht="32.25" customHeight="1">
      <c r="A41" s="47" t="s">
        <v>35</v>
      </c>
      <c r="B41" s="48" t="s">
        <v>987</v>
      </c>
      <c r="C41" s="47" t="s">
        <v>935</v>
      </c>
      <c r="D41" s="47">
        <v>10</v>
      </c>
      <c r="E41" s="41"/>
      <c r="F41" s="41"/>
      <c r="G41" s="41"/>
      <c r="H41" s="41"/>
    </row>
    <row r="42" spans="1:8" ht="27.75" customHeight="1">
      <c r="A42" s="47" t="s">
        <v>180</v>
      </c>
      <c r="B42" s="48" t="s">
        <v>988</v>
      </c>
      <c r="C42" s="47" t="s">
        <v>937</v>
      </c>
      <c r="D42" s="47">
        <v>7</v>
      </c>
      <c r="E42" s="41"/>
      <c r="F42" s="41"/>
      <c r="G42" s="41"/>
      <c r="H42" s="41"/>
    </row>
    <row r="43" spans="1:8" ht="45" customHeight="1">
      <c r="A43" s="47" t="s">
        <v>169</v>
      </c>
      <c r="B43" s="48" t="s">
        <v>989</v>
      </c>
      <c r="C43" s="47" t="s">
        <v>939</v>
      </c>
      <c r="D43" s="47">
        <v>4</v>
      </c>
      <c r="E43" s="41"/>
      <c r="F43" s="41"/>
      <c r="G43" s="41"/>
      <c r="H43" s="41"/>
    </row>
    <row r="44" spans="1:8" ht="31.5" customHeight="1">
      <c r="A44" s="47" t="s">
        <v>758</v>
      </c>
      <c r="B44" s="48" t="s">
        <v>990</v>
      </c>
      <c r="C44" s="47" t="s">
        <v>991</v>
      </c>
      <c r="D44" s="47">
        <v>1</v>
      </c>
      <c r="E44" s="41"/>
      <c r="F44" s="41"/>
      <c r="G44" s="41"/>
      <c r="H44" s="41"/>
    </row>
    <row r="45" spans="1:8" ht="15.75" customHeight="1">
      <c r="A45" s="41"/>
      <c r="B45" s="41"/>
      <c r="C45" s="41"/>
      <c r="D45" s="41"/>
      <c r="E45" s="41"/>
      <c r="F45" s="41"/>
      <c r="G45" s="41"/>
      <c r="H45" s="41"/>
    </row>
    <row r="46" spans="1:8" ht="15.75" customHeight="1">
      <c r="A46" s="65" t="s">
        <v>992</v>
      </c>
      <c r="B46" s="41"/>
      <c r="C46" s="41"/>
      <c r="D46" s="41"/>
      <c r="E46" s="41"/>
      <c r="F46" s="41"/>
      <c r="G46" s="41"/>
      <c r="H46" s="41"/>
    </row>
    <row r="47" spans="1:8" ht="15.75" customHeight="1">
      <c r="A47" s="66" t="s">
        <v>993</v>
      </c>
      <c r="B47" s="40" t="s">
        <v>985</v>
      </c>
      <c r="C47" s="41"/>
      <c r="D47" s="41"/>
      <c r="E47" s="41"/>
      <c r="F47" s="41"/>
      <c r="G47" s="41"/>
      <c r="H47" s="41"/>
    </row>
    <row r="48" spans="1:8" ht="69.75" customHeight="1">
      <c r="A48" s="67" t="s">
        <v>965</v>
      </c>
      <c r="B48" s="63" t="s">
        <v>994</v>
      </c>
      <c r="C48" s="41"/>
      <c r="D48" s="41"/>
      <c r="E48" s="41"/>
      <c r="F48" s="41"/>
      <c r="G48" s="41"/>
      <c r="H48" s="41"/>
    </row>
    <row r="49" spans="1:8" ht="39" customHeight="1">
      <c r="A49" s="67" t="s">
        <v>995</v>
      </c>
      <c r="B49" s="63" t="s">
        <v>996</v>
      </c>
      <c r="C49" s="41"/>
      <c r="D49" s="41"/>
      <c r="E49" s="41"/>
      <c r="F49" s="41"/>
      <c r="G49" s="41"/>
      <c r="H49" s="41"/>
    </row>
    <row r="50" spans="1:8" ht="102" customHeight="1">
      <c r="A50" s="67" t="s">
        <v>997</v>
      </c>
      <c r="B50" s="63" t="s">
        <v>998</v>
      </c>
      <c r="C50" s="41"/>
      <c r="D50" s="41"/>
      <c r="E50" s="41"/>
      <c r="F50" s="41"/>
      <c r="G50" s="41"/>
      <c r="H50" s="41"/>
    </row>
    <row r="51" spans="1:8" ht="90.75" customHeight="1">
      <c r="A51" s="67" t="s">
        <v>999</v>
      </c>
      <c r="B51" s="63" t="s">
        <v>1000</v>
      </c>
      <c r="C51" s="41"/>
      <c r="D51" s="41"/>
      <c r="E51" s="41"/>
      <c r="F51" s="41"/>
      <c r="G51" s="41"/>
      <c r="H51" s="41"/>
    </row>
    <row r="252" ht="13.15"/>
    <row r="253" ht="13.15"/>
    <row r="254" ht="13.15"/>
    <row r="255" ht="13.15"/>
    <row r="256" ht="13.15"/>
    <row r="257" ht="13.15"/>
    <row r="258" ht="13.15"/>
    <row r="259" ht="13.15"/>
    <row r="260" ht="13.15"/>
    <row r="261" ht="13.15"/>
    <row r="262" ht="13.15"/>
    <row r="263" ht="13.15"/>
    <row r="264" ht="13.15"/>
    <row r="265" ht="13.15"/>
    <row r="266" ht="13.15"/>
    <row r="267" ht="13.15"/>
    <row r="268" ht="13.15"/>
    <row r="269" ht="13.15"/>
    <row r="270" ht="13.15"/>
    <row r="271" ht="13.15"/>
    <row r="272" ht="13.15"/>
    <row r="273" ht="13.15"/>
    <row r="274" ht="13.15"/>
    <row r="275" ht="13.15"/>
    <row r="276" ht="13.15"/>
    <row r="277" ht="13.15"/>
    <row r="278" ht="13.15"/>
    <row r="279" ht="13.15"/>
    <row r="280" ht="13.15"/>
    <row r="281" ht="13.15"/>
    <row r="282" ht="13.15"/>
    <row r="283" ht="13.15"/>
    <row r="284" ht="13.15"/>
    <row r="285" ht="13.15"/>
    <row r="286" ht="13.15"/>
    <row r="287" ht="13.15"/>
    <row r="288" ht="13.15"/>
    <row r="289" ht="13.15"/>
    <row r="290" ht="13.15"/>
    <row r="291" ht="13.15"/>
    <row r="292" ht="13.15"/>
    <row r="293" ht="13.15"/>
    <row r="294" ht="13.15"/>
    <row r="295" ht="13.15"/>
    <row r="296" ht="13.15"/>
    <row r="297" ht="13.15"/>
    <row r="298" ht="13.15"/>
    <row r="299" ht="13.15"/>
    <row r="300" ht="13.15"/>
    <row r="301" ht="13.15"/>
    <row r="302" ht="13.15"/>
    <row r="303" ht="13.15"/>
    <row r="304" ht="13.15"/>
    <row r="305" ht="13.15"/>
    <row r="306" ht="13.15"/>
    <row r="307" ht="13.15"/>
    <row r="308" ht="13.15"/>
    <row r="309" ht="13.15"/>
    <row r="310" ht="13.15"/>
    <row r="311" ht="13.15"/>
    <row r="312" ht="13.15"/>
    <row r="313" ht="13.15"/>
    <row r="314" ht="13.15"/>
    <row r="315" ht="13.15"/>
    <row r="316" ht="13.15"/>
    <row r="317" ht="13.15"/>
    <row r="318" ht="13.15"/>
    <row r="319" ht="13.15"/>
    <row r="320" ht="13.15"/>
    <row r="321" ht="13.15"/>
    <row r="322" ht="13.15"/>
    <row r="323" ht="13.15"/>
    <row r="324" ht="13.15"/>
    <row r="325" ht="13.15"/>
    <row r="326" ht="13.15"/>
    <row r="327" ht="13.15"/>
    <row r="328" ht="13.15"/>
    <row r="329" ht="13.15"/>
    <row r="330" ht="13.15"/>
    <row r="331" ht="13.15"/>
    <row r="332" ht="13.15"/>
    <row r="333" ht="13.15"/>
    <row r="334" ht="13.15"/>
    <row r="335" ht="13.15"/>
    <row r="336" ht="13.15"/>
    <row r="337" ht="13.15"/>
    <row r="338" ht="13.15"/>
    <row r="339" ht="13.15"/>
    <row r="340" ht="13.15"/>
    <row r="341" ht="13.15"/>
    <row r="342" ht="13.15"/>
    <row r="343" ht="13.15"/>
    <row r="344" ht="13.15"/>
    <row r="345" ht="13.15"/>
    <row r="346" ht="13.15"/>
    <row r="347" ht="13.15"/>
    <row r="348" ht="13.15"/>
    <row r="349" ht="13.15"/>
    <row r="350" ht="13.15"/>
    <row r="351" ht="13.15"/>
    <row r="352" ht="13.15"/>
    <row r="353" ht="13.15"/>
    <row r="354" ht="13.15"/>
    <row r="355" ht="13.15"/>
    <row r="356" ht="13.15"/>
    <row r="357" ht="13.15"/>
    <row r="358" ht="13.15"/>
    <row r="359" ht="13.15"/>
    <row r="360" ht="13.15"/>
    <row r="361" ht="13.15"/>
    <row r="362" ht="13.15"/>
    <row r="363" ht="13.15"/>
    <row r="364" ht="13.15"/>
    <row r="365" ht="13.15"/>
    <row r="366" ht="13.15"/>
    <row r="367" ht="13.15"/>
    <row r="368" ht="13.15"/>
    <row r="369" ht="13.15"/>
    <row r="370" ht="13.15"/>
    <row r="371" ht="13.15"/>
    <row r="372" ht="13.15"/>
    <row r="373" ht="13.15"/>
    <row r="374" ht="13.15"/>
    <row r="375" ht="13.15"/>
    <row r="376" ht="13.15"/>
    <row r="377" ht="13.15"/>
    <row r="378" ht="13.15"/>
    <row r="379" ht="13.15"/>
    <row r="380" ht="13.15"/>
    <row r="381" ht="13.15"/>
    <row r="382" ht="13.15"/>
    <row r="383" ht="13.15"/>
    <row r="384" ht="13.15"/>
    <row r="385" ht="13.15"/>
    <row r="386" ht="13.15"/>
    <row r="387" ht="13.15"/>
    <row r="388" ht="13.15"/>
    <row r="389" ht="13.15"/>
    <row r="390" ht="13.15"/>
    <row r="391" ht="13.15"/>
    <row r="392" ht="13.15"/>
    <row r="393" ht="13.15"/>
    <row r="394" ht="13.15"/>
    <row r="395" ht="13.15"/>
    <row r="396" ht="13.15"/>
    <row r="397" ht="13.15"/>
    <row r="398" ht="13.15"/>
    <row r="399" ht="13.15"/>
    <row r="400" ht="13.15"/>
    <row r="401" ht="13.15"/>
    <row r="402" ht="13.15"/>
    <row r="403" ht="13.15"/>
    <row r="404" ht="13.15"/>
    <row r="405" ht="13.15"/>
    <row r="406" ht="13.15"/>
    <row r="407" ht="13.15"/>
    <row r="408" ht="13.15"/>
    <row r="409" ht="13.15"/>
    <row r="410" ht="13.15"/>
    <row r="411" ht="13.15"/>
    <row r="412" ht="13.15"/>
    <row r="413" ht="13.15"/>
    <row r="414" ht="13.15"/>
    <row r="415" ht="13.15"/>
    <row r="416" ht="13.15"/>
    <row r="417" ht="13.15"/>
    <row r="418" ht="13.15"/>
    <row r="419" ht="13.15"/>
    <row r="420" ht="13.15"/>
    <row r="421" ht="13.15"/>
    <row r="422" ht="13.15"/>
    <row r="423" ht="13.15"/>
    <row r="424" ht="13.15"/>
    <row r="425" ht="13.15"/>
    <row r="426" ht="13.15"/>
    <row r="427" ht="13.15"/>
    <row r="428" ht="13.15"/>
    <row r="429" ht="13.15"/>
    <row r="430" ht="13.15"/>
    <row r="431" ht="13.15"/>
    <row r="432" ht="13.15"/>
    <row r="433" ht="13.15"/>
    <row r="434" ht="13.15"/>
    <row r="435" ht="13.15"/>
    <row r="436" ht="13.15"/>
    <row r="437" ht="13.15"/>
    <row r="438" ht="13.15"/>
    <row r="439" ht="13.15"/>
    <row r="440" ht="13.15"/>
    <row r="441" ht="13.15"/>
    <row r="442" ht="13.15"/>
    <row r="443" ht="13.15"/>
    <row r="444" ht="13.15"/>
    <row r="445" ht="13.15"/>
    <row r="446" ht="13.15"/>
    <row r="447" ht="13.15"/>
    <row r="448" ht="13.15"/>
    <row r="449" ht="13.15"/>
    <row r="450" ht="13.15"/>
    <row r="451" ht="13.15"/>
    <row r="452" ht="13.15"/>
    <row r="453" ht="13.15"/>
    <row r="454" ht="13.15"/>
    <row r="455" ht="13.15"/>
    <row r="456" ht="13.15"/>
    <row r="457" ht="13.15"/>
    <row r="458" ht="13.15"/>
    <row r="459" ht="13.15"/>
    <row r="460" ht="13.15"/>
    <row r="461" ht="13.15"/>
    <row r="462" ht="13.15"/>
    <row r="463" ht="13.15"/>
    <row r="464" ht="13.15"/>
    <row r="465" ht="13.15"/>
    <row r="466" ht="13.15"/>
    <row r="467" ht="13.15"/>
    <row r="468" ht="13.15"/>
    <row r="469" ht="13.15"/>
    <row r="470" ht="13.15"/>
    <row r="471" ht="13.15"/>
    <row r="472" ht="13.15"/>
    <row r="473" ht="13.15"/>
    <row r="474" ht="13.15"/>
    <row r="475" ht="13.15"/>
    <row r="476" ht="13.15"/>
    <row r="477" ht="13.15"/>
    <row r="478" ht="13.15"/>
    <row r="479" ht="13.15"/>
    <row r="480" ht="13.15"/>
    <row r="481" ht="13.15"/>
    <row r="482" ht="13.15"/>
    <row r="483" ht="13.15"/>
    <row r="484" ht="13.15"/>
    <row r="485" ht="13.15"/>
    <row r="486" ht="13.15"/>
    <row r="487" ht="13.15"/>
    <row r="488" ht="13.15"/>
    <row r="489" ht="13.15"/>
    <row r="490" ht="13.15"/>
    <row r="491" ht="13.15"/>
    <row r="492" ht="13.15"/>
    <row r="493" ht="13.15"/>
    <row r="494" ht="13.15"/>
    <row r="495" ht="13.15"/>
    <row r="496" ht="13.15"/>
    <row r="497" ht="13.15"/>
    <row r="498" ht="13.15"/>
    <row r="499" ht="13.15"/>
    <row r="500" ht="13.15"/>
    <row r="501" ht="13.15"/>
    <row r="502" ht="13.15"/>
    <row r="503" ht="13.15"/>
    <row r="504" ht="13.15"/>
    <row r="505" ht="13.15"/>
    <row r="506" ht="13.15"/>
    <row r="507" ht="13.15"/>
    <row r="508" ht="13.15"/>
    <row r="509" ht="13.15"/>
    <row r="510" ht="13.15"/>
    <row r="511" ht="13.15"/>
    <row r="512" ht="13.15"/>
    <row r="513" ht="13.15"/>
    <row r="514" ht="13.15"/>
    <row r="515" ht="13.15"/>
    <row r="516" ht="13.15"/>
    <row r="517" ht="13.15"/>
    <row r="518" ht="13.15"/>
    <row r="519" ht="13.15"/>
    <row r="520" ht="13.15"/>
    <row r="521" ht="13.15"/>
    <row r="522" ht="13.15"/>
    <row r="523" ht="13.15"/>
    <row r="524" ht="13.15"/>
    <row r="525" ht="13.15"/>
    <row r="526" ht="13.15"/>
    <row r="527" ht="13.15"/>
    <row r="528" ht="13.15"/>
    <row r="529" ht="13.15"/>
    <row r="530" ht="13.15"/>
    <row r="531" ht="13.15"/>
    <row r="532" ht="13.15"/>
    <row r="533" ht="13.15"/>
    <row r="534" ht="13.15"/>
    <row r="535" ht="13.15"/>
    <row r="536" ht="13.15"/>
    <row r="537" ht="13.15"/>
    <row r="538" ht="13.15"/>
    <row r="539" ht="13.15"/>
    <row r="540" ht="13.15"/>
    <row r="541" ht="13.15"/>
    <row r="542" ht="13.15"/>
    <row r="543" ht="13.15"/>
    <row r="544" ht="13.15"/>
    <row r="545" ht="13.15"/>
    <row r="546" ht="13.15"/>
    <row r="547" ht="13.15"/>
    <row r="548" ht="13.15"/>
    <row r="549" ht="13.15"/>
    <row r="550" ht="13.15"/>
    <row r="551" ht="13.15"/>
    <row r="552" ht="13.15"/>
    <row r="553" ht="13.15"/>
    <row r="554" ht="13.15"/>
    <row r="555" ht="13.15"/>
    <row r="556" ht="13.15"/>
    <row r="557" ht="13.15"/>
    <row r="558" ht="13.15"/>
    <row r="559" ht="13.15"/>
    <row r="560" ht="13.15"/>
    <row r="561" ht="13.15"/>
    <row r="562" ht="13.15"/>
    <row r="563" ht="13.15"/>
    <row r="564" ht="13.15"/>
    <row r="565" ht="13.15"/>
    <row r="566" ht="13.15"/>
    <row r="567" ht="13.15"/>
    <row r="568" ht="13.15"/>
    <row r="569" ht="13.15"/>
    <row r="570" ht="13.15"/>
    <row r="571" ht="13.15"/>
    <row r="572" ht="13.15"/>
    <row r="573" ht="13.15"/>
    <row r="574" ht="13.15"/>
    <row r="575" ht="13.15"/>
    <row r="576" ht="13.15"/>
    <row r="577" ht="13.15"/>
    <row r="578" ht="13.15"/>
    <row r="579" ht="13.15"/>
    <row r="580" ht="13.15"/>
    <row r="581" ht="13.15"/>
    <row r="582" ht="13.15"/>
    <row r="583" ht="13.15"/>
    <row r="584" ht="13.15"/>
    <row r="585" ht="13.15"/>
    <row r="586" ht="13.15"/>
    <row r="587" ht="13.15"/>
    <row r="588" ht="13.15"/>
    <row r="589" ht="13.15"/>
    <row r="590" ht="13.15"/>
    <row r="591" ht="13.15"/>
    <row r="592" ht="13.15"/>
    <row r="593" ht="13.15"/>
    <row r="594" ht="13.15"/>
    <row r="595" ht="13.15"/>
    <row r="596" ht="13.15"/>
    <row r="597" ht="13.15"/>
    <row r="598" ht="13.15"/>
    <row r="599" ht="13.15"/>
    <row r="600" ht="13.15"/>
    <row r="601" ht="13.15"/>
    <row r="602" ht="13.15"/>
    <row r="603" ht="13.15"/>
    <row r="604" ht="13.15"/>
    <row r="605" ht="13.15"/>
    <row r="606" ht="13.15"/>
    <row r="607" ht="13.15"/>
    <row r="608" ht="13.15"/>
    <row r="609" ht="13.15"/>
    <row r="610" ht="13.15"/>
    <row r="611" ht="13.15"/>
    <row r="612" ht="13.15"/>
    <row r="613" ht="13.15"/>
    <row r="614" ht="13.15"/>
    <row r="615" ht="13.15"/>
    <row r="616" ht="13.15"/>
    <row r="617" ht="13.15"/>
    <row r="618" ht="13.15"/>
    <row r="619" ht="13.15"/>
    <row r="620" ht="13.15"/>
    <row r="621" ht="13.15"/>
    <row r="622" ht="13.15"/>
    <row r="623" ht="13.15"/>
    <row r="624" ht="13.15"/>
    <row r="625" ht="13.15"/>
    <row r="626" ht="13.15"/>
    <row r="627" ht="13.15"/>
    <row r="628" ht="13.15"/>
    <row r="629" ht="13.15"/>
    <row r="630" ht="13.15"/>
    <row r="631" ht="13.15"/>
    <row r="632" ht="13.15"/>
    <row r="633" ht="13.15"/>
    <row r="634" ht="13.15"/>
    <row r="635" ht="13.15"/>
    <row r="636" ht="13.15"/>
    <row r="637" ht="13.15"/>
    <row r="638" ht="13.15"/>
    <row r="639" ht="13.15"/>
    <row r="640" ht="13.15"/>
    <row r="641" ht="13.15"/>
    <row r="642" ht="13.15"/>
    <row r="643" ht="13.15"/>
    <row r="644" ht="13.15"/>
    <row r="645" ht="13.15"/>
    <row r="646" ht="13.15"/>
    <row r="647" ht="13.15"/>
    <row r="648" ht="13.15"/>
    <row r="649" ht="13.15"/>
    <row r="650" ht="13.15"/>
    <row r="651" ht="13.15"/>
    <row r="652" ht="13.15"/>
    <row r="653" ht="13.15"/>
    <row r="654" ht="13.15"/>
    <row r="655" ht="13.15"/>
    <row r="656" ht="13.15"/>
    <row r="657" ht="13.15"/>
    <row r="658" ht="13.15"/>
    <row r="659" ht="13.15"/>
    <row r="660" ht="13.15"/>
    <row r="661" ht="13.15"/>
    <row r="662" ht="13.15"/>
    <row r="663" ht="13.15"/>
    <row r="664" ht="13.15"/>
    <row r="665" ht="13.15"/>
    <row r="666" ht="13.15"/>
    <row r="667" ht="13.15"/>
    <row r="668" ht="13.15"/>
    <row r="669" ht="13.15"/>
    <row r="670" ht="13.15"/>
    <row r="671" ht="13.15"/>
    <row r="672" ht="13.15"/>
    <row r="673" ht="13.15"/>
    <row r="674" ht="13.15"/>
    <row r="675" ht="13.15"/>
    <row r="676" ht="13.15"/>
    <row r="677" ht="13.15"/>
    <row r="678" ht="13.15"/>
    <row r="679" ht="13.15"/>
    <row r="680" ht="13.15"/>
    <row r="681" ht="13.15"/>
    <row r="682" ht="13.15"/>
    <row r="683" ht="13.15"/>
    <row r="684" ht="13.15"/>
    <row r="685" ht="13.15"/>
    <row r="686" ht="13.15"/>
    <row r="687" ht="13.15"/>
    <row r="688" ht="13.15"/>
    <row r="689" ht="13.15"/>
    <row r="690" ht="13.15"/>
    <row r="691" ht="13.15"/>
    <row r="692" ht="13.15"/>
    <row r="693" ht="13.15"/>
    <row r="694" ht="13.15"/>
    <row r="695" ht="13.15"/>
    <row r="696" ht="13.15"/>
    <row r="697" ht="13.15"/>
    <row r="698" ht="13.15"/>
    <row r="699" ht="13.15"/>
    <row r="700" ht="13.15"/>
    <row r="701" ht="13.15"/>
    <row r="702" ht="13.15"/>
    <row r="703" ht="13.15"/>
    <row r="704" ht="13.15"/>
    <row r="705" ht="13.15"/>
    <row r="706" ht="13.15"/>
    <row r="707" ht="13.15"/>
    <row r="708" ht="13.15"/>
    <row r="709" ht="13.15"/>
    <row r="710" ht="13.15"/>
    <row r="711" ht="13.15"/>
    <row r="712" ht="13.15"/>
    <row r="713" ht="13.15"/>
    <row r="714" ht="13.15"/>
    <row r="715" ht="13.15"/>
    <row r="716" ht="13.15"/>
    <row r="717" ht="13.15"/>
    <row r="718" ht="13.15"/>
    <row r="719" ht="13.15"/>
    <row r="720" ht="13.15"/>
    <row r="721" ht="13.15"/>
    <row r="722" ht="13.15"/>
    <row r="723" ht="13.15"/>
    <row r="724" ht="13.15"/>
    <row r="725" ht="13.15"/>
    <row r="726" ht="13.15"/>
    <row r="727" ht="13.15"/>
    <row r="728" ht="13.15"/>
    <row r="729" ht="13.15"/>
    <row r="730" ht="13.15"/>
    <row r="731" ht="13.15"/>
    <row r="732" ht="13.15"/>
    <row r="733" ht="13.15"/>
    <row r="734" ht="13.15"/>
    <row r="735" ht="13.15"/>
    <row r="736" ht="13.15"/>
    <row r="737" ht="13.15"/>
    <row r="738" ht="13.15"/>
    <row r="739" ht="13.15"/>
    <row r="740" ht="13.15"/>
    <row r="741" ht="13.15"/>
    <row r="742" ht="13.15"/>
    <row r="743" ht="13.15"/>
    <row r="744" ht="13.15"/>
    <row r="745" ht="13.15"/>
    <row r="746" ht="13.15"/>
    <row r="747" ht="13.15"/>
    <row r="748" ht="13.15"/>
    <row r="749" ht="13.15"/>
    <row r="750" ht="13.15"/>
    <row r="751" ht="13.15"/>
    <row r="752" ht="13.15"/>
    <row r="753" ht="13.15"/>
    <row r="754" ht="13.15"/>
    <row r="755" ht="13.15"/>
    <row r="756" ht="13.15"/>
    <row r="757" ht="13.15"/>
    <row r="758" ht="13.15"/>
    <row r="759" ht="13.15"/>
    <row r="760" ht="13.15"/>
    <row r="761" ht="13.15"/>
    <row r="762" ht="13.15"/>
    <row r="763" ht="13.15"/>
    <row r="764" ht="13.15"/>
    <row r="765" ht="13.15"/>
    <row r="766" ht="13.15"/>
    <row r="767" ht="13.15"/>
    <row r="768" ht="13.15"/>
    <row r="769" ht="13.15"/>
    <row r="770" ht="13.15"/>
    <row r="771" ht="13.15"/>
    <row r="772" ht="13.15"/>
    <row r="773" ht="13.15"/>
    <row r="774" ht="13.15"/>
    <row r="775" ht="13.15"/>
    <row r="776" ht="13.15"/>
    <row r="777" ht="13.15"/>
    <row r="778" ht="13.15"/>
    <row r="779" ht="13.15"/>
    <row r="780" ht="13.15"/>
    <row r="781" ht="13.15"/>
    <row r="782" ht="13.15"/>
    <row r="783" ht="13.15"/>
    <row r="784" ht="13.15"/>
    <row r="785" ht="13.15"/>
    <row r="786" ht="13.15"/>
    <row r="787" ht="13.15"/>
    <row r="788" ht="13.15"/>
    <row r="789" ht="13.15"/>
    <row r="790" ht="13.15"/>
    <row r="791" ht="13.15"/>
    <row r="792" ht="13.15"/>
    <row r="793" ht="13.15"/>
    <row r="794" ht="13.15"/>
    <row r="795" ht="13.15"/>
    <row r="796" ht="13.15"/>
    <row r="797" ht="13.15"/>
    <row r="798" ht="13.15"/>
    <row r="799" ht="13.15"/>
    <row r="800" ht="13.15"/>
    <row r="801" ht="13.15"/>
    <row r="802" ht="13.15"/>
    <row r="803" ht="13.15"/>
    <row r="804" ht="13.15"/>
    <row r="805" ht="13.15"/>
    <row r="806" ht="13.15"/>
    <row r="807" ht="13.15"/>
    <row r="808" ht="13.15"/>
    <row r="809" ht="13.15"/>
    <row r="810" ht="13.15"/>
    <row r="811" ht="13.15"/>
    <row r="812" ht="13.15"/>
    <row r="813" ht="13.15"/>
    <row r="814" ht="13.15"/>
    <row r="815" ht="13.15"/>
    <row r="816" ht="13.15"/>
    <row r="817" ht="13.15"/>
    <row r="818" ht="13.15"/>
    <row r="819" ht="13.15"/>
    <row r="820" ht="13.15"/>
    <row r="821" ht="13.15"/>
    <row r="822" ht="13.15"/>
    <row r="823" ht="13.15"/>
    <row r="824" ht="13.15"/>
    <row r="825" ht="13.15"/>
    <row r="826" ht="13.15"/>
    <row r="827" ht="13.15"/>
    <row r="828" ht="13.15"/>
    <row r="829" ht="13.15"/>
    <row r="830" ht="13.15"/>
    <row r="831" ht="13.15"/>
    <row r="832" ht="13.15"/>
    <row r="833" ht="13.15"/>
    <row r="834" ht="13.15"/>
    <row r="835" ht="13.15"/>
    <row r="836" ht="13.15"/>
    <row r="837" ht="13.15"/>
    <row r="838" ht="13.15"/>
    <row r="839" ht="13.15"/>
    <row r="840" ht="13.15"/>
    <row r="841" ht="13.15"/>
    <row r="842" ht="13.15"/>
    <row r="843" ht="13.15"/>
    <row r="844" ht="13.15"/>
    <row r="845" ht="13.15"/>
    <row r="846" ht="13.15"/>
    <row r="847" ht="13.15"/>
    <row r="848" ht="13.15"/>
    <row r="849" ht="13.15"/>
    <row r="850" ht="13.15"/>
    <row r="851" ht="13.15"/>
    <row r="852" ht="13.15"/>
    <row r="853" ht="13.15"/>
    <row r="854" ht="13.15"/>
    <row r="855" ht="13.15"/>
    <row r="856" ht="13.15"/>
    <row r="857" ht="13.15"/>
    <row r="858" ht="13.15"/>
    <row r="859" ht="13.15"/>
    <row r="860" ht="13.15"/>
    <row r="861" ht="13.15"/>
    <row r="862" ht="13.15"/>
    <row r="863" ht="13.15"/>
    <row r="864" ht="13.15"/>
    <row r="865" ht="13.15"/>
    <row r="866" ht="13.15"/>
    <row r="867" ht="13.15"/>
    <row r="868" ht="13.15"/>
    <row r="869" ht="13.15"/>
    <row r="870" ht="13.15"/>
    <row r="871" ht="13.15"/>
    <row r="872" ht="13.15"/>
    <row r="873" ht="13.15"/>
    <row r="874" ht="13.15"/>
    <row r="875" ht="13.15"/>
    <row r="876" ht="13.15"/>
    <row r="877" ht="13.15"/>
    <row r="878" ht="13.15"/>
    <row r="879" ht="13.15"/>
    <row r="880" ht="13.15"/>
    <row r="881" ht="13.15"/>
    <row r="882" ht="13.15"/>
    <row r="883" ht="13.15"/>
    <row r="884" ht="13.15"/>
    <row r="885" ht="13.15"/>
    <row r="886" ht="13.15"/>
    <row r="887" ht="13.15"/>
    <row r="888" ht="13.15"/>
    <row r="889" ht="13.15"/>
    <row r="890" ht="13.15"/>
    <row r="891" ht="13.15"/>
    <row r="892" ht="13.15"/>
    <row r="893" ht="13.15"/>
    <row r="894" ht="13.15"/>
    <row r="895" ht="13.15"/>
    <row r="896" ht="13.15"/>
    <row r="897" ht="13.15"/>
    <row r="898" ht="13.15"/>
    <row r="899" ht="13.15"/>
    <row r="900" ht="13.15"/>
    <row r="901" ht="13.15"/>
    <row r="902" ht="13.15"/>
    <row r="903" ht="13.15"/>
    <row r="904" ht="13.15"/>
    <row r="905" ht="13.15"/>
    <row r="906" ht="13.15"/>
    <row r="907" ht="13.15"/>
    <row r="908" ht="13.15"/>
    <row r="909" ht="13.15"/>
    <row r="910" ht="13.15"/>
    <row r="911" ht="13.15"/>
    <row r="912" ht="13.15"/>
    <row r="913" ht="13.15"/>
    <row r="914" ht="13.15"/>
    <row r="915" ht="13.15"/>
    <row r="916" ht="13.15"/>
    <row r="917" ht="13.15"/>
    <row r="918" ht="13.15"/>
    <row r="919" ht="13.15"/>
    <row r="920" ht="13.15"/>
    <row r="921" ht="13.15"/>
    <row r="922" ht="13.15"/>
    <row r="923" ht="13.15"/>
    <row r="924" ht="13.15"/>
    <row r="925" ht="13.15"/>
    <row r="926" ht="13.15"/>
    <row r="927" ht="13.15"/>
    <row r="928" ht="13.15"/>
    <row r="929" ht="13.15"/>
    <row r="930" ht="13.15"/>
    <row r="931" ht="13.15"/>
    <row r="932" ht="13.15"/>
    <row r="933" ht="13.15"/>
    <row r="934" ht="13.15"/>
    <row r="935" ht="13.15"/>
    <row r="936" ht="13.15"/>
    <row r="937" ht="13.15"/>
    <row r="938" ht="13.15"/>
    <row r="939" ht="13.15"/>
    <row r="940" ht="13.15"/>
    <row r="941" ht="13.15"/>
    <row r="942" ht="13.15"/>
    <row r="943" ht="13.15"/>
    <row r="944" ht="13.15"/>
    <row r="945" ht="13.15"/>
    <row r="946" ht="13.15"/>
    <row r="947" ht="13.15"/>
    <row r="948" ht="13.15"/>
    <row r="949" ht="13.15"/>
    <row r="950" ht="13.15"/>
    <row r="951" ht="13.15"/>
    <row r="952" ht="13.15"/>
    <row r="953" ht="13.15"/>
    <row r="954" ht="13.15"/>
    <row r="955" ht="13.15"/>
    <row r="956" ht="13.15"/>
    <row r="957" ht="13.15"/>
    <row r="958" ht="13.15"/>
    <row r="959" ht="13.15"/>
    <row r="960" ht="13.15"/>
    <row r="961" ht="13.15"/>
    <row r="962" ht="13.15"/>
    <row r="963" ht="13.15"/>
    <row r="964" ht="13.15"/>
    <row r="965" ht="13.15"/>
    <row r="966" ht="13.15"/>
    <row r="967" ht="13.15"/>
    <row r="968" ht="13.15"/>
    <row r="969" ht="13.15"/>
    <row r="970" ht="13.15"/>
    <row r="971" ht="13.15"/>
    <row r="972" ht="13.15"/>
    <row r="973" ht="13.15"/>
    <row r="974" ht="13.15"/>
    <row r="975" ht="13.15"/>
    <row r="976" ht="13.15"/>
    <row r="977" ht="13.15"/>
    <row r="978" ht="13.15"/>
    <row r="979" ht="13.15"/>
    <row r="980" ht="13.15"/>
    <row r="981" ht="13.15"/>
    <row r="982" ht="13.15"/>
    <row r="983" ht="13.15"/>
    <row r="984" ht="13.15"/>
    <row r="985" ht="13.15"/>
    <row r="986" ht="13.15"/>
    <row r="987" ht="13.15"/>
    <row r="988" ht="13.15"/>
    <row r="989" ht="13.15"/>
    <row r="990" ht="13.15"/>
    <row r="991" ht="13.15"/>
    <row r="992" ht="13.15"/>
    <row r="993" ht="13.15"/>
    <row r="994" ht="13.15"/>
    <row r="995" ht="13.15"/>
    <row r="996" ht="13.15"/>
    <row r="997" ht="13.15"/>
    <row r="998" ht="13.15"/>
    <row r="999" ht="13.15"/>
    <row r="1000" ht="13.15"/>
  </sheetData>
  <mergeCells count="2">
    <mergeCell ref="L10:L15"/>
    <mergeCell ref="G15:K15"/>
  </mergeCells>
  <pageMargins left="0.7" right="0.7" top="0.75" bottom="0.75" header="0" footer="0"/>
  <pageSetup paperSize="9" orientation="landscape"/>
  <tableParts count="10">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27"/>
  <sheetViews>
    <sheetView workbookViewId="0"/>
  </sheetViews>
  <sheetFormatPr defaultColWidth="12.7109375" defaultRowHeight="15.75" customHeight="1"/>
  <cols>
    <col min="1" max="1" width="37.7109375" customWidth="1"/>
  </cols>
  <sheetData>
    <row r="1" spans="1:1">
      <c r="A1" s="1"/>
    </row>
    <row r="27" spans="1:1">
      <c r="A27" s="68"/>
    </row>
  </sheetData>
  <printOptions horizontalCentered="1" gridLines="1"/>
  <pageMargins left="0.7" right="0.7" top="0.75" bottom="0.75" header="0" footer="0"/>
  <pageSetup paperSize="9"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AMBROS Iulius-Stefan</cp:lastModifiedBy>
  <cp:revision/>
  <dcterms:created xsi:type="dcterms:W3CDTF">2025-01-29T15:33:49Z</dcterms:created>
  <dcterms:modified xsi:type="dcterms:W3CDTF">2025-07-07T15:52:51Z</dcterms:modified>
  <cp:category/>
  <cp:contentStatus/>
</cp:coreProperties>
</file>