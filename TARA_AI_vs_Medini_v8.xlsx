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RA strict intersection" sheetId="1" state="visible" r:id="rId3"/>
    <sheet name="AI threat scenarios" sheetId="2" state="visible" r:id="rId4"/>
    <sheet name="Rare findings (1-2 models)" sheetId="3" state="visible" r:id="rId5"/>
    <sheet name="Risk summary" sheetId="4" state="visible" r:id="rId6"/>
    <sheet name="Medini threats" sheetId="5" state="visible" r:id="rId7"/>
    <sheet name="Mapping" sheetId="6" state="visible" r:id="rId8"/>
    <sheet name="Comparison" sheetId="7" state="visible" r:id="rId9"/>
    <sheet name="Reference" sheetId="8" state="visible" r:id="rId10"/>
    <sheet name="How to use" sheetId="9" state="visible" r:id="rId11"/>
  </sheets>
  <definedNames>
    <definedName function="false" hidden="true" localSheetId="1" name="_xlnm._FilterDatabase" vbProcedure="false">'AI threat scenarios'!$A$1:$X$44</definedName>
    <definedName function="false" hidden="true" localSheetId="5" name="_xlnm._FilterDatabase" vbProcedure="false">Mapping!$A$1:$I$44</definedName>
    <definedName function="false" hidden="true" localSheetId="4" name="_xlnm._FilterDatabase" vbProcedure="false">'Medini threats'!$A$1:$Q$226</definedName>
    <definedName function="false" hidden="true" localSheetId="2" name="_xlnm._FilterDatabase" vbProcedure="false">'Rare findings (1-2 models)'!$A$1:$X$14</definedName>
    <definedName function="false" hidden="true" localSheetId="0" name="_xlnm._FilterDatabase" vbProcedure="false">'TARA strict intersection'!$A$1:$X$23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<sst xmlns="http://schemas.openxmlformats.org/spreadsheetml/2006/main" count="4059" uniqueCount="1556">
  <si>
    <t xml:space="preserve">Asset</t>
  </si>
  <si>
    <t xml:space="preserve">Threat type</t>
  </si>
  <si>
    <t xml:space="preserve">Security Attribute</t>
  </si>
  <si>
    <t xml:space="preserve">Damage Scenario</t>
  </si>
  <si>
    <t xml:space="preserve">Attack Path</t>
  </si>
  <si>
    <t xml:space="preserve">Attack vector</t>
  </si>
  <si>
    <t xml:space="preserve">Attack Vector Note / Motiv</t>
  </si>
  <si>
    <t xml:space="preserve">Safety Impact</t>
  </si>
  <si>
    <t xml:space="preserve">Safety Note / Motiv</t>
  </si>
  <si>
    <t xml:space="preserve">Financial Impact</t>
  </si>
  <si>
    <t xml:space="preserve">Financial Note / Motiv</t>
  </si>
  <si>
    <t xml:space="preserve">Operational Impact</t>
  </si>
  <si>
    <t xml:space="preserve">Operational Note / Motiv</t>
  </si>
  <si>
    <t xml:space="preserve">Privacy and Legislative Impact</t>
  </si>
  <si>
    <t xml:space="preserve">Privacy Note / Motiv</t>
  </si>
  <si>
    <t xml:space="preserve">Severity Level</t>
  </si>
  <si>
    <t xml:space="preserve">Feasibility Level</t>
  </si>
  <si>
    <t xml:space="preserve">Risk Value</t>
  </si>
  <si>
    <t xml:space="preserve">Treatment Options</t>
  </si>
  <si>
    <t xml:space="preserve">Measures</t>
  </si>
  <si>
    <t xml:space="preserve">Affected Design Elements</t>
  </si>
  <si>
    <t xml:space="preserve">Justification (Treatment)</t>
  </si>
  <si>
    <t xml:space="preserve">Cybersecurity Goals</t>
  </si>
  <si>
    <t xml:space="preserve">Medini threat ID</t>
  </si>
  <si>
    <t xml:space="preserve">s</t>
  </si>
  <si>
    <t xml:space="preserve">f</t>
  </si>
  <si>
    <t xml:space="preserve">o</t>
  </si>
  <si>
    <t xml:space="preserve">p</t>
  </si>
  <si>
    <t xml:space="preserve">impact</t>
  </si>
  <si>
    <t xml:space="preserve">feasibility val</t>
  </si>
  <si>
    <t xml:space="preserve">Risk score</t>
  </si>
  <si>
    <t xml:space="preserve">Theme, agreement and source</t>
  </si>
  <si>
    <t xml:space="preserve">1. Cameras (mono + stereo)</t>
  </si>
  <si>
    <t xml:space="preserve">Spoofing</t>
  </si>
  <si>
    <t xml:space="preserve">Authenticity</t>
  </si>
  <si>
    <t xml:space="preserve">Fabricated or replayed images reach the detection pipeline, either through a forged stream injected on the camera link or through a rogue camera node, so the system perceives an accident that does not exist or fails to see a real one.</t>
  </si>
  <si>
    <t xml:space="preserve">The attacker reaches the camera link on the roadside network, for example through the camera management interface or a network tap, and replaces the stream sent to the computing unit.</t>
  </si>
  <si>
    <t xml:space="preserve">Adjacent</t>
  </si>
  <si>
    <t xml:space="preserve">The camera stream travels on the roadside network segment; the attacker needs a foothold there, not physical access to the optics.</t>
  </si>
  <si>
    <t xml:space="preserve">Major</t>
  </si>
  <si>
    <t xml:space="preserve">A fabricated accident triggers unnecessary emergency braking; a suppressed real accident removes the warning that should prevent a secondary collision (S2).</t>
  </si>
  <si>
    <t xml:space="preserve">Moderate</t>
  </si>
  <si>
    <t xml:space="preserve">Investigation and remediation costs; liability only if a collision follows.</t>
  </si>
  <si>
    <t xml:space="preserve">The perception input of the whole chain is untrusted, so every warning from this station must be questioned.</t>
  </si>
  <si>
    <t xml:space="preserve">Negligible</t>
  </si>
  <si>
    <t xml:space="preserve">The injected stream itself contains no personal data of real road users.</t>
  </si>
  <si>
    <t xml:space="preserve">Mitigation</t>
  </si>
  <si>
    <t xml:space="preserve">Authenticate and encrypt the camera stream (for example RTSP over TLS with client certificates), segment the camera VLAN, monitor stream continuity and timestamps, detect frozen or repeated frames.</t>
  </si>
  <si>
    <t xml:space="preserve">Cameras, roadside network, computing unit input stage (Steps 1-2).</t>
  </si>
  <si>
    <t xml:space="preserve">The detection chain trusts its sensor input implicitly; without stream authentication every downstream control can be bypassed at the source.</t>
  </si>
  <si>
    <t xml:space="preserve">Authenticity, Integrity.</t>
  </si>
  <si>
    <t xml:space="preserve">T004</t>
  </si>
  <si>
    <t xml:space="preserve">Raised by all six model outputs; medini T004 (Mono + Stereo | Spoofing); copied from row 9 of the full analysis</t>
  </si>
  <si>
    <t xml:space="preserve">Tampering</t>
  </si>
  <si>
    <t xml:space="preserve">Integrity</t>
  </si>
  <si>
    <t xml:space="preserve">The camera is re-aimed, or its stored position and orientation are changed, so the event location computed for the DENM no longer matches reality and warnings are sent for the wrong road section.</t>
  </si>
  <si>
    <t xml:space="preserve">Physical access to the pole, or modification of the camera configuration stored on the computing unit.</t>
  </si>
  <si>
    <t xml:space="preserve">Physical</t>
  </si>
  <si>
    <t xml:space="preserve">Turning the camera requires presence at the installation; the configuration variant would be Adjacent.</t>
  </si>
  <si>
    <t xml:space="preserve">Drivers are warned about a hazard at a place where there is none, and the real hazard stays unannounced (S2).</t>
  </si>
  <si>
    <t xml:space="preserve">Site visit, recalibration and investigation.</t>
  </si>
  <si>
    <t xml:space="preserve">Every warning from this station points at the wrong location until the pose is restored.</t>
  </si>
  <si>
    <t xml:space="preserve">No personal data is affected.</t>
  </si>
  <si>
    <t xml:space="preserve">Tamper-resistant mounting, automatic detection of view changes against a reference image, signed and monitored calibration data, alarm to the operator on deviation.</t>
  </si>
  <si>
    <t xml:space="preserve">Camera mounting, calibration data on the computing unit, monitoring.</t>
  </si>
  <si>
    <t xml:space="preserve">Cheap for an attacker and easy to miss, because the system keeps producing plausible messages.</t>
  </si>
  <si>
    <t xml:space="preserve">Integrity, Authenticity.</t>
  </si>
  <si>
    <t xml:space="preserve">T002</t>
  </si>
  <si>
    <t xml:space="preserve">Raised by all six model outputs; medini T002 (Mono + Stereo | Tampering); copied from row 24 of the full analysis</t>
  </si>
  <si>
    <t xml:space="preserve">Denial of service</t>
  </si>
  <si>
    <t xml:space="preserve">Availability</t>
  </si>
  <si>
    <t xml:space="preserve">The camera is blinded with a laser or strong light, covered, sprayed, misaligned or disconnected, so accidents in its field of view are never detected and no warning is issued.</t>
  </si>
  <si>
    <t xml:space="preserve">The attacker reaches the pole or illuminates the camera from the roadside; power or network cables can also be cut.</t>
  </si>
  <si>
    <t xml:space="preserve">Physical presence at the roadside installation is required.</t>
  </si>
  <si>
    <t xml:space="preserve">A real accident stays unannounced, so approaching drivers are not warned and secondary collisions are not prevented (S2).</t>
  </si>
  <si>
    <t xml:space="preserve">Repair or replacement of the unit and a site visit.</t>
  </si>
  <si>
    <t xml:space="preserve">Severe</t>
  </si>
  <si>
    <t xml:space="preserve">The core function of the roadside station is lost for the affected field of view until the camera is restored.</t>
  </si>
  <si>
    <t xml:space="preserve">No personal data is disclosed.</t>
  </si>
  <si>
    <t xml:space="preserve">Tamper-resistant mounting and housing, monitoring of stream health, brightness and alignment, automatic alarm to the operator when the view changes or the feed stops, redundant camera coverage at critical sites.</t>
  </si>
  <si>
    <t xml:space="preserve">Camera hardware and mounting, computing unit health monitoring, operator back-end alerting.</t>
  </si>
  <si>
    <t xml:space="preserve">Detection of the failure matters more than prevention: the operator must know that the site is blind.</t>
  </si>
  <si>
    <t xml:space="preserve">Availability, Integrity.</t>
  </si>
  <si>
    <t xml:space="preserve">T003</t>
  </si>
  <si>
    <t xml:space="preserve">Raised by all six model outputs; medini T003 (Mono + Stereo | Denial of Service); copied from row 14 of the full analysis</t>
  </si>
  <si>
    <t xml:space="preserve">8. DENM encoder (ASN.1 UPER payload)</t>
  </si>
  <si>
    <t xml:space="preserve">The encoder software or its ASN.1 definitions are modified, so the station produces syntactically valid messages whose meaning differs from the detected event.</t>
  </si>
  <si>
    <t xml:space="preserve">Access to the computing unit through the roadside network or an unsigned update, followed by modification of the encoder or its schema files.</t>
  </si>
  <si>
    <t xml:space="preserve">Access to the roadside network segment or to the update path is required.</t>
  </si>
  <si>
    <t xml:space="preserve">Every message of the station carries altered content while appearing correct (S2).</t>
  </si>
  <si>
    <t xml:space="preserve">Liability and the effort of verifying all deployed stations.</t>
  </si>
  <si>
    <t xml:space="preserve">The station keeps operating while producing wrong messages, which is harder to detect than an outage.</t>
  </si>
  <si>
    <t xml:space="preserve">Signed software and schema files, integrity verification at start-up, read-only deployment, comparison of encoded output against the agent output before signing.</t>
  </si>
  <si>
    <t xml:space="preserve">Computing unit software, ASN.1 schema files, update pipeline (Step 8).</t>
  </si>
  <si>
    <t xml:space="preserve">Together with the model file row, this covers the software supply chain of the roadside station.</t>
  </si>
  <si>
    <t xml:space="preserve">T098</t>
  </si>
  <si>
    <t xml:space="preserve">Raised by all six model outputs; medini T098 (ASN.1 UPER payload | Tampering); copied from row 29 of the full analysis</t>
  </si>
  <si>
    <t xml:space="preserve">9. RSU (PC5 radio, signing keys in HSM)</t>
  </si>
  <si>
    <t xml:space="preserve">A rogue roadside device broadcasts DENMs that claim to originate from the legitimate RSU, announcing an accident that does not exist or cancelling a real one. Every vehicle in radio range shows a false hazard warning to the driver.</t>
  </si>
  <si>
    <t xml:space="preserve">The attacker operates a C-V2X radio inside the coverage area and either holds valid ITS credentials (stolen, extracted or issued to a rogue node) or exploits receivers that do not verify message signatures.</t>
  </si>
  <si>
    <t xml:space="preserve">Network</t>
  </si>
  <si>
    <t xml:space="preserve">The attack is carried out over the PC5 sidelink; no physical access to the roadside station is needed, only presence in the radio coverage area.</t>
  </si>
  <si>
    <t xml:space="preserve">A false accident warning at motorway speed can trigger hard braking and rear-end collisions; injuries are severe but survival is probable (S2).</t>
  </si>
  <si>
    <t xml:space="preserve">Liability claims after a provoked collision, incident response costs and possible suspension of the warning service in the affected area.</t>
  </si>
  <si>
    <t xml:space="preserve">The hazard warning function becomes untrustworthy and the operator may have to disable it locally until the source is identified.</t>
  </si>
  <si>
    <t xml:space="preserve">The forged message carries no personal data of road users.</t>
  </si>
  <si>
    <t xml:space="preserve">Verify IEEE 1609.2 / ETSI TS 103 097 signatures and certificate permissions in the OBU before a warning is displayed; plausibility and misbehaviour detection (position, cause code, event history); revocation of misbehaving certificates.</t>
  </si>
  <si>
    <t xml:space="preserve">RSU signing chain, OBU verification stack, PKI trust list, vehicle warning logic (Step 12).</t>
  </si>
  <si>
    <t xml:space="preserve">The scenario cannot be avoided, because receiving DENMs is the purpose of the function; mitigation through authentication and misbehaviour detection is the only practical option.</t>
  </si>
  <si>
    <t xml:space="preserve">Authenticity, Integrity, Non-repudiation.</t>
  </si>
  <si>
    <t xml:space="preserve">T115</t>
  </si>
  <si>
    <t xml:space="preserve">Raised by all six model outputs; medini T115 (Signs, PC5, HSM | Spoofing); copied from row 1 of the full analysis</t>
  </si>
  <si>
    <t xml:space="preserve">9. RSU (firmware and configuration)</t>
  </si>
  <si>
    <t xml:space="preserve">The firmware or the configuration of the roadside unit is modified, so it alters, drops or re-orders the messages it signs and broadcasts while continuing to appear operational.</t>
  </si>
  <si>
    <t xml:space="preserve">Access to the management interface of the unit over the operator network, using default or weak credentials, or an unsigned firmware update.</t>
  </si>
  <si>
    <t xml:space="preserve">The management services of the unit are reachable over the network; no physical access is required.</t>
  </si>
  <si>
    <t xml:space="preserve">The content broadcast to every vehicle in range no longer corresponds to the detected event (S2).</t>
  </si>
  <si>
    <t xml:space="preserve">Liability for a resulting collision and verification of every deployed unit.</t>
  </si>
  <si>
    <t xml:space="preserve">The station keeps running while producing manipulated output, which is harder to detect than an outage.</t>
  </si>
  <si>
    <t xml:space="preserve">Signed firmware and configuration, secure boot, removal of default credentials, management access only from a dedicated network, integrity monitoring and alerting on configuration change.</t>
  </si>
  <si>
    <t xml:space="preserve">RSU firmware and configuration, operator management network, update process (Step 9).</t>
  </si>
  <si>
    <t xml:space="preserve">Distinct from the privilege escalation row: here the unit is reconfigured, there the attacker uses its signing key directly.</t>
  </si>
  <si>
    <t xml:space="preserve">T113</t>
  </si>
  <si>
    <t xml:space="preserve">Raised by all six model outputs; medini T113 (Signs, PC5, HSM | Tampering); written for this sheet</t>
  </si>
  <si>
    <t xml:space="preserve">9. RSU signing keys (HSM)</t>
  </si>
  <si>
    <t xml:space="preserve">Information disclosure</t>
  </si>
  <si>
    <t xml:space="preserve">Confidentiality</t>
  </si>
  <si>
    <t xml:space="preserve">The private signing key of the RSU is extracted, for example because it is generated or stored outside the security module or through a physical side-channel attack, after which the attacker can sign forged DENMs indefinitely.</t>
  </si>
  <si>
    <t xml:space="preserve">Physical access to the pole-mounted RSU or to a decommissioned unit, combined with a misconfiguration that keeps key material outside the FIPS 140-2 level 3 module.</t>
  </si>
  <si>
    <t xml:space="preserve">The attack path requires physical possession of, or direct access to, the roadside unit.</t>
  </si>
  <si>
    <t xml:space="preserve">The stolen key enables forged warnings with valid signatures; the effect equals a rogue RSU broadcast and persists until the certificate is revoked (S2).</t>
  </si>
  <si>
    <t xml:space="preserve">Revocation and replacement of the unit, investigation costs and liability if forged warnings were issued.</t>
  </si>
  <si>
    <t xml:space="preserve">Until revocation, every message signed with this key must be treated as untrusted.</t>
  </si>
  <si>
    <t xml:space="preserve">The key material itself exposes no personal data of road users.</t>
  </si>
  <si>
    <t xml:space="preserve">Generate and keep keys inside the HSM, enable tamper detection and zeroisation, physically secure the cabinet, monitor enclosure opening, revoke certificates as soon as tampering is detected.</t>
  </si>
  <si>
    <t xml:space="preserve">RSU hardware, HSM configuration, key management procedures, revocation service.</t>
  </si>
  <si>
    <t xml:space="preserve">Feasibility is low because physical access is required, which is why the risk value stays below the network-based rows even though the impact is comparable.</t>
  </si>
  <si>
    <t xml:space="preserve">Confidentiality, Authenticity, Integrity.</t>
  </si>
  <si>
    <t xml:space="preserve">T112</t>
  </si>
  <si>
    <t xml:space="preserve">Raised by all six model outputs; medini T112 (Signs, PC5, HSM | Information Disclosure); copied from row 5 of the full analysis</t>
  </si>
  <si>
    <t xml:space="preserve">9 -&gt; 11. PC5 sidelink (RSU to OBU)</t>
  </si>
  <si>
    <t xml:space="preserve">Messages in flight on the sidelink are altered, for example by transmitting a stronger modified copy that overshadows the legitimate one, so vehicles receive different content from what the roadside unit sent.</t>
  </si>
  <si>
    <t xml:space="preserve">A C-V2X transmitter inside the coverage area, timed against the legitimate transmission.</t>
  </si>
  <si>
    <t xml:space="preserve">The attack is carried out over the air and requires no access to any system.</t>
  </si>
  <si>
    <t xml:space="preserve">The altered warning can send drivers the wrong hazard type, position or lane status (S2).</t>
  </si>
  <si>
    <t xml:space="preserve">Investigation and, for a persistent source, the cost of locating it.</t>
  </si>
  <si>
    <t xml:space="preserve">The delivered content of the warning service cannot be trusted in the affected area.</t>
  </si>
  <si>
    <t xml:space="preserve">Verify the message signature in the vehicle before use, reject messages that fail verification, detect duplicated or conflicting messages for the same event, monitor the channel for anomalies.</t>
  </si>
  <si>
    <t xml:space="preserve">RSU radio, PC5 channel, OBU verification stack (Steps 9-11).</t>
  </si>
  <si>
    <t xml:space="preserve">Message signing already prevents the altered copy from being accepted, provided the vehicle actually verifies it.</t>
  </si>
  <si>
    <t xml:space="preserve">T131</t>
  </si>
  <si>
    <t xml:space="preserve">Raised by all six model outputs; medini T131 (pc5_out ↔ pc5_in | Tampering); written for this sheet</t>
  </si>
  <si>
    <t xml:space="preserve">The 5.9 GHz channel is jammed, or flooded with valid-format messages, so vehicles in the area do not receive the hazard warning even though the roadside station generated it correctly.</t>
  </si>
  <si>
    <t xml:space="preserve">The attacker operates a jammer or a C-V2X transmitter inside the coverage area of the roadside unit.</t>
  </si>
  <si>
    <t xml:space="preserve">The attack is carried out over the air inside the radio coverage area and needs no access to any system.</t>
  </si>
  <si>
    <t xml:space="preserve">The warning does not reach the driver at the moment it is needed, so a secondary collision is not prevented (S2).</t>
  </si>
  <si>
    <t xml:space="preserve">Investigation and, if the jamming is persistent, the cost of locating and removing the source.</t>
  </si>
  <si>
    <t xml:space="preserve">The delivery path of the warning is lost; the function fails exactly where it is needed.</t>
  </si>
  <si>
    <t xml:space="preserve">Detect and report abnormal channel occupancy and message loss to the operator, use the cellular V2N path as an independent delivery route, apply congestion control and message filtering at the receiver, locate persistent jammers with the operator and the regulator.</t>
  </si>
  <si>
    <t xml:space="preserve">RSU radio, OBU radio, central ITS-S V2N path, monitoring.</t>
  </si>
  <si>
    <t xml:space="preserve">Jamming cannot be prevented on a shared radio channel; the treatment is detection plus an independent delivery path, which the architecture already provides through V2N.</t>
  </si>
  <si>
    <t xml:space="preserve">Availability.</t>
  </si>
  <si>
    <t xml:space="preserve">T132</t>
  </si>
  <si>
    <t xml:space="preserve">Raised by all six model outputs; medini T132 (pc5_out ↔ pc5_in | Denial of Service); copied from row 15 of the full analysis</t>
  </si>
  <si>
    <t xml:space="preserve">11. OBU (station identity)</t>
  </si>
  <si>
    <t xml:space="preserve">A rogue device presents itself as a legitimate on-board unit towards the roadside unit and the back-end, for example to obtain services, to inject false status information or to appear as several vehicles at once.</t>
  </si>
  <si>
    <t xml:space="preserve">Use of stolen or cloned credentials, or exploitation of a back-end interface that does not verify the station identity.</t>
  </si>
  <si>
    <t xml:space="preserve">The attack is carried out over the radio and cellular interfaces.</t>
  </si>
  <si>
    <t xml:space="preserve">In this architecture the vehicle mainly receives, so the direct safety effect is limited; false status can still distort the operator view (S1).</t>
  </si>
  <si>
    <t xml:space="preserve">Investigation and possible revocation of credentials.</t>
  </si>
  <si>
    <t xml:space="preserve">Trust in vehicle-provided information is degraded.</t>
  </si>
  <si>
    <t xml:space="preserve">Cloned identities can be used to observe or impersonate a specific vehicle.</t>
  </si>
  <si>
    <t xml:space="preserve">Verify station certificates and their permissions, detect several stations using the same identity, bind credentials to the hardware security element, revoke on detection.</t>
  </si>
  <si>
    <t xml:space="preserve">OBU credentials, RSU and back-end verification, PKI (Steps 10-11).</t>
  </si>
  <si>
    <t xml:space="preserve">Lower risk here than in architectures where vehicles also generate warnings, which is worth stating explicitly.</t>
  </si>
  <si>
    <t xml:space="preserve">Authenticity.</t>
  </si>
  <si>
    <t xml:space="preserve">T142</t>
  </si>
  <si>
    <t xml:space="preserve">Raised by all six model outputs; medini T142 (PC5 + Uumodem | Spoofing); copied from row 40 of the full analysis</t>
  </si>
  <si>
    <t xml:space="preserve">11. OBU (V2X stack and ASN.1 decoder)</t>
  </si>
  <si>
    <t xml:space="preserve">Malformed or out-of-range DENM fields crash the receiving V2X stack or its ASN.1 decoder, so the vehicle stops processing warnings; a memory corruption in the decoder could also lead to code execution.</t>
  </si>
  <si>
    <t xml:space="preserve">The attacker broadcasts crafted messages on PC5, or the malformed content originates from the unvalidated model output of the roadside station itself.</t>
  </si>
  <si>
    <t xml:space="preserve">The messages are received over the air by every vehicle in range.</t>
  </si>
  <si>
    <t xml:space="preserve">A vehicle that stops processing V2X messages receives no further warnings; a code execution variant would raise this to the level of the previous row (S2).</t>
  </si>
  <si>
    <t xml:space="preserve">Software correction and field campaign for the affected units.</t>
  </si>
  <si>
    <t xml:space="preserve">Loss of the reception function in every vehicle exposed to the message.</t>
  </si>
  <si>
    <t xml:space="preserve">Validate the DENM against the ASN.1 schema and plausibility rules before signing at the roadside, fuzz-test the receiving stack, apply memory-safe decoding, isolate the parser process, rate-limit malformed messages.</t>
  </si>
  <si>
    <t xml:space="preserve">DENM encoder (Step 8), OBU V2X stack and decoder (Step 11).</t>
  </si>
  <si>
    <t xml:space="preserve">The only row where the roadside station can harm vehicles without any attacker, because the model output is encoded and broadcast without a full validation step.</t>
  </si>
  <si>
    <t xml:space="preserve">T141</t>
  </si>
  <si>
    <t xml:space="preserve">Raised by all six model outputs; medini T141 (PC5 + Uumodem | Denial of Service); copied from row 21 of the full analysis</t>
  </si>
  <si>
    <t xml:space="preserve">12. Vehicle computer (signature verification and warning logic)</t>
  </si>
  <si>
    <t xml:space="preserve">Signature verification or the warning logic in the vehicle is modified so that unsigned or invalid DENMs are accepted, which makes every forged message effective even without stolen credentials.</t>
  </si>
  <si>
    <t xml:space="preserve">Physical or local access to the in-vehicle computing unit (debug port, unsigned software update) or compromise of the link between OBU and computer.</t>
  </si>
  <si>
    <t xml:space="preserve">Local</t>
  </si>
  <si>
    <t xml:space="preserve">The attacker needs direct access to the vehicle or to its internal network; the path is not reachable from the public network.</t>
  </si>
  <si>
    <t xml:space="preserve">The vehicle acts on forged warnings without any cryptographic barrier, which can provoke hard braking or wrong manoeuvres (S2).</t>
  </si>
  <si>
    <t xml:space="preserve">The scope is the individual vehicle rather than the deployment; warranty and liability costs.</t>
  </si>
  <si>
    <t xml:space="preserve">The verification function of the vehicle ITS station is lost.</t>
  </si>
  <si>
    <t xml:space="preserve">No personal data disclosure is involved.</t>
  </si>
  <si>
    <t xml:space="preserve">Secure boot and signed software updates on the vehicle computer, disable debug interfaces in production, authenticate the link between OBU and computer, report verification failures to the back-end.</t>
  </si>
  <si>
    <t xml:space="preserve">OBU, in-vehicle computing unit (Steps 11-12), software update process.</t>
  </si>
  <si>
    <t xml:space="preserve">Per-vehicle scope and the local access requirement keep the risk lower, but the control is essential because it is the last line of defence.</t>
  </si>
  <si>
    <t xml:space="preserve">T164</t>
  </si>
  <si>
    <t xml:space="preserve">Raised by all six model outputs; medini T164 (Verify, warning logic | Tampering); copied from row 7 of the full analysis</t>
  </si>
  <si>
    <t xml:space="preserve">13. Driver HMI (displayed content)</t>
  </si>
  <si>
    <t xml:space="preserve">The content shown to the driver is modified, for example the hazard type, the distance or the affected lane, so the driver reacts to something different from the received warning.</t>
  </si>
  <si>
    <t xml:space="preserve">Compromise of the display application or of the link between the vehicle computer and the display unit.</t>
  </si>
  <si>
    <t xml:space="preserve">Access to the vehicle or to its internal network is required.</t>
  </si>
  <si>
    <t xml:space="preserve">A wrong distance or lane can provoke braking or a lane change at the wrong moment (S2).</t>
  </si>
  <si>
    <t xml:space="preserve">Field campaign for the affected units.</t>
  </si>
  <si>
    <t xml:space="preserve">The last stage of the chain no longer reflects the verified message.</t>
  </si>
  <si>
    <t xml:space="preserve">Integrity protection of the display application, authenticated internal link, display of a status indicator when the message signature is valid, secure boot on the unit.</t>
  </si>
  <si>
    <t xml:space="preserve">Vehicle computer, display unit and internal link (Steps 12-13).</t>
  </si>
  <si>
    <t xml:space="preserve">Completes the chain: every stage from camera to driver now has at least one analysed row.</t>
  </si>
  <si>
    <t xml:space="preserve">Integrity.</t>
  </si>
  <si>
    <t xml:space="preserve">T179</t>
  </si>
  <si>
    <t xml:space="preserve">Raised by all six model outputs; medini T179 (Visual + audio alert | Tampering); copied from row 41 of the full analysis</t>
  </si>
  <si>
    <t xml:space="preserve">3-7. Link computing unit to Gemini API (5G Uu)</t>
  </si>
  <si>
    <t xml:space="preserve">Requests or responses on the link to the cloud model are modified in transit, so the detection verdict or the message parameters that reach the roadside station differ from what the model produced.</t>
  </si>
  <si>
    <t xml:space="preserve">Man-in-the-middle through a rogue base station, a compromised gateway or a client that does not validate the server certificate.</t>
  </si>
  <si>
    <t xml:space="preserve">The link crosses the public cellular network.</t>
  </si>
  <si>
    <t xml:space="preserve">The station generates warnings whose content the attacker controls (S2).</t>
  </si>
  <si>
    <t xml:space="preserve">Liability after a provoked collision and interruption of the service until the path is secured.</t>
  </si>
  <si>
    <t xml:space="preserve">Every message produced while the session is manipulated is unreliable.</t>
  </si>
  <si>
    <t xml:space="preserve">The same position also exposes the transmitted images.</t>
  </si>
  <si>
    <t xml:space="preserve">TLS with certificate pinning and strict validation, a dedicated APN or VPN for the station, schema and plausibility validation of every model response before use.</t>
  </si>
  <si>
    <t xml:space="preserve">Computing unit network stack, cellular subscription, cloud endpoint configuration (Steps 3-7).</t>
  </si>
  <si>
    <t xml:space="preserve">Complements the endpoint impersonation row: here the session is genuine but its content is altered.</t>
  </si>
  <si>
    <t xml:space="preserve">T053</t>
  </si>
  <si>
    <t xml:space="preserve">Raised by all six model outputs; medini T053 (uu_mllm_link ↔ mllm_link_1 | Tampering); written for this sheet</t>
  </si>
  <si>
    <t xml:space="preserve">Camera images and prompts sent to the cloud model are intercepted in transit, exposing road users and the operational parameters of the detection chain.</t>
  </si>
  <si>
    <t xml:space="preserve">Passive interception on the cellular path, a rogue base station, or weak or absent transport encryption.</t>
  </si>
  <si>
    <t xml:space="preserve">The traffic crosses the public network in every detection cycle.</t>
  </si>
  <si>
    <t xml:space="preserve">No direct safety effect.</t>
  </si>
  <si>
    <t xml:space="preserve">Investigation and remediation costs.</t>
  </si>
  <si>
    <t xml:space="preserve">Operation is not affected.</t>
  </si>
  <si>
    <t xml:space="preserve">Images of identifiable road users and the camera location are exposed to a third party.</t>
  </si>
  <si>
    <t xml:space="preserve">Enforce TLS for every request, disable fallback to unencrypted transport, blur or crop personal data before transmission, use a private APN or VPN.</t>
  </si>
  <si>
    <t xml:space="preserve">Computing unit network stack, cellular link, cloud interface (Steps 3-7).</t>
  </si>
  <si>
    <t xml:space="preserve">Same protective measure as the tampering row on this link; encryption and validation address both.</t>
  </si>
  <si>
    <t xml:space="preserve">Confidentiality.</t>
  </si>
  <si>
    <t xml:space="preserve">T052</t>
  </si>
  <si>
    <t xml:space="preserve">Raised by all six model outputs; medini T052 (uu_mllm_link ↔ mllm_link_1 | Information Disclosure); written for this sheet</t>
  </si>
  <si>
    <t xml:space="preserve">The cellular link to the cloud model is jammed, blocked or lost, so no hazard can be confirmed and no warning message is generated, even though the cameras and the detector keep working.</t>
  </si>
  <si>
    <t xml:space="preserve">Cellular jamming, a rogue base station forcing a downgrade, blocking of the subscription, or a network outage.</t>
  </si>
  <si>
    <t xml:space="preserve">The link is attacked or lost over the air or in the operator network.</t>
  </si>
  <si>
    <t xml:space="preserve">The service fails silently: real accidents are not announced, although no wrong warning is produced (S1).</t>
  </si>
  <si>
    <t xml:space="preserve">Cost of a redundant connection and of the investigation.</t>
  </si>
  <si>
    <t xml:space="preserve">The detection chain is unavailable for as long as the link is down.</t>
  </si>
  <si>
    <t xml:space="preserve">Monitor link availability with alerting, provide a second bearer or provider, degrade gracefully to a local rule on the detector, consider a locally hosted model as fallback.</t>
  </si>
  <si>
    <t xml:space="preserve">Cellular modem and subscription, computing unit, monitoring (Steps 3-7).</t>
  </si>
  <si>
    <t xml:space="preserve">Separates the transport failure from the provider failure, which the service availability row covers.</t>
  </si>
  <si>
    <t xml:space="preserve">T054</t>
  </si>
  <si>
    <t xml:space="preserve">Raised by all six model outputs; medini T054 (uu_mllm_link ↔ mllm_link_1 | Denial of Service); written for this sheet</t>
  </si>
  <si>
    <t xml:space="preserve">4 &amp; 7. Cloud MLLM (model behind the Gemini API)</t>
  </si>
  <si>
    <t xml:space="preserve">The behaviour of the hosted model changes, through a provider-side compromise, a malicious insider or an unannounced version update, so detection verdicts and message parameters change without the operator knowing.</t>
  </si>
  <si>
    <t xml:space="preserve">No access to the operator systems is needed; the change happens at the provider.</t>
  </si>
  <si>
    <t xml:space="preserve">The dependency is consumed over the network and is outside the control of the operator.</t>
  </si>
  <si>
    <t xml:space="preserve">Detection quality can drop silently, so hazards are missed or invented (S2).</t>
  </si>
  <si>
    <t xml:space="preserve">Re-validation effort and possible service interruption.</t>
  </si>
  <si>
    <t xml:space="preserve">The behaviour of the safety function changes without any change on the operator side.</t>
  </si>
  <si>
    <t xml:space="preserve">No additional personal data exposure beyond the privacy row.</t>
  </si>
  <si>
    <t xml:space="preserve">Pin the model version where the provider allows it, run a regression set of known scenes regularly, monitor detection statistics, keep an alternative model or provider ready.</t>
  </si>
  <si>
    <t xml:space="preserve">Cloud model interface, regression test set, monitoring (Steps 4 and 7).</t>
  </si>
  <si>
    <t xml:space="preserve">The source paper already measured a large difference between two model versions, which makes this concrete rather than theoretical.</t>
  </si>
  <si>
    <t xml:space="preserve">T188</t>
  </si>
  <si>
    <t xml:space="preserve">Raised by all six model outputs; medini T188 (Gemini API | Tampering); copied from row 37 of the full analysis</t>
  </si>
  <si>
    <t xml:space="preserve">4 &amp; 7. Cloud MLLM (Gemini API)</t>
  </si>
  <si>
    <t xml:space="preserve">Camera images containing faces, licence plates and the exact location are transmitted to a third-party service, where they may be retained, logged or reused outside the control of the road operator.</t>
  </si>
  <si>
    <t xml:space="preserve">No attack is required: the transfer is part of normal operation. Disclosure follows from provider-side retention, from an insider at the provider, or from a breach of the provider account.</t>
  </si>
  <si>
    <t xml:space="preserve">The data leaves the roadside station over the public network in every detection cycle.</t>
  </si>
  <si>
    <t xml:space="preserve">Data protection fines and contractual consequences; a GDPR case against a road operator is substantial but not existential.</t>
  </si>
  <si>
    <t xml:space="preserve">The service may have to be suspended until a compliant processing basis or a local model is in place.</t>
  </si>
  <si>
    <t xml:space="preserve">Images of identifiable road users leave the operator domain; this is an irreversible impact on the persons concerned and the most sensitive point of the architecture.</t>
  </si>
  <si>
    <t xml:space="preserve">Blur or crop faces and plates before transmission, send only the cropped region of interest, agree a data processing contract with retention limits and no training use, or move inference to an operator-controlled edge or MEC server.</t>
  </si>
  <si>
    <t xml:space="preserve">Computing unit pre-processing, cloud provider contract, YOLOv5 pre-filter (which already limits the number of frames sent).</t>
  </si>
  <si>
    <t xml:space="preserve">Highest privacy rating of the analysis; it is also the strongest argument for local inference, which the team excluded from the architecture for comparability with the source papers.</t>
  </si>
  <si>
    <t xml:space="preserve">Confidentiality, Data minimisation.</t>
  </si>
  <si>
    <t xml:space="preserve">T187</t>
  </si>
  <si>
    <t xml:space="preserve">Raised by all six model outputs; medini T187 (Gemini API | Information Disclosure); copied from row 13 of the full analysis</t>
  </si>
  <si>
    <t xml:space="preserve">4 &amp; 7. Cloud MLLM service (Gemini API) and its 5G Uu link</t>
  </si>
  <si>
    <t xml:space="preserve">The connection to the cloud model is lost, or the service refuses requests because of an outage, rate limiting, quota exhaustion or account suspension, so no hazard can be confirmed and no DENM is generated.</t>
  </si>
  <si>
    <t xml:space="preserve">Cellular jamming or network outage, provider-side outage, exhaustion of the request quota, or suspension of the account.</t>
  </si>
  <si>
    <t xml:space="preserve">The dependency is reachable only over the public network, and its availability is outside the control of the operator.</t>
  </si>
  <si>
    <t xml:space="preserve">The service fails silently: accidents are not announced, so drivers are no better off than without the system. There is no wrong warning, hence a lower rating than for jamming at the moment of delivery (S1).</t>
  </si>
  <si>
    <t xml:space="preserve">Service credits, cost of a fallback solution and of additional quota.</t>
  </si>
  <si>
    <t xml:space="preserve">The detection function is completely unavailable for as long as the cloud is unreachable.</t>
  </si>
  <si>
    <t xml:space="preserve">Monitor availability and latency with alerts, degrade gracefully to a local rule on the YOLOv5 pre-filter for high-confidence cases, keep quota headroom and a second endpoint or region, consider a locally hosted model as a fallback.</t>
  </si>
  <si>
    <t xml:space="preserve">Computing unit, 5G subscription, cloud account and quota management, operator monitoring.</t>
  </si>
  <si>
    <t xml:space="preserve">The architecture has a single point of failure in an external service; the TARA is the place where that trade-off becomes visible.</t>
  </si>
  <si>
    <t xml:space="preserve">Availability, Resilience.</t>
  </si>
  <si>
    <t xml:space="preserve">T189</t>
  </si>
  <si>
    <t xml:space="preserve">Raised by all six model outputs; medini T189 (Gemini API | Denial of Service); copied from row 16 of the full analysis</t>
  </si>
  <si>
    <t xml:space="preserve">0. Security credentials and PKI (central ITS-S)</t>
  </si>
  <si>
    <t xml:space="preserve">Certificates are issued to, or stolen for, a rogue station, so its forged DENMs are accepted as genuine by every vehicle that trusts the PKI.</t>
  </si>
  <si>
    <t xml:space="preserve">Compromise of the authorization authority or of the operator console at the central ITS-S, or theft of enrolment credentials from a roadside unit.</t>
  </si>
  <si>
    <t xml:space="preserve">The PKI services and the operator console are reachable over the network.</t>
  </si>
  <si>
    <t xml:space="preserve">Forged warnings can be produced anywhere in the deployment and are cryptographically valid, so on-board verification cannot reject them (S3).</t>
  </si>
  <si>
    <t xml:space="preserve">Mass revocation and re-enrolment of stations, service interruption and regulatory reporting obligations.</t>
  </si>
  <si>
    <t xml:space="preserve">The trust anchor of the whole C-ITS deployment is lost until certificates are reissued.</t>
  </si>
  <si>
    <t xml:space="preserve">Enrolment records and certificate metadata can link stations and vehicles to their operators.</t>
  </si>
  <si>
    <t xml:space="preserve">Protect CA keys in certified HSMs, separate enrolment and authorization authorities, issue short-lived authorization tickets, require multi-person approval and auditing for certificate issuance, monitor issuance anomalies, maintain a revocation process.</t>
  </si>
  <si>
    <t xml:space="preserve">Central ITS-S, PKI (enrolment and authorization authorities), trust list in RSU and OBU, credential storage.</t>
  </si>
  <si>
    <t xml:space="preserve">Low likelihood but the widest reach of all rows; the controls follow the C-ITS credential management requirements.</t>
  </si>
  <si>
    <t xml:space="preserve">T208</t>
  </si>
  <si>
    <t xml:space="preserve">Raised by all six model outputs; medini T208 (PKI, operator | Spoofing); copied from row 4 of the full analysis</t>
  </si>
  <si>
    <t xml:space="preserve">10. Central ITS-S (audit log)</t>
  </si>
  <si>
    <t xml:space="preserve">Repudiation</t>
  </si>
  <si>
    <t xml:space="preserve">Non-repudiation</t>
  </si>
  <si>
    <t xml:space="preserve">Publication or cancellation of warnings and issuance or revocation of certificates are not recorded in a tamper-evident way, so an operator or an intruder can deny having performed them.</t>
  </si>
  <si>
    <t xml:space="preserve">Missing or modifiable audit logging on the back-end; an attacker with administrative rights deletes the traces.</t>
  </si>
  <si>
    <t xml:space="preserve">The actions are performed through network-reachable interfaces.</t>
  </si>
  <si>
    <t xml:space="preserve">No direct safety effect (S0).</t>
  </si>
  <si>
    <t xml:space="preserve">Disputes about who cancelled a warning cannot be settled, with direct liability consequences.</t>
  </si>
  <si>
    <t xml:space="preserve">Supervision of the deployment loses its evidential value.</t>
  </si>
  <si>
    <t xml:space="preserve">Audit records must themselves be access controlled.</t>
  </si>
  <si>
    <t xml:space="preserve">Append-only audit logs with integrity protection, separate storage from the administrators of the system, synchronised time, regular review.</t>
  </si>
  <si>
    <t xml:space="preserve">Central ITS-S logging, PKI issuance records, time synchronisation (Step 10).</t>
  </si>
  <si>
    <t xml:space="preserve">Needed to make the trust model defensible in an investigation, not only technically sound.</t>
  </si>
  <si>
    <t xml:space="preserve">Non-repudiation, Accountability.</t>
  </si>
  <si>
    <t xml:space="preserve">T210</t>
  </si>
  <si>
    <t xml:space="preserve">Raised by all six model outputs; medini T210 (PKI, operator | Repudiation); copied from row 36 of the full analysis</t>
  </si>
  <si>
    <t xml:space="preserve">10. Central ITS-S (operator console, PKI services)</t>
  </si>
  <si>
    <t xml:space="preserve">Elevation of privilege</t>
  </si>
  <si>
    <t xml:space="preserve">Authorization</t>
  </si>
  <si>
    <t xml:space="preserve">An attacker obtains administrative rights on the back-end and can issue or revoke certificates, push configuration to every roadside unit and publish or cancel warnings across the deployment.</t>
  </si>
  <si>
    <t xml:space="preserve">Compromise of an operator account, exploitation of the back-end application, or an insider with excessive rights.</t>
  </si>
  <si>
    <t xml:space="preserve">The console and the services are reachable over the network.</t>
  </si>
  <si>
    <t xml:space="preserve">Control over every station and over the trust material can be used to fabricate or suppress warnings anywhere (S3).</t>
  </si>
  <si>
    <t xml:space="preserve">Deployment-wide revocation, service interruption and regulatory consequences.</t>
  </si>
  <si>
    <t xml:space="preserve">Every function of the deployment can be manipulated from one place.</t>
  </si>
  <si>
    <t xml:space="preserve">Operator and certificate records expose the identities of stations and vehicles.</t>
  </si>
  <si>
    <t xml:space="preserve">Multi-factor authentication and least privilege for operator accounts, separation of duties for certificate issuance, hardened and patched back-end, complete audit logging with alerting.</t>
  </si>
  <si>
    <t xml:space="preserve">Central ITS-S application and accounts, PKI services, RSU management interface (Step 10).</t>
  </si>
  <si>
    <t xml:space="preserve">Highest reach of the whole analysis, on a par with the certificate row.</t>
  </si>
  <si>
    <t xml:space="preserve">Authorization, Integrity, Availability.</t>
  </si>
  <si>
    <t xml:space="preserve">T209</t>
  </si>
  <si>
    <t xml:space="preserve">Raised by all six model outputs; medini T209 (PKI, operator | Elevation of Privilege); copied from row 33 of the full analysis</t>
  </si>
  <si>
    <t xml:space="preserve">Forged DENM or rogue RSU broadcast - 6/6 (consensus matrix)</t>
  </si>
  <si>
    <t xml:space="preserve">8 -&gt; 9. Link roadside computing unit to RSU (Ethernet/UDP)</t>
  </si>
  <si>
    <t xml:space="preserve">An attacker injects a forged DENM payload into the RSU input port. The RSU signs it with its legitimate key and broadcasts it, so receivers accept the false warning as authentic.</t>
  </si>
  <si>
    <t xml:space="preserve">The attacker gains a foothold in the roadside network, for example through the IP camera or an exposed maintenance port, and sends UDP packets to the RSU input port, which accepts any payload it receives.</t>
  </si>
  <si>
    <t xml:space="preserve">The attack requires access to the roadside network segment; it cannot be executed from the public network.</t>
  </si>
  <si>
    <t xml:space="preserve">The effect equals a rogue RSU broadcast, but the message carries a valid signature, so on-board plausibility checks are the only remaining barrier (S2).</t>
  </si>
  <si>
    <t xml:space="preserve">Liability for a provoked collision and forensic effort to establish that the RSU itself was not compromised.</t>
  </si>
  <si>
    <t xml:space="preserve">All warnings from this roadside station must be treated as untrusted until the injection path is closed.</t>
  </si>
  <si>
    <t xml:space="preserve">No personal data is contained in the injected payload.</t>
  </si>
  <si>
    <t xml:space="preserve">Authenticate the source of payloads at the RSU input (mutual TLS or signed internal messages); restrict the port by ACL to the computing unit; segment the roadside LAN; log the origin of every signed payload.</t>
  </si>
  <si>
    <t xml:space="preserve">Roadside LAN, RSU input interface, computing unit (Steps 8-9), logging.</t>
  </si>
  <si>
    <t xml:space="preserve">The RSU signs whatever it receives, which turns a local network weakness into an authenticated false warning; source authentication removes the root cause.</t>
  </si>
  <si>
    <t xml:space="preserve">Forged DENM or rogue RSU broadcast - 6/6; this attack path: 4/6 (ChatGPT, Sonnet 5, Opus 5 TS49, Copilot)</t>
  </si>
  <si>
    <t xml:space="preserve">9. RSU (management interface, HSM)</t>
  </si>
  <si>
    <t xml:space="preserve">An attacker obtains administrative access to the RSU and uses the hardware security module as a signing oracle, producing an unlimited number of valid signed but fabricated DENMs, and can also suppress genuine ones.</t>
  </si>
  <si>
    <t xml:space="preserve">Exploitation of weak or default credentials, or of a vulnerability in the RSU management services reachable from the operator network.</t>
  </si>
  <si>
    <t xml:space="preserve">The management interface is reachable over the network, so no physical access is required.</t>
  </si>
  <si>
    <t xml:space="preserve">The attacker controls what every vehicle in range is told, including suppression of a real accident warning, which can lead to life-threatening collisions (S3).</t>
  </si>
  <si>
    <t xml:space="preserve">Fleet-wide loss of trust, certificate revocation campaign, regulatory consequences and liability for any resulting accident.</t>
  </si>
  <si>
    <t xml:space="preserve">Complete loss of the warning function at the affected site, with the attacker in control of it.</t>
  </si>
  <si>
    <t xml:space="preserve">Administrative access exposes communication metadata and certificate information, but no direct personal data of road users.</t>
  </si>
  <si>
    <t xml:space="preserve">Remove default credentials, disable unused management services, restrict management access to a dedicated network, harden and update the firmware, bind HSM signing to authenticated request sources, monitor and log privileged operations.</t>
  </si>
  <si>
    <t xml:space="preserve">RSU firmware and management services, HSM key policy, operator network, logging.</t>
  </si>
  <si>
    <t xml:space="preserve">The highest-risk row of the theme, because it defeats both the signature check and the plausibility checks; standard hardening measures apply.</t>
  </si>
  <si>
    <t xml:space="preserve">Authenticity, Integrity, Availability, Non-repudiation.</t>
  </si>
  <si>
    <t xml:space="preserve">Forged DENM or rogue RSU broadcast - 6/6; this attack path: 5/6 (ChatGPT, Sonnet 5, Opus 5 TS58, Copilot, DeepSeek)</t>
  </si>
  <si>
    <t xml:space="preserve">PKI or CA compromise, rogue certificates - 6/6 (consensus matrix)</t>
  </si>
  <si>
    <t xml:space="preserve">Signing key or credential theft (HSM, PKI) - 6/6 (consensus matrix)</t>
  </si>
  <si>
    <t xml:space="preserve">Previously captured, validly signed DENMs are replayed at another time or place, so vehicles warn their drivers about a hazard that no longer exists or that is located elsewhere.</t>
  </si>
  <si>
    <t xml:space="preserve">The attacker records DENM broadcasts with a C-V2X receiver and retransmits them later; the attack succeeds when freshness (timestamp) and relevance (position) checks are missing or too permissive.</t>
  </si>
  <si>
    <t xml:space="preserve">Recording and retransmission take place over the air, inside the radio coverage area.</t>
  </si>
  <si>
    <t xml:space="preserve">Unnecessary braking or driver distraction may cause light or moderate injuries (S1); repeated false warnings mainly degrade trust in the system.</t>
  </si>
  <si>
    <t xml:space="preserve">Costs of investigation and of adding replay protection; limited direct financial loss.</t>
  </si>
  <si>
    <t xml:space="preserve">Drivers stop trusting the warnings, which undermines the purpose of the function.</t>
  </si>
  <si>
    <t xml:space="preserve">No personal data is involved.</t>
  </si>
  <si>
    <t xml:space="preserve">Check the generation time and validity duration of every DENM, apply position relevance checks in the vehicle, reject duplicated action identifiers, detect repeated identical messages.</t>
  </si>
  <si>
    <t xml:space="preserve">OBU verification stack, vehicle warning logic (Step 12), DENM management container handling.</t>
  </si>
  <si>
    <t xml:space="preserve">Cheap to execute and cheap to mitigate with the freshness and relevance checks already defined in the C-ITS standards.</t>
  </si>
  <si>
    <t xml:space="preserve">Authenticity, Integrity, Freshness.</t>
  </si>
  <si>
    <t xml:space="preserve">DENM replay - 3/6 (consensus matrix)</t>
  </si>
  <si>
    <t xml:space="preserve">In-vehicle warning logic or verification tampering - 6/6 (consensus matrix)</t>
  </si>
  <si>
    <t xml:space="preserve">9. RSU event log and signed message records</t>
  </si>
  <si>
    <t xml:space="preserve">Because the RSU signs every payload it receives without authenticating or logging its origin, a harmful DENM cannot be attributed to the component or operator that produced it, and the operator cannot prove which messages it did or did not issue.</t>
  </si>
  <si>
    <t xml:space="preserve">The attacker exploits the missing origin authentication and logging; no capability beyond the injection path of row 3 is required.</t>
  </si>
  <si>
    <t xml:space="preserve">The weakness is exploited from inside the roadside network, on the same path as the payload injection.</t>
  </si>
  <si>
    <t xml:space="preserve">No direct safety effect; the consequence is the inability to investigate an incident afterwards (S0).</t>
  </si>
  <si>
    <t xml:space="preserve">Liability cannot be allocated after an incident, which exposes the operator to claims it cannot defend.</t>
  </si>
  <si>
    <t xml:space="preserve">Incident response and forensics are degraded, but the warning function keeps working.</t>
  </si>
  <si>
    <t xml:space="preserve">No personal data of road users is affected.</t>
  </si>
  <si>
    <t xml:space="preserve">Log the authenticated origin, the input frame, the model version and the signed payload of every DENM; protect the logs against modification; synchronise time; retain logs according to the operator policy.</t>
  </si>
  <si>
    <t xml:space="preserve">RSU logging, computing unit logging (Steps 8-9), time synchronisation, back-end log storage.</t>
  </si>
  <si>
    <t xml:space="preserve">Directly linked to the AI part of the system: without this chain, a false warning cannot be traced back to the model output that caused it.</t>
  </si>
  <si>
    <t xml:space="preserve">Non-repudiation, Integrity.</t>
  </si>
  <si>
    <t xml:space="preserve">Missing audit trail, RSU side - 6/6 (consensus matrix)</t>
  </si>
  <si>
    <t xml:space="preserve">1 -&gt; 2. Video link cameras to computing unit</t>
  </si>
  <si>
    <t xml:space="preserve">A forged or previously recorded video stream is fed into the detection pipeline, so the system reports an accident that does not exist and broadcasts a DENM for it; the same path can replay footage of an empty road to hide a real accident.</t>
  </si>
  <si>
    <t xml:space="preserve">Camera feed injection or replay - 6/6 (consensus matrix); keyword cross-check 6/6</t>
  </si>
  <si>
    <t xml:space="preserve">2. Edge detector, YOLOv5 (perception input)</t>
  </si>
  <si>
    <t xml:space="preserve">Adversarial patterns placed in the scene (printed patches on vehicles, clothing or signs) make the detector report objects that are not there, or hide real ones, so a false DENM is generated or a real accident is never forwarded to the agents.</t>
  </si>
  <si>
    <t xml:space="preserve">The attacker prints and places a physical pattern in the camera field of view; no access to the system is required.</t>
  </si>
  <si>
    <t xml:space="preserve">The attack is carried out in the physical environment of the camera. Note: the attack vector scale of this TARA maps such attacks to 'Physical' (lowest feasibility) although they need no access to the system, so the resulting risk value is likely to be understated.</t>
  </si>
  <si>
    <t xml:space="preserve">A fabricated or suppressed detection has the same safety effect as a forged warning, but is limited to the field of view of one camera (S2).</t>
  </si>
  <si>
    <t xml:space="preserve">Limited direct loss; cost of retraining or hardening the detector.</t>
  </si>
  <si>
    <t xml:space="preserve">The reliability of the perception layer is degraded for as long as the pattern is in place.</t>
  </si>
  <si>
    <t xml:space="preserve">Cross-check the YOLOv5 detection with the MLLM verdict and with the stereo depth, use adversarial training or input filtering, apply temporal consistency checks across frames, alert on implausible detection patterns.</t>
  </si>
  <si>
    <t xml:space="preserve">YOLOv5 model, MLLM verification step, computing unit (Steps 2-4).</t>
  </si>
  <si>
    <t xml:space="preserve">Purely AI-specific threat with no counterpart in the classic V2X catalogue; the two-stage detection (fast path plus MLLM) is itself a mitigation.</t>
  </si>
  <si>
    <t xml:space="preserve">Adversarial examples against perception models - 6/6 (consensus matrix); keyword cross-check 6/6</t>
  </si>
  <si>
    <t xml:space="preserve">3. Situation detection agent (prompt and image input)</t>
  </si>
  <si>
    <t xml:space="preserve">Text visible in the camera image (a sign, sticker or vehicle wrap) is interpreted by the multimodal model as an instruction, so the agent reports an incident that does not exist or fills the DENM with attacker-chosen values such as a wrong cause code or closed lanes.</t>
  </si>
  <si>
    <t xml:space="preserve">The attacker places readable text in the field of view; the prompt and the image are concatenated in the same model request, so the model cannot separate data from instructions.</t>
  </si>
  <si>
    <t xml:space="preserve">As for adversarial patterns, the attacker acts in the physical environment. The same reservation about the attack vector scale applies.</t>
  </si>
  <si>
    <t xml:space="preserve">A fabricated hazard or a manipulated speed limit and lane status can provoke hard braking or wrong manoeuvres (S2).</t>
  </si>
  <si>
    <t xml:space="preserve">Costs of investigation and of hardening the prompt handling; liability only if a collision follows.</t>
  </si>
  <si>
    <t xml:space="preserve">The message generation step can no longer be trusted to describe the real situation.</t>
  </si>
  <si>
    <t xml:space="preserve">Separate instructions from image content, constrain the output to a schema with allowed values, validate every DENM field against plausibility rules before encoding, cross-check the situation type against the YOLOv5 detection, log prompt and response.</t>
  </si>
  <si>
    <t xml:space="preserve">Situation detection agent, message generation agent, DENM encoder (Steps 3-8).</t>
  </si>
  <si>
    <t xml:space="preserve">Specific to the use of language models in the detection chain; schema validation before signing is the decisive control. The same weakness applies to the message generation agent (Step 6).</t>
  </si>
  <si>
    <t xml:space="preserve">Prompt injection against MLLM agents - 5/6 (consensus matrix); keyword cross-check 5/6</t>
  </si>
  <si>
    <t xml:space="preserve">An attacker impersonates the cloud model endpoint, or intercepts the session, and returns forged detection verdicts and DENM parameters, so the roadside station generates warnings that the model never produced.</t>
  </si>
  <si>
    <t xml:space="preserve">DNS manipulation on the roadside network, a compromised proxy or gateway, a rogue base station, or a client that does not validate the server certificate.</t>
  </si>
  <si>
    <t xml:space="preserve">The request path crosses the public network; the attacker does not need access to the roadside station itself.</t>
  </si>
  <si>
    <t xml:space="preserve">The attacker controls the content of the warnings generated by the station, which can provoke hard braking or mask a real hazard (S2).</t>
  </si>
  <si>
    <t xml:space="preserve">Liability after a provoked collision and the cost of interrupting the service until the path is secured.</t>
  </si>
  <si>
    <t xml:space="preserve">Every warning generated while the session is intercepted is unreliable.</t>
  </si>
  <si>
    <t xml:space="preserve">The same position also exposes the transmitted camera images, which contain faces and licence plates.</t>
  </si>
  <si>
    <t xml:space="preserve">Enforce TLS with certificate pinning and validation, use a dedicated APN or VPN for the roadside station, resolve the endpoint through a trusted resolver, monitor for certificate changes, validate model responses against a schema.</t>
  </si>
  <si>
    <t xml:space="preserve">Computing unit network stack, 5G modem and subscription, cloud endpoint configuration (Steps 3-7).</t>
  </si>
  <si>
    <t xml:space="preserve">The cloud dependency introduced by the MLLM turns a transport weakness into control over the safety message content.</t>
  </si>
  <si>
    <t xml:space="preserve">Authenticity, Integrity, Confidentiality.</t>
  </si>
  <si>
    <t xml:space="preserve">Cloud MLLM endpoint spoofing or MitM - 6/6 (consensus matrix); keyword cross-check 4/6 - verify</t>
  </si>
  <si>
    <t xml:space="preserve">Privacy leakage of camera imagery - 6/6 (consensus matrix); keyword cross-check 4/6 - verify</t>
  </si>
  <si>
    <t xml:space="preserve">Camera blinding or physical sabotage - 6/6 (consensus matrix); keyword cross-check 5/6</t>
  </si>
  <si>
    <t xml:space="preserve">RF jamming of PC5 and 5G links - 6/6 (consensus matrix); keyword cross-check 6/6</t>
  </si>
  <si>
    <t xml:space="preserve">Cloud API quota exhaustion or outage - 5/6 (consensus matrix); keyword cross-check 5/6</t>
  </si>
  <si>
    <t xml:space="preserve">2 &amp; 5. AI model files on the roadside computing unit</t>
  </si>
  <si>
    <t xml:space="preserve">The model files or their configuration on the roadside computer are replaced or poisoned, so selected event types are never detected, or distances are systematically wrong, which places the hazard at the wrong position in the DENM.</t>
  </si>
  <si>
    <t xml:space="preserve">The attacker reaches the computing unit through the roadside network or an unsigned update channel and overwrites the model files.</t>
  </si>
  <si>
    <t xml:space="preserve">Silent suppression of detections, or a systematically wrong event position, prevents or misdirects warnings (S2).</t>
  </si>
  <si>
    <t xml:space="preserve">Restoration of the unit, verification of all models in the field and investigation costs.</t>
  </si>
  <si>
    <t xml:space="preserve">The detection function produces wrong results while appearing to work normally, which is harder to notice than an outage.</t>
  </si>
  <si>
    <t xml:space="preserve">Verify model file signatures and hashes at start-up and periodically, sign the update channel, use read-only storage for models, monitor detection statistics for sudden changes, restrict access to the roadside network.</t>
  </si>
  <si>
    <t xml:space="preserve">Computing unit storage and boot process, model update pipeline, monitoring (Steps 2 and 5).</t>
  </si>
  <si>
    <t xml:space="preserve">Integrity of AI artefacts is not covered by the classic V2X message security controls and must be handled by the platform. Covers the YOLOv5 weights and the Depth Pro model file, which share the same storage and update path.</t>
  </si>
  <si>
    <t xml:space="preserve">AI model or weight tampering - 4/6 (consensus matrix); keyword cross-check 2/6 - verify</t>
  </si>
  <si>
    <t xml:space="preserve">Gemini API key and cloud account</t>
  </si>
  <si>
    <t xml:space="preserve">The API key is leaked through the repository, configuration backups, logs or monitoring traces, and is then used by a third party, which consumes the quota, exposes past requests and can lock out the legitimate station.</t>
  </si>
  <si>
    <t xml:space="preserve">Extraction from the computing unit, from a code repository or from the monitoring service used for the agent framework.</t>
  </si>
  <si>
    <t xml:space="preserve">Once leaked, the key is usable from anywhere over the network.</t>
  </si>
  <si>
    <t xml:space="preserve">No direct safety effect; the consequence is unauthorised use and loss of service (S0).</t>
  </si>
  <si>
    <t xml:space="preserve">Unexpected usage costs, incident response and possible contractual penalties.</t>
  </si>
  <si>
    <t xml:space="preserve">Quota exhaustion by a third party stops the detection chain, as in the outage row.</t>
  </si>
  <si>
    <t xml:space="preserve">Access to the account may reveal past requests, including camera images, to the unauthorised holder of the key.</t>
  </si>
  <si>
    <t xml:space="preserve">Store the key in a secret manager or hardware-backed keystore, never in code or images, rotate it regularly, restrict it by IP or service account, monitor usage for anomalies, disable monitoring services that store prompts and images externally.</t>
  </si>
  <si>
    <t xml:space="preserve">Computing unit secret storage, agent framework configuration, cloud account settings.</t>
  </si>
  <si>
    <t xml:space="preserve">Ordinary secret management, but it directly affects the availability of the safety function through quota exhaustion.</t>
  </si>
  <si>
    <t xml:space="preserve">Confidentiality, Availability.</t>
  </si>
  <si>
    <t xml:space="preserve">API credential or key compromise - 4/6 (consensus matrix); keyword cross-check 3/6 - verify</t>
  </si>
  <si>
    <t xml:space="preserve">3-8. Records of the AI decision chain (prompt, model version, response)</t>
  </si>
  <si>
    <t xml:space="preserve">Accountability</t>
  </si>
  <si>
    <t xml:space="preserve">The prompt, the model version, the input frame and the model response behind each warning are not recorded, so a false or missing warning cannot be attributed to the model, to the input or to an attacker, and the operator cannot demonstrate due diligence.</t>
  </si>
  <si>
    <t xml:space="preserve">No attack is needed: the weakness exists by design. An attacker who manipulates the detection chain benefits from the absence of evidence.</t>
  </si>
  <si>
    <t xml:space="preserve">The chain spans the roadside unit and the cloud service, so the evidence would have to be collected across the network path.</t>
  </si>
  <si>
    <t xml:space="preserve">After an incident, liability cannot be allocated between the operator, the model provider and the vehicle, which exposes the operator to claims it cannot defend.</t>
  </si>
  <si>
    <t xml:space="preserve">Incident analysis and model improvement are both impaired.</t>
  </si>
  <si>
    <t xml:space="preserve">Logging must itself respect the privacy constraints of row 14, so images should be stored as references rather than copies.</t>
  </si>
  <si>
    <t xml:space="preserve">Record for every generated DENM the input frame reference, the prompt version, the model name and version, the raw response and the encoded payload; protect the records against modification and synchronise time across the components.</t>
  </si>
  <si>
    <t xml:space="preserve">Computing unit logging, agent framework, back-end log storage, time synchronisation.</t>
  </si>
  <si>
    <t xml:space="preserve">The AI counterpart of the RSU logging row; both are needed to trace a warning from the driver display back to the image that caused it. Complements row 8, which covers the RSU side of the same traceability gap.</t>
  </si>
  <si>
    <t xml:space="preserve">Missing audit trail for AI decisions - 5/6 (consensus matrix); keyword cross-check 6/6</t>
  </si>
  <si>
    <t xml:space="preserve">12. Vehicle computer (in-vehicle interfaces)</t>
  </si>
  <si>
    <t xml:space="preserve">An attacker who controls the in-vehicle computing unit, for example through a malformed message or a tampered update, uses it as an entry point to other in-vehicle networks and systems connected to it.</t>
  </si>
  <si>
    <t xml:space="preserve">Exploitation of the message processing chain or of a maintenance interface, followed by lateral movement over the internal network of the vehicle.</t>
  </si>
  <si>
    <t xml:space="preserve">Direct access to the vehicle or to its internal network is required.</t>
  </si>
  <si>
    <t xml:space="preserve">Access to in-vehicle networks can affect functions beyond the warning application, up to life-threatening consequences (S3).</t>
  </si>
  <si>
    <t xml:space="preserve">Recall or software campaign costs for the affected vehicles and reputational damage for the manufacturer.</t>
  </si>
  <si>
    <t xml:space="preserve">Functions outside the scope of the warning application can be impaired.</t>
  </si>
  <si>
    <t xml:space="preserve">Vehicle and journey data accessible from the internal network may be exposed.</t>
  </si>
  <si>
    <t xml:space="preserve">Isolate the warning application from safety-relevant vehicle networks with a gateway, apply least privilege and sandboxing on the computing unit, harden the message parser, use secure boot and signed updates, monitor internal traffic.</t>
  </si>
  <si>
    <t xml:space="preserve">In-vehicle computing unit, vehicle gateway, internal networks, update process (Steps 11-12).</t>
  </si>
  <si>
    <t xml:space="preserve">The consequence reaches beyond the item boundary, which is why isolation from the rest of the vehicle is the primary control.</t>
  </si>
  <si>
    <t xml:space="preserve">Integrity, Authorization, Availability.</t>
  </si>
  <si>
    <t xml:space="preserve">Privilege pivot into in-vehicle networks - 5/6 (consensus matrix); keyword cross-check 4/6 - verify</t>
  </si>
  <si>
    <t xml:space="preserve">ASN.1 or DENM parser exploitation - 5/6 (consensus matrix); keyword cross-check 6/6</t>
  </si>
  <si>
    <t xml:space="preserve">13. Driver HMI</t>
  </si>
  <si>
    <t xml:space="preserve">A stream of forged or repeated warnings, or a high rate of false positives from the detection chain, floods the driver display, so real warnings are ignored or dismissed.</t>
  </si>
  <si>
    <t xml:space="preserve">The attacker replays or forges messages at a high rate, or exploits the false positive rate of the detection chain by staging repeated trigger conditions.</t>
  </si>
  <si>
    <t xml:space="preserve">The messages arrive over the air; no access to the vehicle is needed.</t>
  </si>
  <si>
    <t xml:space="preserve">Alert fatigue makes the driver ignore a genuine warning, which removes the benefit of the function but does not by itself cause a collision (S1).</t>
  </si>
  <si>
    <t xml:space="preserve">Reputational cost and the effort of tuning the detection thresholds.</t>
  </si>
  <si>
    <t xml:space="preserve">The function keeps working technically while losing its effect on the driver.</t>
  </si>
  <si>
    <t xml:space="preserve">Limit the warning rate in the vehicle, merge duplicate events by action identifier, apply relevance filtering by position and direction, keep the false positive rate of the detection chain under review, escalate only high-confidence events to an audible alert.</t>
  </si>
  <si>
    <t xml:space="preserve">Vehicle warning logic (Step 12), driver HMI (Step 13), detection thresholds at the roadside.</t>
  </si>
  <si>
    <t xml:space="preserve">Links the cybersecurity analysis to the measured precision of the model: the same flood can be caused by an attacker or by the detector itself.</t>
  </si>
  <si>
    <t xml:space="preserve">Driver alert flooding or alert fatigue - 4/6 (consensus matrix); keyword cross-check 5/6</t>
  </si>
  <si>
    <t xml:space="preserve">An unauthorised party reaches the camera or its management interface on the roadside network and watches the live images of road users, including faces and licence plates.</t>
  </si>
  <si>
    <t xml:space="preserve">Access to the roadside network segment, default or weak credentials on the camera, or an exposed management interface.</t>
  </si>
  <si>
    <t xml:space="preserve">The camera and its interface sit on the roadside network, which the attacker must reach first.</t>
  </si>
  <si>
    <t xml:space="preserve">Data protection fines and contractual consequences for the road operator.</t>
  </si>
  <si>
    <t xml:space="preserve">Operation continues; the incident mainly triggers investigation and hardening.</t>
  </si>
  <si>
    <t xml:space="preserve">Images of identifiable road users are observed by an unauthorised party, which cannot be undone.</t>
  </si>
  <si>
    <t xml:space="preserve">Remove default credentials, place cameras on a separate VLAN with no route from outside, encrypt the stream, restrict management access and log every session.</t>
  </si>
  <si>
    <t xml:space="preserve">Cameras, camera management interface, roadside network (Step 1).</t>
  </si>
  <si>
    <t xml:space="preserve">Complements the cloud privacy row: the same images are exposed here before they ever leave the roadside station.</t>
  </si>
  <si>
    <t xml:space="preserve">Camera stream or camera access privacy - keyword scan 2/6 of the model outputs; check against the consensus matrix</t>
  </si>
  <si>
    <t xml:space="preserve">Camera re-aiming or calibration change - keyword scan 2/6 of the model outputs; check against the consensus matrix</t>
  </si>
  <si>
    <t xml:space="preserve">2. Edge detector, YOLOv5 (roadside computing unit)</t>
  </si>
  <si>
    <t xml:space="preserve">The detector is overloaded, by flooding it with trigger conditions or by exhausting the GPU and memory of the computing unit, so frames are dropped and real accidents are never screened.</t>
  </si>
  <si>
    <t xml:space="preserve">Repeated staged trigger conditions in the field of view, or malware and crafted input on the computing unit.</t>
  </si>
  <si>
    <t xml:space="preserve">Resource exhaustion is reached from the roadside network or through repeated physical triggers.</t>
  </si>
  <si>
    <t xml:space="preserve">An accident in the field of view is not detected, so no warning is issued (S2).</t>
  </si>
  <si>
    <t xml:space="preserve">Investigation and possibly additional hardware.</t>
  </si>
  <si>
    <t xml:space="preserve">The first stage of the detection chain stops working, which disables everything behind it.</t>
  </si>
  <si>
    <t xml:space="preserve">Rate limiting and back pressure on the pipeline, resource quotas per process, health monitoring with alerting, dropping of frames in a controlled and logged way.</t>
  </si>
  <si>
    <t xml:space="preserve">Computing unit resources, detector process, monitoring (Step 2).</t>
  </si>
  <si>
    <t xml:space="preserve">The pre-filter is a single point of failure for the whole chain and needs its own monitoring.</t>
  </si>
  <si>
    <t xml:space="preserve">Edge detector overload - keyword scan 0/6 of the model outputs; check against the consensus matrix</t>
  </si>
  <si>
    <t xml:space="preserve">3. Situation detection agent (MLLM call)</t>
  </si>
  <si>
    <t xml:space="preserve">Crafted scene content or injected text makes the model return malformed output, refuse to answer or respond very slowly, so the pipeline stalls and later events are processed late or not at all.</t>
  </si>
  <si>
    <t xml:space="preserve">The attacker places content in the field of view that is known to trigger refusals or long responses, or exploits the absence of a timeout in the agent.</t>
  </si>
  <si>
    <t xml:space="preserve">The trigger is placed in the physical scene; the same effect can be produced from the video link, which would be Adjacent.</t>
  </si>
  <si>
    <t xml:space="preserve">Warnings are delayed rather than wrong; a late warning loses most of its value (S1).</t>
  </si>
  <si>
    <t xml:space="preserve">Additional model requests and investigation effort.</t>
  </si>
  <si>
    <t xml:space="preserve">The detection chain is blocked for as long as the condition persists.</t>
  </si>
  <si>
    <t xml:space="preserve">Hard timeouts and retries with a bounded queue, output schema validation, fall back to the detector result when the model does not answer, monitor latency and refusal rates.</t>
  </si>
  <si>
    <t xml:space="preserve">Agent orchestration, cloud model interface, monitoring (Steps 3-4).</t>
  </si>
  <si>
    <t xml:space="preserve">Known weakness of the source architecture, where one model request already takes seconds.</t>
  </si>
  <si>
    <t xml:space="preserve">Situation detection agent stalled - keyword scan 2/6 of the model outputs; check against the consensus matrix</t>
  </si>
  <si>
    <t xml:space="preserve">5. Distance estimate agent (Depth Pro)</t>
  </si>
  <si>
    <t xml:space="preserve">Manipulated scene content, such as projected patterns or reflective surfaces, makes the depth model return a wrong distance, so the DENM places the hazard at the wrong point on the road.</t>
  </si>
  <si>
    <t xml:space="preserve">The attacker introduces the pattern into the field of view; no system access is required.</t>
  </si>
  <si>
    <t xml:space="preserve">The manipulation happens in the physical environment of the camera.</t>
  </si>
  <si>
    <t xml:space="preserve">Vehicles are warned about a hazard at the wrong distance, which can cause braking at the wrong place or no reaction at the right one (S2).</t>
  </si>
  <si>
    <t xml:space="preserve">Investigation and hardening of the distance estimation.</t>
  </si>
  <si>
    <t xml:space="preserve">The position field of every affected message is unreliable.</t>
  </si>
  <si>
    <t xml:space="preserve">Cross-check the monocular estimate against the stereo depth at short range, apply plausibility limits from the camera geometry, discard events whose position falls outside the monitored road section.</t>
  </si>
  <si>
    <t xml:space="preserve">Distance estimate agent, stereo camera, camera geometry data (Step 5).</t>
  </si>
  <si>
    <t xml:space="preserve">The two independent depth sources in the architecture make this cheap to mitigate, but only if they are actually compared.</t>
  </si>
  <si>
    <t xml:space="preserve">Distance estimation manipulated - keyword scan 4/6 of the model outputs; check against the consensus matrix</t>
  </si>
  <si>
    <t xml:space="preserve">6. Message generation agent (MLLM call)</t>
  </si>
  <si>
    <t xml:space="preserve">The parameters of the warning message are altered, by a tampered model response or a modified prompt, so the DENM announces a wrong cause code, wrong lane status or a wrong speed limit.</t>
  </si>
  <si>
    <t xml:space="preserve">Interception of the model response, modification of the prompt file on the computing unit, or injected instructions in the image.</t>
  </si>
  <si>
    <t xml:space="preserve">The response travels over the public network and the prompt sits on a network-reachable unit.</t>
  </si>
  <si>
    <t xml:space="preserve">Drivers act on instructions that do not match the situation, such as closed lanes that are open (S2).</t>
  </si>
  <si>
    <t xml:space="preserve">Liability if a manoeuvre based on the wrong content causes a collision.</t>
  </si>
  <si>
    <t xml:space="preserve">The message content of the station can no longer be trusted.</t>
  </si>
  <si>
    <t xml:space="preserve">Validate every field against the ASN.1 schema and an allowed value list, cross-check the cause code with the detector output, sign prompts and monitor their integrity, log the model response next to the generated message.</t>
  </si>
  <si>
    <t xml:space="preserve">Message generation agent, prompt storage, DENM encoder (Steps 6-8).</t>
  </si>
  <si>
    <t xml:space="preserve">This is where a hallucination and an attack have exactly the same signature, which is why field validation is needed regardless of the threat model.</t>
  </si>
  <si>
    <t xml:space="preserve">Message content manipulated - keyword scan 1/6 of the model outputs; check against the consensus matrix</t>
  </si>
  <si>
    <t xml:space="preserve">DENM encoder modified - keyword scan 2/6 of the model outputs; check against the consensus matrix</t>
  </si>
  <si>
    <t xml:space="preserve">8. DENM encoder records</t>
  </si>
  <si>
    <t xml:space="preserve">No record links a generated DENM to the detection event and model output that produced it, so a harmful message cannot be traced back through the chain and the operator cannot show which event it came from.</t>
  </si>
  <si>
    <t xml:space="preserve">The weakness exists by design; an attacker who manipulates any earlier stage benefits from the missing evidence.</t>
  </si>
  <si>
    <t xml:space="preserve">The records would have to be produced on the computing unit, which is reachable from the roadside network.</t>
  </si>
  <si>
    <t xml:space="preserve">Liability cannot be allocated after an incident involving a wrong warning.</t>
  </si>
  <si>
    <t xml:space="preserve">Records should reference images rather than store them, to respect the privacy rows.</t>
  </si>
  <si>
    <t xml:space="preserve">Store an identifier of the input frame, the prompt version, the model response and the encoded payload with every message, protect the records and synchronise time.</t>
  </si>
  <si>
    <t xml:space="preserve">Computing unit logging, DENM encoder, back-end storage (Step 8).</t>
  </si>
  <si>
    <t xml:space="preserve">Third element of the traceability chain, next to the RSU row and the AI decision chain row.</t>
  </si>
  <si>
    <t xml:space="preserve">No link between message and detection event - keyword scan 1/6 of the model outputs; check against the consensus matrix</t>
  </si>
  <si>
    <t xml:space="preserve">9. RSU (services and radio front end)</t>
  </si>
  <si>
    <t xml:space="preserve">The RSU is flooded on its input port or its radio front end, or its services are crashed, so it stops signing and broadcasting warnings even though the detection chain works.</t>
  </si>
  <si>
    <t xml:space="preserve">Flooding from the roadside network or over the air, or exploitation of a fault in the RSU services.</t>
  </si>
  <si>
    <t xml:space="preserve">Both the radio interface and the management services are reachable without physical access.</t>
  </si>
  <si>
    <t xml:space="preserve">No warning is delivered while the station is down (S2).</t>
  </si>
  <si>
    <t xml:space="preserve">Site visit and service restoration.</t>
  </si>
  <si>
    <t xml:space="preserve">The delivery function of the roadside station is lost.</t>
  </si>
  <si>
    <t xml:space="preserve">Rate limiting and filtering on the input port, watchdog and automatic restart, health reporting to the operator back-end, redundancy at critical sites.</t>
  </si>
  <si>
    <t xml:space="preserve">RSU services and radio, roadside network, operator monitoring (Step 9).</t>
  </si>
  <si>
    <t xml:space="preserve">Complements the jamming row: here the unit itself stops, there the channel is blocked.</t>
  </si>
  <si>
    <t xml:space="preserve">RSU service overload - keyword scan 0/6 of the model outputs; check against the consensus matrix</t>
  </si>
  <si>
    <t xml:space="preserve">9 -&gt; 10. Link RSU to central ITS-S (5G Uu)</t>
  </si>
  <si>
    <t xml:space="preserve">Event reports or certificate responses are modified in transit between the roadside unit and the back-end, so the operator sees a different picture than the road, or the station receives manipulated trust material.</t>
  </si>
  <si>
    <t xml:space="preserve">Man-in-the-middle on the cellular path, a compromised gateway, or missing certificate validation on the management channel.</t>
  </si>
  <si>
    <t xml:space="preserve">Indirect: the local warning still works, but the operator view and the V2N redistribution are wrong (S1).</t>
  </si>
  <si>
    <t xml:space="preserve">Wrong operator decisions and the cost of restoring trust material.</t>
  </si>
  <si>
    <t xml:space="preserve">Supervision and wide-area distribution are degraded.</t>
  </si>
  <si>
    <t xml:space="preserve">Event reports may contain images or locations that identify road users.</t>
  </si>
  <si>
    <t xml:space="preserve">Mutual TLS with certificate pinning on the management channel, signed event reports, replay protection, alerting on validation failures.</t>
  </si>
  <si>
    <t xml:space="preserve">RSU management stack, cellular link, central ITS-S interface (Steps 9-10).</t>
  </si>
  <si>
    <t xml:space="preserve">The same link carries the certificates, so its integrity underpins the whole trust model.</t>
  </si>
  <si>
    <t xml:space="preserve">RSU to back-end link manipulated - keyword scan 2/6 of the model outputs; check against the consensus matrix</t>
  </si>
  <si>
    <t xml:space="preserve">Operator console or PKI takeover - keyword scan 2/6 of the model outputs; check against the consensus matrix</t>
  </si>
  <si>
    <t xml:space="preserve">10. Central ITS-S (PKI and distribution services)</t>
  </si>
  <si>
    <t xml:space="preserve">The back-end is made unavailable, so certificates cannot be renewed and warnings are no longer redistributed over the cellular network to vehicles outside radio range.</t>
  </si>
  <si>
    <t xml:space="preserve">Distributed denial of service against the services, or an outage of the hosting infrastructure.</t>
  </si>
  <si>
    <t xml:space="preserve">The services are exposed to the public network.</t>
  </si>
  <si>
    <t xml:space="preserve">Local warnings over PC5 continue; vehicles outside radio range receive nothing (S1).</t>
  </si>
  <si>
    <t xml:space="preserve">Service level penalties and recovery effort.</t>
  </si>
  <si>
    <t xml:space="preserve">Certificate renewal stops, which eventually silences the roadside units as well.</t>
  </si>
  <si>
    <t xml:space="preserve">Protection against volumetric attacks, redundant hosting, long enough certificate validity and early renewal, local buffering of event reports.</t>
  </si>
  <si>
    <t xml:space="preserve">Central ITS-S services, PKI, hosting infrastructure (Step 10).</t>
  </si>
  <si>
    <t xml:space="preserve">The delayed effect on certificate renewal makes this more serious than it first appears.</t>
  </si>
  <si>
    <t xml:space="preserve">Back-end or PKI unavailable - keyword scan 4/6 of the model outputs; check against the consensus matrix</t>
  </si>
  <si>
    <t xml:space="preserve">10. Central ITS-S (event records and certificate data)</t>
  </si>
  <si>
    <t xml:space="preserve">Stored event records, camera snapshots and certificate data are read by an unauthorised party, exposing road users, the location of incidents and the structure of the deployment.</t>
  </si>
  <si>
    <t xml:space="preserve">Compromise of the back-end, a misconfigured storage service, or an insider with read access.</t>
  </si>
  <si>
    <t xml:space="preserve">The storage services are reachable over the network.</t>
  </si>
  <si>
    <t xml:space="preserve">Data protection consequences and loss of confidence from the road authority.</t>
  </si>
  <si>
    <t xml:space="preserve">Operation continues during the investigation.</t>
  </si>
  <si>
    <t xml:space="preserve">Snapshots and locations identify road users and reveal where and when they travelled.</t>
  </si>
  <si>
    <t xml:space="preserve">Encrypt records at rest, apply retention limits, store references instead of images where possible, restrict and log access, review storage configuration.</t>
  </si>
  <si>
    <t xml:space="preserve">Central ITS-S storage, backup process, access management (Step 10).</t>
  </si>
  <si>
    <t xml:space="preserve">The back-end concentrates in one place what the roadside stations only see for a moment.</t>
  </si>
  <si>
    <t xml:space="preserve">Back-end records disclosed - keyword scan 4/6 of the model outputs; check against the consensus matrix</t>
  </si>
  <si>
    <t xml:space="preserve">Operator actions not auditable - keyword scan 2/6 of the model outputs; check against the consensus matrix</t>
  </si>
  <si>
    <t xml:space="preserve">Model behaviour changed at the provider - keyword scan 4/6 of the model outputs; check against the consensus matrix</t>
  </si>
  <si>
    <t xml:space="preserve">4 &amp; 7. Cloud MLLM (provider-side processing)</t>
  </si>
  <si>
    <t xml:space="preserve">The operator cannot audit what happened inside the provider, so it cannot be established whether a wrong output came from the model, from the input or from a manipulation on the path.</t>
  </si>
  <si>
    <t xml:space="preserve">The weakness follows from using an external service that exposes no verifiable processing record.</t>
  </si>
  <si>
    <t xml:space="preserve">Processing takes place outside the operator domain.</t>
  </si>
  <si>
    <t xml:space="preserve">Disputes with the provider about a faulty output cannot be settled with evidence.</t>
  </si>
  <si>
    <t xml:space="preserve">Root cause analysis stops at the interface.</t>
  </si>
  <si>
    <t xml:space="preserve">No personal data effect beyond the privacy row.</t>
  </si>
  <si>
    <t xml:space="preserve">Record request and response with identifiers and timestamps on the operator side, agree audit rights or processing records in the contract, prefer providers that return a model version with each response.</t>
  </si>
  <si>
    <t xml:space="preserve">Cloud model interface, contract with the provider, operator logging (Steps 4 and 7).</t>
  </si>
  <si>
    <t xml:space="preserve">Contractual and architectural rather than technical; it is one of the trade-offs of the cloud dependency.</t>
  </si>
  <si>
    <t xml:space="preserve">Provider processing not auditable - keyword scan 2/6 of the model outputs; check against the consensus matrix</t>
  </si>
  <si>
    <t xml:space="preserve">11. OBU (firmware and V2X stack)</t>
  </si>
  <si>
    <t xml:space="preserve">The firmware or configuration of the on-board unit is modified so that signature verification is weakened or disabled, which makes every forged message effective in that vehicle.</t>
  </si>
  <si>
    <t xml:space="preserve">Physical or local access through a debug interface, or an unsigned firmware update.</t>
  </si>
  <si>
    <t xml:space="preserve">Direct access to the vehicle or its internal network is required.</t>
  </si>
  <si>
    <t xml:space="preserve">The vehicle accepts forged warnings without any cryptographic barrier (S2).</t>
  </si>
  <si>
    <t xml:space="preserve">Warranty and field campaign costs for the affected units.</t>
  </si>
  <si>
    <t xml:space="preserve">The verification function of the vehicle station is lost.</t>
  </si>
  <si>
    <t xml:space="preserve">Secure boot and signed firmware, disabled debug interfaces in production, attestation of the stack towards the vehicle computer, reporting of verification failures.</t>
  </si>
  <si>
    <t xml:space="preserve">OBU firmware and update process, in-vehicle interfaces (Step 11).</t>
  </si>
  <si>
    <t xml:space="preserve">Complements the vehicle computer row: the same barrier can be removed on either side of the internal link.</t>
  </si>
  <si>
    <t xml:space="preserve">OBU firmware tampering - keyword scan 1/6 of the model outputs; check against the consensus matrix</t>
  </si>
  <si>
    <t xml:space="preserve">Rogue OBU identity - keyword scan 3/6 of the model outputs; check against the consensus matrix</t>
  </si>
  <si>
    <t xml:space="preserve">Displayed warning manipulated - keyword scan 1/6 of the model outputs; check against the consensus matrix</t>
  </si>
  <si>
    <t xml:space="preserve">The video stream between the camera and the computing unit is captured on the roadside network, which discloses images of road users to an unauthorised party.</t>
  </si>
  <si>
    <t xml:space="preserve">A network tap, a compromised device on the same segment, or a wireless link without encryption.</t>
  </si>
  <si>
    <t xml:space="preserve">The attacker must be on the roadside network segment.</t>
  </si>
  <si>
    <t xml:space="preserve">Continuous images of identifiable road users are exposed.</t>
  </si>
  <si>
    <t xml:space="preserve">Encrypt the stream, authenticate both ends, isolate the camera segment, physically protect the cabling and the junction boxes.</t>
  </si>
  <si>
    <t xml:space="preserve">Camera, video link, roadside network (Steps 1-2).</t>
  </si>
  <si>
    <t xml:space="preserve">Same protective measure as the feed injection row: an authenticated and encrypted stream removes both threats at once.</t>
  </si>
  <si>
    <t xml:space="preserve">Camera stream eavesdropping - keyword scan 4/6 of the model outputs; check against the consensus matrix</t>
  </si>
  <si>
    <t xml:space="preserve">11 -&gt; 12. Link OBU to vehicle computer (Ethernet/UDP)</t>
  </si>
  <si>
    <t xml:space="preserve">Messages forwarded from the on-board unit to the vehicle computer are modified or injected on the internal link, which goes undetected when only the OBU verifies signatures.</t>
  </si>
  <si>
    <t xml:space="preserve">A device connected to the in-vehicle network, or a compromised component on the same bus.</t>
  </si>
  <si>
    <t xml:space="preserve">Access to the internal network of the vehicle is required.</t>
  </si>
  <si>
    <t xml:space="preserve">The vehicle computer acts on content that no longer corresponds to any verified message (S2).</t>
  </si>
  <si>
    <t xml:space="preserve">Field campaign and investigation for the affected vehicles.</t>
  </si>
  <si>
    <t xml:space="preserve">The verification performed by the OBU loses its value.</t>
  </si>
  <si>
    <t xml:space="preserve">Authenticate the internal link, pass the verification result together with the message, verify signatures in the vehicle computer as well, restrict which devices may reach the port.</t>
  </si>
  <si>
    <t xml:space="preserve">OBU output interface, in-vehicle network, vehicle computer input (Steps 11-12).</t>
  </si>
  <si>
    <t xml:space="preserve">Shows why the trust boundary must be drawn behind the verification step, not in front of it.</t>
  </si>
  <si>
    <t xml:space="preserve">In-vehicle link manipulation - keyword scan 1/6 of the model outputs; check against the consensus matrix</t>
  </si>
  <si>
    <t xml:space="preserve">Found by (models)</t>
  </si>
  <si>
    <t xml:space="preserve">Model wording (as generated)</t>
  </si>
  <si>
    <t xml:space="preserve">1. Cameras (firmware and management interface)</t>
  </si>
  <si>
    <t xml:space="preserve">Default credentials or a firmware vulnerability on the infrastructure camera give an attacker administrative access to the device and a foothold on the roadside network, from which the computing unit and the RSU can be attacked.</t>
  </si>
  <si>
    <t xml:space="preserve">Scan of the roadside network, login with default credentials or exploitation of an unpatched camera firmware.</t>
  </si>
  <si>
    <t xml:space="preserve">The camera and its management interface are reachable from the roadside network segment.</t>
  </si>
  <si>
    <t xml:space="preserve">The foothold enables manipulation of the detection chain, so warnings can be fabricated or suppressed (S2).</t>
  </si>
  <si>
    <t xml:space="preserve">Replacement or reflashing of devices and a full review of the roadside network.</t>
  </si>
  <si>
    <t xml:space="preserve">Every component behind the camera must be treated as potentially compromised.</t>
  </si>
  <si>
    <t xml:space="preserve">Administrative access to the camera exposes live and stored images of identifiable road users.</t>
  </si>
  <si>
    <t xml:space="preserve">Change default credentials, keep camera firmware patched, place cameras in an isolated VLAN with no route to the computing unit management plane, monitor logins and firmware versions.</t>
  </si>
  <si>
    <t xml:space="preserve">Camera firmware and management interface, roadside network segmentation (Step 1).</t>
  </si>
  <si>
    <t xml:space="preserve">Classic infrastructure weakness that the AI models mostly overlooked, although it is the cheapest entry point into the whole station.</t>
  </si>
  <si>
    <t xml:space="preserve">Authorization, Confidentiality, Integrity.</t>
  </si>
  <si>
    <t xml:space="preserve">T005</t>
  </si>
  <si>
    <t xml:space="preserve">2 of 6: Claude Opus 5, Copilot</t>
  </si>
  <si>
    <t xml:space="preserve">Claude: default credentials or vulnerable firmware on the IP infrastructure camera are exploited to gain a foothold on the roadside network. Copilot: exploitation of camera firmware vulnerabilities grants administrative access to the roadside network.</t>
  </si>
  <si>
    <t xml:space="preserve">1. Cameras (origin of the footage)</t>
  </si>
  <si>
    <t xml:space="preserve">Nothing proves that a stored or transmitted frame really came from the genuine camera, so after an incident it cannot be shown whether the footage behind a warning was authentic or injected.</t>
  </si>
  <si>
    <t xml:space="preserve">The weakness exists by design; an attacker who injects frames benefits from the absence of evidence.</t>
  </si>
  <si>
    <t xml:space="preserve">Frames are injected or replaced on the roadside network, where the evidence would also have to be collected.</t>
  </si>
  <si>
    <t xml:space="preserve">An investigation cannot establish whether the system or an attacker produced a wrong warning.</t>
  </si>
  <si>
    <t xml:space="preserve">Incident analysis is impaired; operation continues.</t>
  </si>
  <si>
    <t xml:space="preserve">Evidence should reference frames rather than store them, to respect the privacy rows.</t>
  </si>
  <si>
    <t xml:space="preserve">Sign or hash frames at the camera where supported, record stream identifiers and continuity counters, keep the hash of the frame that triggered each warning, protect the records.</t>
  </si>
  <si>
    <t xml:space="preserve">Camera, video link, computing unit logging (Steps 1-2).</t>
  </si>
  <si>
    <t xml:space="preserve">Completes the traceability chain at its first stage: without it, every later record starts from unverified input.</t>
  </si>
  <si>
    <t xml:space="preserve">Accountability, Authenticity.</t>
  </si>
  <si>
    <t xml:space="preserve">T006</t>
  </si>
  <si>
    <t xml:space="preserve">1 of 6: Copilot</t>
  </si>
  <si>
    <t xml:space="preserve">Copilot: no audit trail exists to prove whether captured footage originated from the genuine camera.</t>
  </si>
  <si>
    <t xml:space="preserve">3. Situation detection agent (decision records)</t>
  </si>
  <si>
    <t xml:space="preserve">The prompt, the model version, the input frame and the response behind each detection decision are not recorded, so a false or missed detection cannot be attributed to the model, to the input or to an attacker.</t>
  </si>
  <si>
    <t xml:space="preserve">No attack is required; an attacker who manipulates the input benefits from the missing records.</t>
  </si>
  <si>
    <t xml:space="preserve">The decision spans the roadside unit and the cloud service, so evidence would have to be collected across the network path.</t>
  </si>
  <si>
    <t xml:space="preserve">Liability between operator, model provider and vehicle cannot be allocated after an incident.</t>
  </si>
  <si>
    <t xml:space="preserve">Analysis and improvement of the detection quality are both impaired.</t>
  </si>
  <si>
    <t xml:space="preserve">Records should hold references, not copies of the images.</t>
  </si>
  <si>
    <t xml:space="preserve">Log prompt version, model name and version, input frame reference and raw response for every decision; protect the log and synchronise time.</t>
  </si>
  <si>
    <t xml:space="preserve">Agent orchestration, cloud interface, log storage (Steps 3-4).</t>
  </si>
  <si>
    <t xml:space="preserve">Only two models raised it, yet it is the record that makes any later dispute about an AI decision decidable.</t>
  </si>
  <si>
    <t xml:space="preserve">Accountability, Non-repudiation.</t>
  </si>
  <si>
    <t xml:space="preserve">T033</t>
  </si>
  <si>
    <t xml:space="preserve">Claude: the prompt, model version, input frame and response behind each detection decision are not logged. Copilot: agent decisions cannot be traced back to specific prompts, responses, or model versions.</t>
  </si>
  <si>
    <t xml:space="preserve">5. Distance estimate agent (sensor input)</t>
  </si>
  <si>
    <t xml:space="preserve">Manipulated stereo or depth input makes the agent compute a false distance to a vehicle or pedestrian, so the hazard is placed at a wrong point of the road in the warning message.</t>
  </si>
  <si>
    <t xml:space="preserve">Projected patterns, reflective surfaces or a manipulated stereo stream presented to the camera.</t>
  </si>
  <si>
    <t xml:space="preserve">The manipulation happens in the physical environment of the camera; the scale maps this to the lowest feasibility even though no system access is needed.</t>
  </si>
  <si>
    <t xml:space="preserve">Vehicles are warned about a hazard at the wrong distance, so they brake in the wrong place or not at all (S2).</t>
  </si>
  <si>
    <t xml:space="preserve">Compare the monocular estimate with the stereo depth, apply plausibility limits from the camera geometry, reject events outside the monitored road section.</t>
  </si>
  <si>
    <t xml:space="preserve">Two models framed it as spoofing of the sensor input rather than tampering with the model, which is why it did not reach the agreed set.</t>
  </si>
  <si>
    <t xml:space="preserve">T058</t>
  </si>
  <si>
    <t xml:space="preserve">2 of 6: ChatGPT, Copilot</t>
  </si>
  <si>
    <t xml:space="preserve">ChatGPT: a manipulated stereo/depth input causes the component to estimate a false distance. Copilot: fake sensor inputs cause incorrect distance calculations.</t>
  </si>
  <si>
    <t xml:space="preserve">5. Distance estimate agent (depth maps and intermediate data)</t>
  </si>
  <si>
    <t xml:space="preserve">Depth maps and intermediate spatial data are exposed, revealing the structure of the scene and the position of vehicles observed by the roadside camera.</t>
  </si>
  <si>
    <t xml:space="preserve">Access to the computing unit storage, to debug outputs or to log files that keep intermediate results.</t>
  </si>
  <si>
    <t xml:space="preserve">The data rests on the roadside computing unit, reachable from the roadside network.</t>
  </si>
  <si>
    <t xml:space="preserve">Investigation and clean-up of debug artefacts.</t>
  </si>
  <si>
    <t xml:space="preserve">Spatial data reveals where vehicles and persons were, although it identifies them less directly than the images.</t>
  </si>
  <si>
    <t xml:space="preserve">Disable debug outputs in production, keep intermediate results in memory only, restrict access to the unit, apply retention limits to any stored artefacts.</t>
  </si>
  <si>
    <t xml:space="preserve">Computing unit storage and logging, distance estimate agent (Step 5).</t>
  </si>
  <si>
    <t xml:space="preserve">A reminder that the intermediate products of an AI pipeline are data assets in their own right, which the architecture model does not show.</t>
  </si>
  <si>
    <t xml:space="preserve">T055</t>
  </si>
  <si>
    <t xml:space="preserve">ChatGPT: depth maps or intermediate spatial data are exposed, revealing the structure of scenes captured by roadside cameras. Copilot: environmental and vehicle location information is leaked through outputs.</t>
  </si>
  <si>
    <t xml:space="preserve">5. Distance estimate agent (model serving process)</t>
  </si>
  <si>
    <t xml:space="preserve">A vulnerability in the process that serves the depth model is exploited to execute code with its privileges and to reach other services on the roadside unit.</t>
  </si>
  <si>
    <t xml:space="preserve">Crafted input to the model server, or an unpatched dependency of the serving framework.</t>
  </si>
  <si>
    <t xml:space="preserve">The serving process is reached from the roadside network or through the data it consumes.</t>
  </si>
  <si>
    <t xml:space="preserve">Code execution on the unit allows detection results and messages to be manipulated (S2).</t>
  </si>
  <si>
    <t xml:space="preserve">Rebuild of the unit and review of every station using the same image.</t>
  </si>
  <si>
    <t xml:space="preserve">All functions hosted on the computing unit are affected.</t>
  </si>
  <si>
    <t xml:space="preserve">Access to the unit exposes camera-derived data held there.</t>
  </si>
  <si>
    <t xml:space="preserve">Run inference in a sandbox or container with least privilege, patch serving frameworks, validate input dimensions and types, separate the inference process from the message generation process.</t>
  </si>
  <si>
    <t xml:space="preserve">Model serving process, computing unit operating system (Step 5).</t>
  </si>
  <si>
    <t xml:space="preserve">The only model that raised it looked at the AI components as ordinary software, which is exactly the view a tool-based analysis takes.</t>
  </si>
  <si>
    <t xml:space="preserve">Authorization, Integrity.</t>
  </si>
  <si>
    <t xml:space="preserve">T059</t>
  </si>
  <si>
    <t xml:space="preserve">Copilot: model-serving vulnerabilities permit escalation to privileged roadside services.</t>
  </si>
  <si>
    <t xml:space="preserve">5. Distance estimate agent (calculation records)</t>
  </si>
  <si>
    <t xml:space="preserve">How a distance value was produced is not recorded, so a wrong event position in a message cannot be traced back to the input, the model or a manipulation.</t>
  </si>
  <si>
    <t xml:space="preserve">The weakness exists by design.</t>
  </si>
  <si>
    <t xml:space="preserve">The records would be produced on the roadside computing unit.</t>
  </si>
  <si>
    <t xml:space="preserve">A dispute about a wrong event position cannot be settled with evidence.</t>
  </si>
  <si>
    <t xml:space="preserve">Root cause analysis of position errors is not possible.</t>
  </si>
  <si>
    <t xml:space="preserve">No personal data is affected if references are stored instead of images.</t>
  </si>
  <si>
    <t xml:space="preserve">Record the input reference, the model version and the resulting distance with each event, alongside the detection record.</t>
  </si>
  <si>
    <t xml:space="preserve">Distance estimate agent, computing unit logging (Step 5).</t>
  </si>
  <si>
    <t xml:space="preserve">Same gap as for the detection agent, one stage later in the chain.</t>
  </si>
  <si>
    <t xml:space="preserve">Accountability.</t>
  </si>
  <si>
    <t xml:space="preserve">T060</t>
  </si>
  <si>
    <t xml:space="preserve">Copilot: insufficient logging prevents validation of how distance values were generated.</t>
  </si>
  <si>
    <t xml:space="preserve">6. Message generation agent (message content)</t>
  </si>
  <si>
    <t xml:space="preserve">The generated message or its underlying context reveals more than the hazard itself, for example precise vehicle positions or details of the infrastructure that produced it.</t>
  </si>
  <si>
    <t xml:space="preserve">Passive reception of the broadcast messages, or access to the generation context kept on the unit.</t>
  </si>
  <si>
    <t xml:space="preserve">DENMs are broadcast openly to every receiver in range.</t>
  </si>
  <si>
    <t xml:space="preserve">Review of the message content policy and possible data protection consequences.</t>
  </si>
  <si>
    <t xml:space="preserve">Operation continues; the content may have to be reduced.</t>
  </si>
  <si>
    <t xml:space="preserve">Precise positions of the vehicles involved in an accident can identify the persons concerned.</t>
  </si>
  <si>
    <t xml:space="preserve">Keep the message to the fields required by the standard, avoid free text, round positions to the precision needed for the warning, review what the model is allowed to include.</t>
  </si>
  <si>
    <t xml:space="preserve">Message generation agent, DENM content policy (Steps 6-8).</t>
  </si>
  <si>
    <t xml:space="preserve">A message that must be broadcast to be useful is also a message that anyone can read, which is easy to forget when a language model writes its content.</t>
  </si>
  <si>
    <t xml:space="preserve">T070</t>
  </si>
  <si>
    <t xml:space="preserve">ChatGPT: the generated message or its underlying accident context reveals sensitive location or vehicle information. Copilot: generated messages expose confidential infrastructure information.</t>
  </si>
  <si>
    <t xml:space="preserve">6. Message generation agent (agent credentials and interfaces)</t>
  </si>
  <si>
    <t xml:space="preserve">Prompt injection or stolen agent credentials give an attacker control over the message generation interface, so arbitrary DENMs can be produced through the legitimate path and signed by the RSU.</t>
  </si>
  <si>
    <t xml:space="preserve">Injected instructions in the image content, or credentials extracted from the computing unit.</t>
  </si>
  <si>
    <t xml:space="preserve">The interfaces and credentials are reachable over the network path of the agent.</t>
  </si>
  <si>
    <t xml:space="preserve">The attacker decides what every vehicle in range is told, through a path that passes all downstream checks (S3).</t>
  </si>
  <si>
    <t xml:space="preserve">Liability for resulting collisions and a full review of the generation chain.</t>
  </si>
  <si>
    <t xml:space="preserve">Control of the warning function is transferred to the attacker while the system appears healthy.</t>
  </si>
  <si>
    <t xml:space="preserve">No direct personal data effect beyond the other rows.</t>
  </si>
  <si>
    <t xml:space="preserve">Separate instructions from content, restrict the agent to a schema with allowed values, store credentials in a hardware-backed keystore, authenticate the call from the agent to the encoder, log every generated message with its origin.</t>
  </si>
  <si>
    <t xml:space="preserve">Message generation agent, credentials store, DENM encoder interface (Steps 6-8).</t>
  </si>
  <si>
    <t xml:space="preserve">The highest risk value of the rare set, which shows that low agreement between models does not mean low severity.</t>
  </si>
  <si>
    <t xml:space="preserve">Authorization, Integrity, Authenticity.</t>
  </si>
  <si>
    <t xml:space="preserve">T074</t>
  </si>
  <si>
    <t xml:space="preserve">ChatGPT: prompt injection or compromised agent credentials allow unauthorized access to message-generation APIs or downstream ITS functions. Copilot: compromised agent obtains unauthorized control over DENM generation workflows.</t>
  </si>
  <si>
    <t xml:space="preserve">8. DENM encoder (ASN.1 parsing on the encoder host)</t>
  </si>
  <si>
    <t xml:space="preserve">A parsing weakness in the ASN.1 implementation is exploited by crafted field values, leading to code execution on the host that builds and signs the messages.</t>
  </si>
  <si>
    <t xml:space="preserve">Out-of-range or malformed values reaching the encoder from the model response, or a crafted message processed during testing.</t>
  </si>
  <si>
    <t xml:space="preserve">The values arrive over the network path from the cloud model.</t>
  </si>
  <si>
    <t xml:space="preserve">Code execution next to the signing path allows arbitrary signed messages, with the same consequences as a compromised RSU (S3).</t>
  </si>
  <si>
    <t xml:space="preserve">Rebuild and revalidation of the station software.</t>
  </si>
  <si>
    <t xml:space="preserve">The message generation and signing chain is fully controlled by the attacker.</t>
  </si>
  <si>
    <t xml:space="preserve">Access to the host exposes the data it holds.</t>
  </si>
  <si>
    <t xml:space="preserve">Validate values against the schema before encoding, use a memory-safe or fuzz-tested encoder, isolate the encoder process, patch the ASN.1 library.</t>
  </si>
  <si>
    <t xml:space="preserve">DENM encoder process and library, computing unit isolation (Step 8).</t>
  </si>
  <si>
    <t xml:space="preserve">Mirrors the parser row on the receiving side: the same weakness exists where messages are built, not only where they are read.</t>
  </si>
  <si>
    <t xml:space="preserve">T101</t>
  </si>
  <si>
    <t xml:space="preserve">Copilot: ASN.1 parsing vulnerabilities enable code execution on the encoder host.</t>
  </si>
  <si>
    <t xml:space="preserve">A compromise at network level on the path to the cloud service is used to reach other infrastructure services that trust the same connection, beyond the model interface itself.</t>
  </si>
  <si>
    <t xml:space="preserve">Compromise of the gateway, the APN or a shared network element used by the roadside station.</t>
  </si>
  <si>
    <t xml:space="preserve">The path crosses operator and provider networks that the station cannot control.</t>
  </si>
  <si>
    <t xml:space="preserve">Access to trusted services allows manipulation of the detection and messaging chain (S2).</t>
  </si>
  <si>
    <t xml:space="preserve">Incident response across the network infrastructure and possible service interruption.</t>
  </si>
  <si>
    <t xml:space="preserve">Several stations can be affected at once through the shared path.</t>
  </si>
  <si>
    <t xml:space="preserve">Traffic on the path includes camera images.</t>
  </si>
  <si>
    <t xml:space="preserve">Terminate the station traffic in a dedicated APN or VPN, allow only the endpoints the station needs, apply mutual authentication, segment the network so that a compromise of one path does not grant access to other services.</t>
  </si>
  <si>
    <t xml:space="preserve">Cellular connection, gateways, network segmentation (Steps 3-7).</t>
  </si>
  <si>
    <t xml:space="preserve">Not enumerated by medini, because the tool generates no elevation of privilege threat for connections.</t>
  </si>
  <si>
    <t xml:space="preserve">not enumerated by medini</t>
  </si>
  <si>
    <t xml:space="preserve">Copilot: network-level compromise enables unauthorized access to trusted infrastructure services.</t>
  </si>
  <si>
    <t xml:space="preserve">Neither side can prove what was sent or received over the link, so the operator and the model provider can each deny responsibility for a request or a response behind a wrong warning.</t>
  </si>
  <si>
    <t xml:space="preserve">No signed or timestamped record of the exchange is kept on either side.</t>
  </si>
  <si>
    <t xml:space="preserve">The exchange crosses the public network between two administrative domains.</t>
  </si>
  <si>
    <t xml:space="preserve">Disputes with the provider cannot be settled, and liability stays with the operator by default.</t>
  </si>
  <si>
    <t xml:space="preserve">Root cause analysis stops at the domain boundary.</t>
  </si>
  <si>
    <t xml:space="preserve">Records should reference content rather than copy it.</t>
  </si>
  <si>
    <t xml:space="preserve">Keep signed and timestamped request and response records on the operator side, agree processing records or audit rights in the contract, prefer providers that return a model version with each response.</t>
  </si>
  <si>
    <t xml:space="preserve">Computing unit logging, provider contract (Steps 3-7).</t>
  </si>
  <si>
    <t xml:space="preserve">Not enumerated by medini, because the tool generates no repudiation threat for connections.</t>
  </si>
  <si>
    <t xml:space="preserve">Copilot: participants deny having transmitted or received safety-critical messages.</t>
  </si>
  <si>
    <t xml:space="preserve">9 -&gt; 11. PC5 sidelink (transmission records)</t>
  </si>
  <si>
    <t xml:space="preserve">Transmitted messages cannot be attributed to a particular roadside unit instance or to the operator who configured it, so an operator can deny having broadcast a wrong or malicious alert.</t>
  </si>
  <si>
    <t xml:space="preserve">Missing or insufficient security logging of what each unit signed and transmitted.</t>
  </si>
  <si>
    <t xml:space="preserve">The messages are broadcast over the air and are not recorded anywhere by default.</t>
  </si>
  <si>
    <t xml:space="preserve">After an incident, responsibility between operator, integrator and manufacturer cannot be established.</t>
  </si>
  <si>
    <t xml:space="preserve">Supervision of the deployment loses evidential value.</t>
  </si>
  <si>
    <t xml:space="preserve">Transmission records contain no personal data beyond the message content.</t>
  </si>
  <si>
    <t xml:space="preserve">Record every signed message with its certificate, timestamp and unit identifier, store the records centrally, protect them against modification and keep time synchronised.</t>
  </si>
  <si>
    <t xml:space="preserve">RSU logging, central ITS-S storage, time synchronisation (Steps 9-10).</t>
  </si>
  <si>
    <t xml:space="preserve">Not enumerated by medini, because the tool generates no repudiation threat for connections; the equivalent component threat is covered in the full analysis.</t>
  </si>
  <si>
    <t xml:space="preserve">ChatGPT: insufficient security logging prevents attribution of signed or transmitted messages to a particular RSU instance or administrative operator. Copilot: RSU operators deny transmitting malicious or incorrect alerts.</t>
  </si>
  <si>
    <t xml:space="preserve">Risk summary - AI-generated threat scenarios</t>
  </si>
  <si>
    <t xml:space="preserve">Risk value</t>
  </si>
  <si>
    <t xml:space="preserve">Rows</t>
  </si>
  <si>
    <t xml:space="preserve">Critical</t>
  </si>
  <si>
    <t xml:space="preserve">High</t>
  </si>
  <si>
    <t xml:space="preserve">Medium</t>
  </si>
  <si>
    <t xml:space="preserve">Low</t>
  </si>
  <si>
    <t xml:space="preserve">Very Low</t>
  </si>
  <si>
    <t xml:space="preserve">Total</t>
  </si>
  <si>
    <t xml:space="preserve">STRIDE category</t>
  </si>
  <si>
    <t xml:space="preserve">Severity level</t>
  </si>
  <si>
    <t xml:space="preserve">Average risk score</t>
  </si>
  <si>
    <t xml:space="preserve">Highest risk score</t>
  </si>
  <si>
    <t xml:space="preserve">Scenarios analysed</t>
  </si>
  <si>
    <t xml:space="preserve">Note</t>
  </si>
  <si>
    <t xml:space="preserve">Counts refer to the rows of the sheet 'AI threat scenarios'. One consensus theme can span several rows when it has several attack paths.</t>
  </si>
  <si>
    <t xml:space="preserve">ID</t>
  </si>
  <si>
    <t xml:space="preserve">Name</t>
  </si>
  <si>
    <t xml:space="preserve">Assets</t>
  </si>
  <si>
    <t xml:space="preserve">To Be Assessed</t>
  </si>
  <si>
    <t xml:space="preserve">Category</t>
  </si>
  <si>
    <t xml:space="preserve">Description</t>
  </si>
  <si>
    <t xml:space="preserve">Equipment</t>
  </si>
  <si>
    <t xml:space="preserve">Expertise</t>
  </si>
  <si>
    <t xml:space="preserve">Knowledge about TOE</t>
  </si>
  <si>
    <t xml:space="preserve">Window of Opportunity</t>
  </si>
  <si>
    <t xml:space="preserve">Likelihood Level</t>
  </si>
  <si>
    <t xml:space="preserve">Asset (clean)</t>
  </si>
  <si>
    <t xml:space="preserve">Key</t>
  </si>
  <si>
    <t xml:space="preserve">Component</t>
  </si>
  <si>
    <t xml:space="preserve">Element type</t>
  </si>
  <si>
    <t xml:space="preserve">AI scenarios</t>
  </si>
  <si>
    <t xml:space="preserve">Covered by AI</t>
  </si>
  <si>
    <t xml:space="preserve">T001</t>
  </si>
  <si>
    <t xml:space="preserve">Information Disclosure of Mono + Stereo</t>
  </si>
  <si>
    <t xml:space="preserve"> • Mono + Stereo</t>
  </si>
  <si>
    <t xml:space="preserve">true</t>
  </si>
  <si>
    <t xml:space="preserve">Information Disclosure</t>
  </si>
  <si>
    <t xml:space="preserve">Mono + Stereo</t>
  </si>
  <si>
    <t xml:space="preserve">Tampering of Mono + Stereo</t>
  </si>
  <si>
    <t xml:space="preserve">Denial of Service of Mono + Stereo</t>
  </si>
  <si>
    <t xml:space="preserve">Denial of Service</t>
  </si>
  <si>
    <t xml:space="preserve">Spoofing of Mono + Stereo</t>
  </si>
  <si>
    <t xml:space="preserve">Elevation of Privilege of Mono + Stereo</t>
  </si>
  <si>
    <t xml:space="preserve">Elevation of Privilege</t>
  </si>
  <si>
    <t xml:space="preserve">Repudiation of Mono + Stereo</t>
  </si>
  <si>
    <t xml:space="preserve">T007</t>
  </si>
  <si>
    <t xml:space="preserve">Information Disclosure of image_out</t>
  </si>
  <si>
    <t xml:space="preserve"> • Mono + Stereo::image_out</t>
  </si>
  <si>
    <t xml:space="preserve">Mono + Stereo::image_out</t>
  </si>
  <si>
    <t xml:space="preserve">Port</t>
  </si>
  <si>
    <t xml:space="preserve">T008</t>
  </si>
  <si>
    <t xml:space="preserve">Tampering of image_out</t>
  </si>
  <si>
    <t xml:space="preserve">T009</t>
  </si>
  <si>
    <t xml:space="preserve">Denial of Service of image_out</t>
  </si>
  <si>
    <t xml:space="preserve">T010</t>
  </si>
  <si>
    <t xml:space="preserve">Information Disclosure of image_out ↔ image_in</t>
  </si>
  <si>
    <t xml:space="preserve"> • image_out ↔ image_in</t>
  </si>
  <si>
    <t xml:space="preserve">image_out ↔ image_in</t>
  </si>
  <si>
    <t xml:space="preserve">(connection)</t>
  </si>
  <si>
    <t xml:space="preserve">Connection</t>
  </si>
  <si>
    <t xml:space="preserve">T011</t>
  </si>
  <si>
    <t xml:space="preserve">Tampering of image_out ↔ image_in</t>
  </si>
  <si>
    <t xml:space="preserve">T012</t>
  </si>
  <si>
    <t xml:space="preserve">Denial of Service of image_out ↔ image_in</t>
  </si>
  <si>
    <t xml:space="preserve">T013</t>
  </si>
  <si>
    <t xml:space="preserve">Information Disclosure of YOLOv5 fast path</t>
  </si>
  <si>
    <t xml:space="preserve"> • YOLOv5 fast path</t>
  </si>
  <si>
    <t xml:space="preserve">YOLOv5 fast path</t>
  </si>
  <si>
    <t xml:space="preserve">T014</t>
  </si>
  <si>
    <t xml:space="preserve">Tampering of YOLOv5 fast path</t>
  </si>
  <si>
    <t xml:space="preserve">T015</t>
  </si>
  <si>
    <t xml:space="preserve">Denial of Service of YOLOv5 fast path</t>
  </si>
  <si>
    <t xml:space="preserve">T016</t>
  </si>
  <si>
    <t xml:space="preserve">Spoofing of YOLOv5 fast path</t>
  </si>
  <si>
    <t xml:space="preserve">T017</t>
  </si>
  <si>
    <t xml:space="preserve">Elevation of Privilege of YOLOv5 fast path</t>
  </si>
  <si>
    <t xml:space="preserve">T018</t>
  </si>
  <si>
    <t xml:space="preserve">Repudiation of YOLOv5 fast path</t>
  </si>
  <si>
    <t xml:space="preserve">T019</t>
  </si>
  <si>
    <t xml:space="preserve">Information Disclosure of image_in</t>
  </si>
  <si>
    <t xml:space="preserve"> • YOLOv5 fast path::image_in</t>
  </si>
  <si>
    <t xml:space="preserve">YOLOv5 fast path::image_in</t>
  </si>
  <si>
    <t xml:space="preserve">T020</t>
  </si>
  <si>
    <t xml:space="preserve">Tampering of image_in</t>
  </si>
  <si>
    <t xml:space="preserve">T021</t>
  </si>
  <si>
    <t xml:space="preserve">Denial of Service of image_in</t>
  </si>
  <si>
    <t xml:space="preserve">T022</t>
  </si>
  <si>
    <t xml:space="preserve">Information Disclosure of detections_out</t>
  </si>
  <si>
    <t xml:space="preserve"> • YOLOv5 fast path::detections_out</t>
  </si>
  <si>
    <t xml:space="preserve">YOLOv5 fast path::detections_out</t>
  </si>
  <si>
    <t xml:space="preserve">T023</t>
  </si>
  <si>
    <t xml:space="preserve">Tampering of detections_out</t>
  </si>
  <si>
    <t xml:space="preserve">T024</t>
  </si>
  <si>
    <t xml:space="preserve">Denial of Service of detections_out</t>
  </si>
  <si>
    <t xml:space="preserve">T025</t>
  </si>
  <si>
    <t xml:space="preserve">Information Disclosure of detections_out ↔ detections_in</t>
  </si>
  <si>
    <t xml:space="preserve"> • detections_out ↔ detections_in</t>
  </si>
  <si>
    <t xml:space="preserve">detections_out ↔ detections_in</t>
  </si>
  <si>
    <t xml:space="preserve">T026</t>
  </si>
  <si>
    <t xml:space="preserve">Tampering of detections_out ↔ detections_in</t>
  </si>
  <si>
    <t xml:space="preserve">T027</t>
  </si>
  <si>
    <t xml:space="preserve">Denial of Service of detections_out ↔ detections_in</t>
  </si>
  <si>
    <t xml:space="preserve">T028</t>
  </si>
  <si>
    <t xml:space="preserve">Information Disclosure of Agent 1, MLLM call</t>
  </si>
  <si>
    <t xml:space="preserve"> • Agent 1, MLLM call</t>
  </si>
  <si>
    <t xml:space="preserve">Agent 1, MLLM call</t>
  </si>
  <si>
    <t xml:space="preserve">T029</t>
  </si>
  <si>
    <t xml:space="preserve">Tampering of Agent 1, MLLM call</t>
  </si>
  <si>
    <t xml:space="preserve">T030</t>
  </si>
  <si>
    <t xml:space="preserve">Denial of Service of Agent 1, MLLM call</t>
  </si>
  <si>
    <t xml:space="preserve">T031</t>
  </si>
  <si>
    <t xml:space="preserve">Spoofing of Agent 1, MLLM call</t>
  </si>
  <si>
    <t xml:space="preserve">T032</t>
  </si>
  <si>
    <t xml:space="preserve">Elevation of Privilege of Agent 1, MLLM call</t>
  </si>
  <si>
    <t xml:space="preserve">Repudiation of Agent 1, MLLM call</t>
  </si>
  <si>
    <t xml:space="preserve">T034</t>
  </si>
  <si>
    <t xml:space="preserve">Information Disclosure of detections_in</t>
  </si>
  <si>
    <t xml:space="preserve"> • Agent 1, MLLM call::detections_in</t>
  </si>
  <si>
    <t xml:space="preserve">Agent 1, MLLM call::detections_in</t>
  </si>
  <si>
    <t xml:space="preserve">T035</t>
  </si>
  <si>
    <t xml:space="preserve">Tampering of detections_in</t>
  </si>
  <si>
    <t xml:space="preserve">T036</t>
  </si>
  <si>
    <t xml:space="preserve">Denial of Service of detections_in</t>
  </si>
  <si>
    <t xml:space="preserve">T037</t>
  </si>
  <si>
    <t xml:space="preserve">Information Disclosure of hazard_out</t>
  </si>
  <si>
    <t xml:space="preserve"> • Agent 1, MLLM call::hazard_out</t>
  </si>
  <si>
    <t xml:space="preserve">Agent 1, MLLM call::hazard_out</t>
  </si>
  <si>
    <t xml:space="preserve">T038</t>
  </si>
  <si>
    <t xml:space="preserve">Tampering of hazard_out</t>
  </si>
  <si>
    <t xml:space="preserve">T039</t>
  </si>
  <si>
    <t xml:space="preserve">Denial of Service of hazard_out</t>
  </si>
  <si>
    <t xml:space="preserve">T040</t>
  </si>
  <si>
    <t xml:space="preserve">Information Disclosure of mllm_request</t>
  </si>
  <si>
    <t xml:space="preserve"> • Agent 1, MLLM call::mllm_request</t>
  </si>
  <si>
    <t xml:space="preserve">Agent 1, MLLM call::mllm_request</t>
  </si>
  <si>
    <t xml:space="preserve">T041</t>
  </si>
  <si>
    <t xml:space="preserve">Tampering of mllm_request</t>
  </si>
  <si>
    <t xml:space="preserve">T042</t>
  </si>
  <si>
    <t xml:space="preserve">Denial of Service of mllm_request</t>
  </si>
  <si>
    <t xml:space="preserve">T043</t>
  </si>
  <si>
    <t xml:space="preserve">Information Disclosure of uu_mllm_link</t>
  </si>
  <si>
    <t xml:space="preserve"> • Agent 1, MLLM call::uu_mllm_link</t>
  </si>
  <si>
    <t xml:space="preserve">Agent 1, MLLM call::uu_mllm_link</t>
  </si>
  <si>
    <t xml:space="preserve">T044</t>
  </si>
  <si>
    <t xml:space="preserve">Tampering of uu_mllm_link</t>
  </si>
  <si>
    <t xml:space="preserve">T045</t>
  </si>
  <si>
    <t xml:space="preserve">Denial of Service of uu_mllm_link</t>
  </si>
  <si>
    <t xml:space="preserve">T046</t>
  </si>
  <si>
    <t xml:space="preserve">Information Disclosure of hazard_out ↔ hazard_in</t>
  </si>
  <si>
    <t xml:space="preserve"> • hazard_out ↔ hazard_in</t>
  </si>
  <si>
    <t xml:space="preserve">hazard_out ↔ hazard_in</t>
  </si>
  <si>
    <t xml:space="preserve">T047</t>
  </si>
  <si>
    <t xml:space="preserve">Tampering of hazard_out ↔ hazard_in</t>
  </si>
  <si>
    <t xml:space="preserve">T048</t>
  </si>
  <si>
    <t xml:space="preserve">Denial of Service of hazard_out ↔ hazard_in</t>
  </si>
  <si>
    <t xml:space="preserve">T049</t>
  </si>
  <si>
    <t xml:space="preserve">Information Disclosure of mllm_request ↔ mllm_in</t>
  </si>
  <si>
    <t xml:space="preserve"> • mllm_request ↔ mllm_in</t>
  </si>
  <si>
    <t xml:space="preserve">mllm_request ↔ mllm_in</t>
  </si>
  <si>
    <t xml:space="preserve">T050</t>
  </si>
  <si>
    <t xml:space="preserve">Tampering of mllm_request ↔ mllm_in</t>
  </si>
  <si>
    <t xml:space="preserve">T051</t>
  </si>
  <si>
    <t xml:space="preserve">Denial of Service of mllm_request ↔ mllm_in</t>
  </si>
  <si>
    <t xml:space="preserve">Information Disclosure of uu_mllm_link ↔ mllm_link_1</t>
  </si>
  <si>
    <t xml:space="preserve"> • uu_mllm_link ↔ mllm_link_1</t>
  </si>
  <si>
    <t xml:space="preserve">uu_mllm_link ↔ mllm_link_1</t>
  </si>
  <si>
    <t xml:space="preserve">Tampering of uu_mllm_link ↔ mllm_link_1</t>
  </si>
  <si>
    <t xml:space="preserve">Denial of Service of uu_mllm_link ↔ mllm_link_1</t>
  </si>
  <si>
    <t xml:space="preserve">Information Disclosure of Agent 2, Depth Pro</t>
  </si>
  <si>
    <t xml:space="preserve"> • Agent 2, Depth Pro</t>
  </si>
  <si>
    <t xml:space="preserve">Agent 2, Depth Pro</t>
  </si>
  <si>
    <t xml:space="preserve">T056</t>
  </si>
  <si>
    <t xml:space="preserve">Tampering of Agent 2, Depth Pro</t>
  </si>
  <si>
    <t xml:space="preserve">T057</t>
  </si>
  <si>
    <t xml:space="preserve">Denial of Service of Agent 2, Depth Pro</t>
  </si>
  <si>
    <t xml:space="preserve">Spoofing of Agent 2, Depth Pro</t>
  </si>
  <si>
    <t xml:space="preserve">Elevation of Privilege of Agent 2, Depth Pro</t>
  </si>
  <si>
    <t xml:space="preserve">Repudiation of Agent 2, Depth Pro</t>
  </si>
  <si>
    <t xml:space="preserve">T061</t>
  </si>
  <si>
    <t xml:space="preserve">Information Disclosure of hazard_in</t>
  </si>
  <si>
    <t xml:space="preserve"> • Agent 2, Depth Pro::hazard_in</t>
  </si>
  <si>
    <t xml:space="preserve">Agent 2, Depth Pro::hazard_in</t>
  </si>
  <si>
    <t xml:space="preserve">T062</t>
  </si>
  <si>
    <t xml:space="preserve">Tampering of hazard_in</t>
  </si>
  <si>
    <t xml:space="preserve">T063</t>
  </si>
  <si>
    <t xml:space="preserve">Denial of Service of hazard_in</t>
  </si>
  <si>
    <t xml:space="preserve">T064</t>
  </si>
  <si>
    <t xml:space="preserve">Information Disclosure of distance_out</t>
  </si>
  <si>
    <t xml:space="preserve"> • Agent 2, Depth Pro::distance_out</t>
  </si>
  <si>
    <t xml:space="preserve">Agent 2, Depth Pro::distance_out</t>
  </si>
  <si>
    <t xml:space="preserve">T065</t>
  </si>
  <si>
    <t xml:space="preserve">Tampering of distance_out</t>
  </si>
  <si>
    <t xml:space="preserve">T066</t>
  </si>
  <si>
    <t xml:space="preserve">Denial of Service of distance_out</t>
  </si>
  <si>
    <t xml:space="preserve">T067</t>
  </si>
  <si>
    <t xml:space="preserve">Information Disclosure of distance_out ↔ distance_in</t>
  </si>
  <si>
    <t xml:space="preserve"> • distance_out ↔ distance_in</t>
  </si>
  <si>
    <t xml:space="preserve">distance_out ↔ distance_in</t>
  </si>
  <si>
    <t xml:space="preserve">T068</t>
  </si>
  <si>
    <t xml:space="preserve">Tampering of distance_out ↔ distance_in</t>
  </si>
  <si>
    <t xml:space="preserve">T069</t>
  </si>
  <si>
    <t xml:space="preserve">Denial of Service of distance_out ↔ distance_in</t>
  </si>
  <si>
    <t xml:space="preserve">Information Disclosure of Agent 3, MLLM call</t>
  </si>
  <si>
    <t xml:space="preserve"> • Agent 3, MLLM call</t>
  </si>
  <si>
    <t xml:space="preserve">Agent 3, MLLM call</t>
  </si>
  <si>
    <t xml:space="preserve">T071</t>
  </si>
  <si>
    <t xml:space="preserve">Tampering of Agent 3, MLLM call</t>
  </si>
  <si>
    <t xml:space="preserve">T072</t>
  </si>
  <si>
    <t xml:space="preserve">Denial of Service of Agent 3, MLLM call</t>
  </si>
  <si>
    <t xml:space="preserve">T073</t>
  </si>
  <si>
    <t xml:space="preserve">Spoofing of Agent 3, MLLM call</t>
  </si>
  <si>
    <t xml:space="preserve">Elevation of Privilege of Agent 3, MLLM call</t>
  </si>
  <si>
    <t xml:space="preserve">T075</t>
  </si>
  <si>
    <t xml:space="preserve">Repudiation of Agent 3, MLLM call</t>
  </si>
  <si>
    <t xml:space="preserve">T076</t>
  </si>
  <si>
    <t xml:space="preserve">Information Disclosure of distance_in</t>
  </si>
  <si>
    <t xml:space="preserve"> • Agent 3, MLLM call::distance_in</t>
  </si>
  <si>
    <t xml:space="preserve">Agent 3, MLLM call::distance_in</t>
  </si>
  <si>
    <t xml:space="preserve">T077</t>
  </si>
  <si>
    <t xml:space="preserve">Tampering of distance_in</t>
  </si>
  <si>
    <t xml:space="preserve">T078</t>
  </si>
  <si>
    <t xml:space="preserve">Denial of Service of distance_in</t>
  </si>
  <si>
    <t xml:space="preserve">T079</t>
  </si>
  <si>
    <t xml:space="preserve">Information Disclosure of content_out</t>
  </si>
  <si>
    <t xml:space="preserve"> • Agent 3, MLLM call::content_out</t>
  </si>
  <si>
    <t xml:space="preserve">Agent 3, MLLM call::content_out</t>
  </si>
  <si>
    <t xml:space="preserve">T080</t>
  </si>
  <si>
    <t xml:space="preserve">Tampering of content_out</t>
  </si>
  <si>
    <t xml:space="preserve">T081</t>
  </si>
  <si>
    <t xml:space="preserve">Denial of Service of content_out</t>
  </si>
  <si>
    <t xml:space="preserve">T082</t>
  </si>
  <si>
    <t xml:space="preserve"> • Agent 3, MLLM call::mllm_request</t>
  </si>
  <si>
    <t xml:space="preserve">Agent 3, MLLM call::mllm_request</t>
  </si>
  <si>
    <t xml:space="preserve">T083</t>
  </si>
  <si>
    <t xml:space="preserve">T084</t>
  </si>
  <si>
    <t xml:space="preserve">T085</t>
  </si>
  <si>
    <t xml:space="preserve"> • Agent 3, MLLM call::uu_mllm_link</t>
  </si>
  <si>
    <t xml:space="preserve">Agent 3, MLLM call::uu_mllm_link</t>
  </si>
  <si>
    <t xml:space="preserve">T086</t>
  </si>
  <si>
    <t xml:space="preserve">T087</t>
  </si>
  <si>
    <t xml:space="preserve">T088</t>
  </si>
  <si>
    <t xml:space="preserve">Information Disclosure of content_out ↔ content_in</t>
  </si>
  <si>
    <t xml:space="preserve"> • content_out ↔ content_in</t>
  </si>
  <si>
    <t xml:space="preserve">content_out ↔ content_in</t>
  </si>
  <si>
    <t xml:space="preserve">T089</t>
  </si>
  <si>
    <t xml:space="preserve">Tampering of content_out ↔ content_in</t>
  </si>
  <si>
    <t xml:space="preserve">T090</t>
  </si>
  <si>
    <t xml:space="preserve">Denial of Service of content_out ↔ content_in</t>
  </si>
  <si>
    <t xml:space="preserve">T091</t>
  </si>
  <si>
    <t xml:space="preserve">Information Disclosure of mllm_request ↔ mllm_in_2</t>
  </si>
  <si>
    <t xml:space="preserve"> • mllm_request ↔ mllm_in_2</t>
  </si>
  <si>
    <t xml:space="preserve">mllm_request ↔ mllm_in_2</t>
  </si>
  <si>
    <t xml:space="preserve">T092</t>
  </si>
  <si>
    <t xml:space="preserve">Tampering of mllm_request ↔ mllm_in_2</t>
  </si>
  <si>
    <t xml:space="preserve">T093</t>
  </si>
  <si>
    <t xml:space="preserve">Denial of Service of mllm_request ↔ mllm_in_2</t>
  </si>
  <si>
    <t xml:space="preserve">T094</t>
  </si>
  <si>
    <t xml:space="preserve">Information Disclosure of uu_mllm_link ↔ mllm_link_2</t>
  </si>
  <si>
    <t xml:space="preserve"> • uu_mllm_link ↔ mllm_link_2</t>
  </si>
  <si>
    <t xml:space="preserve">uu_mllm_link ↔ mllm_link_2</t>
  </si>
  <si>
    <t xml:space="preserve">T095</t>
  </si>
  <si>
    <t xml:space="preserve">Tampering of uu_mllm_link ↔ mllm_link_2</t>
  </si>
  <si>
    <t xml:space="preserve">T096</t>
  </si>
  <si>
    <t xml:space="preserve">Denial of Service of uu_mllm_link ↔ mllm_link_2</t>
  </si>
  <si>
    <t xml:space="preserve">T097</t>
  </si>
  <si>
    <t xml:space="preserve">Information Disclosure of ASN.1 UPER payload</t>
  </si>
  <si>
    <t xml:space="preserve"> • ASN.1 UPER payload</t>
  </si>
  <si>
    <t xml:space="preserve">ASN.1 UPER payload</t>
  </si>
  <si>
    <t xml:space="preserve">Tampering of ASN.1 UPER payload</t>
  </si>
  <si>
    <t xml:space="preserve">T099</t>
  </si>
  <si>
    <t xml:space="preserve">Denial of Service of ASN.1 UPER payload</t>
  </si>
  <si>
    <t xml:space="preserve">T100</t>
  </si>
  <si>
    <t xml:space="preserve">Spoofing of ASN.1 UPER payload</t>
  </si>
  <si>
    <t xml:space="preserve">Elevation of Privilege of ASN.1 UPER payload</t>
  </si>
  <si>
    <t xml:space="preserve">T102</t>
  </si>
  <si>
    <t xml:space="preserve">Repudiation of ASN.1 UPER payload</t>
  </si>
  <si>
    <t xml:space="preserve">T103</t>
  </si>
  <si>
    <t xml:space="preserve">Information Disclosure of content_in</t>
  </si>
  <si>
    <t xml:space="preserve"> • ASN.1 UPER payload::content_in</t>
  </si>
  <si>
    <t xml:space="preserve">ASN.1 UPER payload::content_in</t>
  </si>
  <si>
    <t xml:space="preserve">T104</t>
  </si>
  <si>
    <t xml:space="preserve">Tampering of content_in</t>
  </si>
  <si>
    <t xml:space="preserve">T105</t>
  </si>
  <si>
    <t xml:space="preserve">Denial of Service of content_in</t>
  </si>
  <si>
    <t xml:space="preserve">T106</t>
  </si>
  <si>
    <t xml:space="preserve">Information Disclosure of denm_out</t>
  </si>
  <si>
    <t xml:space="preserve"> • ASN.1 UPER payload::denm_out</t>
  </si>
  <si>
    <t xml:space="preserve">ASN.1 UPER payload::denm_out</t>
  </si>
  <si>
    <t xml:space="preserve">T107</t>
  </si>
  <si>
    <t xml:space="preserve">Tampering of denm_out</t>
  </si>
  <si>
    <t xml:space="preserve">T108</t>
  </si>
  <si>
    <t xml:space="preserve">Denial of Service of denm_out</t>
  </si>
  <si>
    <t xml:space="preserve">T109</t>
  </si>
  <si>
    <t xml:space="preserve">Information Disclosure of denm_out ↔ denm_in</t>
  </si>
  <si>
    <t xml:space="preserve"> • denm_out ↔ denm_in</t>
  </si>
  <si>
    <t xml:space="preserve">denm_out ↔ denm_in</t>
  </si>
  <si>
    <t xml:space="preserve">T110</t>
  </si>
  <si>
    <t xml:space="preserve">Tampering of denm_out ↔ denm_in</t>
  </si>
  <si>
    <t xml:space="preserve">T111</t>
  </si>
  <si>
    <t xml:space="preserve">Denial of Service of denm_out ↔ denm_in</t>
  </si>
  <si>
    <t xml:space="preserve">Information Disclosure of Signs, PC5, HSM</t>
  </si>
  <si>
    <t xml:space="preserve"> • Signs, PC5, HSM</t>
  </si>
  <si>
    <t xml:space="preserve">Signs, PC5, HSM</t>
  </si>
  <si>
    <t xml:space="preserve">Tampering of Signs, PC5, HSM</t>
  </si>
  <si>
    <t xml:space="preserve">T114</t>
  </si>
  <si>
    <t xml:space="preserve">Denial of Service of Signs, PC5, HSM</t>
  </si>
  <si>
    <t xml:space="preserve">Spoofing of Signs, PC5, HSM</t>
  </si>
  <si>
    <t xml:space="preserve">T116</t>
  </si>
  <si>
    <t xml:space="preserve">Elevation of Privilege of Signs, PC5, HSM</t>
  </si>
  <si>
    <t xml:space="preserve">T117</t>
  </si>
  <si>
    <t xml:space="preserve">Repudiation of Signs, PC5, HSM</t>
  </si>
  <si>
    <t xml:space="preserve">T118</t>
  </si>
  <si>
    <t xml:space="preserve">Information Disclosure of denm_in</t>
  </si>
  <si>
    <t xml:space="preserve"> • Signs, PC5, HSM::denm_in</t>
  </si>
  <si>
    <t xml:space="preserve">Signs, PC5, HSM::denm_in</t>
  </si>
  <si>
    <t xml:space="preserve">T119</t>
  </si>
  <si>
    <t xml:space="preserve">Tampering of denm_in</t>
  </si>
  <si>
    <t xml:space="preserve">T120</t>
  </si>
  <si>
    <t xml:space="preserve">Denial of Service of denm_in</t>
  </si>
  <si>
    <t xml:space="preserve">T121</t>
  </si>
  <si>
    <t xml:space="preserve">Information Disclosure of pc5_out</t>
  </si>
  <si>
    <t xml:space="preserve"> • Signs, PC5, HSM::pc5_out</t>
  </si>
  <si>
    <t xml:space="preserve">Signs, PC5, HSM::pc5_out</t>
  </si>
  <si>
    <t xml:space="preserve">T122</t>
  </si>
  <si>
    <t xml:space="preserve">Tampering of pc5_out</t>
  </si>
  <si>
    <t xml:space="preserve">T123</t>
  </si>
  <si>
    <t xml:space="preserve">Denial of Service of pc5_out</t>
  </si>
  <si>
    <t xml:space="preserve">T124</t>
  </si>
  <si>
    <t xml:space="preserve">Information Disclosure of uu_uplink</t>
  </si>
  <si>
    <t xml:space="preserve"> • Signs, PC5, HSM::uu_uplink</t>
  </si>
  <si>
    <t xml:space="preserve">Signs, PC5, HSM::uu_uplink</t>
  </si>
  <si>
    <t xml:space="preserve">T125</t>
  </si>
  <si>
    <t xml:space="preserve">Tampering of uu_uplink</t>
  </si>
  <si>
    <t xml:space="preserve">T126</t>
  </si>
  <si>
    <t xml:space="preserve">Denial of Service of uu_uplink</t>
  </si>
  <si>
    <t xml:space="preserve">T127</t>
  </si>
  <si>
    <t xml:space="preserve">Information Disclosure of uu_link</t>
  </si>
  <si>
    <t xml:space="preserve"> • Signs, PC5, HSM::uu_link</t>
  </si>
  <si>
    <t xml:space="preserve">Signs, PC5, HSM::uu_link</t>
  </si>
  <si>
    <t xml:space="preserve">T128</t>
  </si>
  <si>
    <t xml:space="preserve">Tampering of uu_link</t>
  </si>
  <si>
    <t xml:space="preserve">T129</t>
  </si>
  <si>
    <t xml:space="preserve">Denial of Service of uu_link</t>
  </si>
  <si>
    <t xml:space="preserve">T130</t>
  </si>
  <si>
    <t xml:space="preserve">Information Disclosure of pc5_out ↔ pc5_in</t>
  </si>
  <si>
    <t xml:space="preserve"> • pc5_out ↔ pc5_in</t>
  </si>
  <si>
    <t xml:space="preserve">pc5_out ↔ pc5_in</t>
  </si>
  <si>
    <t xml:space="preserve">Tampering of pc5_out ↔ pc5_in</t>
  </si>
  <si>
    <t xml:space="preserve">Denial of Service of pc5_out ↔ pc5_in</t>
  </si>
  <si>
    <t xml:space="preserve">T133</t>
  </si>
  <si>
    <t xml:space="preserve">Information Disclosure of uu_uplink ↔ uu_in</t>
  </si>
  <si>
    <t xml:space="preserve"> • uu_uplink ↔ uu_in</t>
  </si>
  <si>
    <t xml:space="preserve">uu_uplink ↔ uu_in</t>
  </si>
  <si>
    <t xml:space="preserve">T134</t>
  </si>
  <si>
    <t xml:space="preserve">Tampering of uu_uplink ↔ uu_in</t>
  </si>
  <si>
    <t xml:space="preserve">T135</t>
  </si>
  <si>
    <t xml:space="preserve">Denial of Service of uu_uplink ↔ uu_in</t>
  </si>
  <si>
    <t xml:space="preserve">T136</t>
  </si>
  <si>
    <t xml:space="preserve">Information Disclosure of uu_link ↔ uu_link_rsu</t>
  </si>
  <si>
    <t xml:space="preserve"> • uu_link ↔ uu_link_rsu</t>
  </si>
  <si>
    <t xml:space="preserve">uu_link ↔ uu_link_rsu</t>
  </si>
  <si>
    <t xml:space="preserve">T137</t>
  </si>
  <si>
    <t xml:space="preserve">Tampering of uu_link ↔ uu_link_rsu</t>
  </si>
  <si>
    <t xml:space="preserve">T138</t>
  </si>
  <si>
    <t xml:space="preserve">Denial of Service of uu_link ↔ uu_link_rsu</t>
  </si>
  <si>
    <t xml:space="preserve">T139</t>
  </si>
  <si>
    <t xml:space="preserve">Information Disclosure of PC5 + Uumodem</t>
  </si>
  <si>
    <t xml:space="preserve"> • PC5 + Uumodem</t>
  </si>
  <si>
    <t xml:space="preserve">PC5 + Uumodem</t>
  </si>
  <si>
    <t xml:space="preserve">T140</t>
  </si>
  <si>
    <t xml:space="preserve">Tampering of PC5 + Uumodem</t>
  </si>
  <si>
    <t xml:space="preserve">Denial of Service of PC5 + Uumodem</t>
  </si>
  <si>
    <t xml:space="preserve">Spoofing of PC5 + Uumodem</t>
  </si>
  <si>
    <t xml:space="preserve">T143</t>
  </si>
  <si>
    <t xml:space="preserve">Elevation of Privilege of PC5 + Uumodem</t>
  </si>
  <si>
    <t xml:space="preserve">T144</t>
  </si>
  <si>
    <t xml:space="preserve">Repudiation of PC5 + Uumodem</t>
  </si>
  <si>
    <t xml:space="preserve">T145</t>
  </si>
  <si>
    <t xml:space="preserve">Information Disclosure of pc5_in</t>
  </si>
  <si>
    <t xml:space="preserve"> • PC5 + Uumodem::pc5_in</t>
  </si>
  <si>
    <t xml:space="preserve">PC5 + Uumodem::pc5_in</t>
  </si>
  <si>
    <t xml:space="preserve">T146</t>
  </si>
  <si>
    <t xml:space="preserve">Tampering of pc5_in</t>
  </si>
  <si>
    <t xml:space="preserve">T147</t>
  </si>
  <si>
    <t xml:space="preserve">Denial of Service of pc5_in</t>
  </si>
  <si>
    <t xml:space="preserve">T148</t>
  </si>
  <si>
    <t xml:space="preserve">Information Disclosure of warning_out</t>
  </si>
  <si>
    <t xml:space="preserve"> • PC5 + Uumodem::warning_out</t>
  </si>
  <si>
    <t xml:space="preserve">PC5 + Uumodem::warning_out</t>
  </si>
  <si>
    <t xml:space="preserve">T149</t>
  </si>
  <si>
    <t xml:space="preserve">Tampering of warning_out</t>
  </si>
  <si>
    <t xml:space="preserve">T150</t>
  </si>
  <si>
    <t xml:space="preserve">Denial of Service of warning_out</t>
  </si>
  <si>
    <t xml:space="preserve">T151</t>
  </si>
  <si>
    <t xml:space="preserve">Information Disclosure of uu_modem</t>
  </si>
  <si>
    <t xml:space="preserve"> • PC5 + Uumodem::uu_modem</t>
  </si>
  <si>
    <t xml:space="preserve">PC5 + Uumodem::uu_modem</t>
  </si>
  <si>
    <t xml:space="preserve">T152</t>
  </si>
  <si>
    <t xml:space="preserve">Tampering of uu_modem</t>
  </si>
  <si>
    <t xml:space="preserve">T153</t>
  </si>
  <si>
    <t xml:space="preserve">Denial of Service of uu_modem</t>
  </si>
  <si>
    <t xml:space="preserve">T154</t>
  </si>
  <si>
    <t xml:space="preserve">T155</t>
  </si>
  <si>
    <t xml:space="preserve">T156</t>
  </si>
  <si>
    <t xml:space="preserve">T157</t>
  </si>
  <si>
    <t xml:space="preserve">Information Disclosure of warning_out ↔ warning_in</t>
  </si>
  <si>
    <t xml:space="preserve"> • warning_out ↔ warning_in</t>
  </si>
  <si>
    <t xml:space="preserve">warning_out ↔ warning_in</t>
  </si>
  <si>
    <t xml:space="preserve">T158</t>
  </si>
  <si>
    <t xml:space="preserve">Tampering of warning_out ↔ warning_in</t>
  </si>
  <si>
    <t xml:space="preserve">T159</t>
  </si>
  <si>
    <t xml:space="preserve">Denial of Service of warning_out ↔ warning_in</t>
  </si>
  <si>
    <t xml:space="preserve">T160</t>
  </si>
  <si>
    <t xml:space="preserve">Information Disclosure of uu_modem ↔ uu_in_2</t>
  </si>
  <si>
    <t xml:space="preserve"> • uu_modem ↔ uu_in_2</t>
  </si>
  <si>
    <t xml:space="preserve">uu_modem ↔ uu_in_2</t>
  </si>
  <si>
    <t xml:space="preserve">T161</t>
  </si>
  <si>
    <t xml:space="preserve">Tampering of uu_modem ↔ uu_in_2</t>
  </si>
  <si>
    <t xml:space="preserve">T162</t>
  </si>
  <si>
    <t xml:space="preserve">Denial of Service of uu_modem ↔ uu_in_2</t>
  </si>
  <si>
    <t xml:space="preserve">T163</t>
  </si>
  <si>
    <t xml:space="preserve">Information Disclosure of Verify, warning logic</t>
  </si>
  <si>
    <t xml:space="preserve"> • Verify, warning logic</t>
  </si>
  <si>
    <t xml:space="preserve">Verify, warning logic</t>
  </si>
  <si>
    <t xml:space="preserve">Tampering of Verify, warning logic</t>
  </si>
  <si>
    <t xml:space="preserve">T165</t>
  </si>
  <si>
    <t xml:space="preserve">Denial of Service of Verify, warning logic</t>
  </si>
  <si>
    <t xml:space="preserve">T166</t>
  </si>
  <si>
    <t xml:space="preserve">Spoofing of Verify, warning logic</t>
  </si>
  <si>
    <t xml:space="preserve">T167</t>
  </si>
  <si>
    <t xml:space="preserve">Elevation of Privilege of Verify, warning logic</t>
  </si>
  <si>
    <t xml:space="preserve">T168</t>
  </si>
  <si>
    <t xml:space="preserve">Repudiation of Verify, warning logic</t>
  </si>
  <si>
    <t xml:space="preserve">T169</t>
  </si>
  <si>
    <t xml:space="preserve">Information Disclosure of warning_in</t>
  </si>
  <si>
    <t xml:space="preserve"> • Verify, warning logic::warning_in</t>
  </si>
  <si>
    <t xml:space="preserve">Verify, warning logic::warning_in</t>
  </si>
  <si>
    <t xml:space="preserve">T170</t>
  </si>
  <si>
    <t xml:space="preserve">Tampering of warning_in</t>
  </si>
  <si>
    <t xml:space="preserve">T171</t>
  </si>
  <si>
    <t xml:space="preserve">Denial of Service of warning_in</t>
  </si>
  <si>
    <t xml:space="preserve">T172</t>
  </si>
  <si>
    <t xml:space="preserve">Information Disclosure of alert_out</t>
  </si>
  <si>
    <t xml:space="preserve"> • Verify, warning logic::alert_out</t>
  </si>
  <si>
    <t xml:space="preserve">Verify, warning logic::alert_out</t>
  </si>
  <si>
    <t xml:space="preserve">T173</t>
  </si>
  <si>
    <t xml:space="preserve">Tampering of alert_out</t>
  </si>
  <si>
    <t xml:space="preserve">T174</t>
  </si>
  <si>
    <t xml:space="preserve">Denial of Service of alert_out</t>
  </si>
  <si>
    <t xml:space="preserve">T175</t>
  </si>
  <si>
    <t xml:space="preserve">Information Disclosure of alert_out ↔ alert_in</t>
  </si>
  <si>
    <t xml:space="preserve"> • alert_out ↔ alert_in</t>
  </si>
  <si>
    <t xml:space="preserve">alert_out ↔ alert_in</t>
  </si>
  <si>
    <t xml:space="preserve">T176</t>
  </si>
  <si>
    <t xml:space="preserve">Tampering of alert_out ↔ alert_in</t>
  </si>
  <si>
    <t xml:space="preserve">T177</t>
  </si>
  <si>
    <t xml:space="preserve">Denial of Service of alert_out ↔ alert_in</t>
  </si>
  <si>
    <t xml:space="preserve">T178</t>
  </si>
  <si>
    <t xml:space="preserve">Information Disclosure of Visual + audio alert</t>
  </si>
  <si>
    <t xml:space="preserve"> • Visual + audio alert</t>
  </si>
  <si>
    <t xml:space="preserve">Visual + audio alert</t>
  </si>
  <si>
    <t xml:space="preserve">Tampering of Visual + audio alert</t>
  </si>
  <si>
    <t xml:space="preserve">T180</t>
  </si>
  <si>
    <t xml:space="preserve">Denial of Service of Visual + audio alert</t>
  </si>
  <si>
    <t xml:space="preserve">T181</t>
  </si>
  <si>
    <t xml:space="preserve">Spoofing of Visual + audio alert</t>
  </si>
  <si>
    <t xml:space="preserve">T182</t>
  </si>
  <si>
    <t xml:space="preserve">Elevation of Privilege of Visual + audio alert</t>
  </si>
  <si>
    <t xml:space="preserve">T183</t>
  </si>
  <si>
    <t xml:space="preserve">Repudiation of Visual + audio alert</t>
  </si>
  <si>
    <t xml:space="preserve">T184</t>
  </si>
  <si>
    <t xml:space="preserve">Information Disclosure of alert_in</t>
  </si>
  <si>
    <t xml:space="preserve"> • Visual + audio alert::alert_in</t>
  </si>
  <si>
    <t xml:space="preserve">Visual + audio alert::alert_in</t>
  </si>
  <si>
    <t xml:space="preserve">T185</t>
  </si>
  <si>
    <t xml:space="preserve">Tampering of alert_in</t>
  </si>
  <si>
    <t xml:space="preserve">T186</t>
  </si>
  <si>
    <t xml:space="preserve">Denial of Service of alert_in</t>
  </si>
  <si>
    <t xml:space="preserve">Information Disclosure of Gemini API</t>
  </si>
  <si>
    <t xml:space="preserve"> • Gemini API</t>
  </si>
  <si>
    <t xml:space="preserve">Gemini API</t>
  </si>
  <si>
    <t xml:space="preserve">Tampering of Gemini API</t>
  </si>
  <si>
    <t xml:space="preserve">Denial of Service of Gemini API</t>
  </si>
  <si>
    <t xml:space="preserve">T190</t>
  </si>
  <si>
    <t xml:space="preserve">Spoofing of Gemini API</t>
  </si>
  <si>
    <t xml:space="preserve">T191</t>
  </si>
  <si>
    <t xml:space="preserve">Elevation of Privilege of Gemini API</t>
  </si>
  <si>
    <t xml:space="preserve">T192</t>
  </si>
  <si>
    <t xml:space="preserve">Repudiation of Gemini API</t>
  </si>
  <si>
    <t xml:space="preserve">T193</t>
  </si>
  <si>
    <t xml:space="preserve">Information Disclosure of mllm_in</t>
  </si>
  <si>
    <t xml:space="preserve"> • Gemini API::mllm_in</t>
  </si>
  <si>
    <t xml:space="preserve">Gemini API::mllm_in</t>
  </si>
  <si>
    <t xml:space="preserve">T194</t>
  </si>
  <si>
    <t xml:space="preserve">Tampering of mllm_in</t>
  </si>
  <si>
    <t xml:space="preserve">T195</t>
  </si>
  <si>
    <t xml:space="preserve">Denial of Service of mllm_in</t>
  </si>
  <si>
    <t xml:space="preserve">T196</t>
  </si>
  <si>
    <t xml:space="preserve">Information Disclosure of mllm_in_2</t>
  </si>
  <si>
    <t xml:space="preserve"> • Gemini API::mllm_in_2</t>
  </si>
  <si>
    <t xml:space="preserve">Gemini API::mllm_in_2</t>
  </si>
  <si>
    <t xml:space="preserve">T197</t>
  </si>
  <si>
    <t xml:space="preserve">Tampering of mllm_in_2</t>
  </si>
  <si>
    <t xml:space="preserve">T198</t>
  </si>
  <si>
    <t xml:space="preserve">Denial of Service of mllm_in_2</t>
  </si>
  <si>
    <t xml:space="preserve">T199</t>
  </si>
  <si>
    <t xml:space="preserve">Information Disclosure of mllm_link_1</t>
  </si>
  <si>
    <t xml:space="preserve"> • Gemini API::mllm_link_1</t>
  </si>
  <si>
    <t xml:space="preserve">Gemini API::mllm_link_1</t>
  </si>
  <si>
    <t xml:space="preserve">T200</t>
  </si>
  <si>
    <t xml:space="preserve">Tampering of mllm_link_1</t>
  </si>
  <si>
    <t xml:space="preserve">T201</t>
  </si>
  <si>
    <t xml:space="preserve">Denial of Service of mllm_link_1</t>
  </si>
  <si>
    <t xml:space="preserve">T202</t>
  </si>
  <si>
    <t xml:space="preserve">Information Disclosure of mllm_link_2</t>
  </si>
  <si>
    <t xml:space="preserve"> • Gemini API::mllm_link_2</t>
  </si>
  <si>
    <t xml:space="preserve">Gemini API::mllm_link_2</t>
  </si>
  <si>
    <t xml:space="preserve">T203</t>
  </si>
  <si>
    <t xml:space="preserve">Tampering of mllm_link_2</t>
  </si>
  <si>
    <t xml:space="preserve">T204</t>
  </si>
  <si>
    <t xml:space="preserve">Denial of Service of mllm_link_2</t>
  </si>
  <si>
    <t xml:space="preserve">T205</t>
  </si>
  <si>
    <t xml:space="preserve">Information Disclosure of PKI, operator</t>
  </si>
  <si>
    <t xml:space="preserve"> • PKI, operator</t>
  </si>
  <si>
    <t xml:space="preserve">PKI, operator</t>
  </si>
  <si>
    <t xml:space="preserve">T206</t>
  </si>
  <si>
    <t xml:space="preserve">Tampering of PKI, operator</t>
  </si>
  <si>
    <t xml:space="preserve">T207</t>
  </si>
  <si>
    <t xml:space="preserve">Denial of Service of PKI, operator</t>
  </si>
  <si>
    <t xml:space="preserve">Spoofing of PKI, operator</t>
  </si>
  <si>
    <t xml:space="preserve">Elevation of Privilege of PKI, operator</t>
  </si>
  <si>
    <t xml:space="preserve">Repudiation of PKI, operator</t>
  </si>
  <si>
    <t xml:space="preserve">T211</t>
  </si>
  <si>
    <t xml:space="preserve">Information Disclosure of uu_in</t>
  </si>
  <si>
    <t xml:space="preserve"> • PKI, operator::uu_in</t>
  </si>
  <si>
    <t xml:space="preserve">PKI, operator::uu_in</t>
  </si>
  <si>
    <t xml:space="preserve">T212</t>
  </si>
  <si>
    <t xml:space="preserve">Tampering of uu_in</t>
  </si>
  <si>
    <t xml:space="preserve">T213</t>
  </si>
  <si>
    <t xml:space="preserve">Denial of Service of uu_in</t>
  </si>
  <si>
    <t xml:space="preserve">T214</t>
  </si>
  <si>
    <t xml:space="preserve">Information Disclosure of uu_in_2</t>
  </si>
  <si>
    <t xml:space="preserve"> • PKI, operator::uu_in_2</t>
  </si>
  <si>
    <t xml:space="preserve">PKI, operator::uu_in_2</t>
  </si>
  <si>
    <t xml:space="preserve">T215</t>
  </si>
  <si>
    <t xml:space="preserve">Tampering of uu_in_2</t>
  </si>
  <si>
    <t xml:space="preserve">T216</t>
  </si>
  <si>
    <t xml:space="preserve">Denial of Service of uu_in_2</t>
  </si>
  <si>
    <t xml:space="preserve">T217</t>
  </si>
  <si>
    <t xml:space="preserve">Information Disclosure of uu_link_rsu</t>
  </si>
  <si>
    <t xml:space="preserve"> • PKI, operator::uu_link_rsu</t>
  </si>
  <si>
    <t xml:space="preserve">PKI, operator::uu_link_rsu</t>
  </si>
  <si>
    <t xml:space="preserve">T218</t>
  </si>
  <si>
    <t xml:space="preserve">Tampering of uu_link_rsu</t>
  </si>
  <si>
    <t xml:space="preserve">T219</t>
  </si>
  <si>
    <t xml:space="preserve">Denial of Service of uu_link_rsu</t>
  </si>
  <si>
    <t xml:space="preserve">T220</t>
  </si>
  <si>
    <t xml:space="preserve">Information Disclosure of uu_modem_out</t>
  </si>
  <si>
    <t xml:space="preserve"> • PKI, operator::uu_modem_out</t>
  </si>
  <si>
    <t xml:space="preserve">PKI, operator::uu_modem_out</t>
  </si>
  <si>
    <t xml:space="preserve">T221</t>
  </si>
  <si>
    <t xml:space="preserve">Tampering of uu_modem_out</t>
  </si>
  <si>
    <t xml:space="preserve">T222</t>
  </si>
  <si>
    <t xml:space="preserve">Denial of Service of uu_modem_out</t>
  </si>
  <si>
    <t xml:space="preserve">T223</t>
  </si>
  <si>
    <t xml:space="preserve">Information Disclosure of uu_modem_out ↔ uu_modem</t>
  </si>
  <si>
    <t xml:space="preserve"> • uu_modem_out ↔ uu_modem</t>
  </si>
  <si>
    <t xml:space="preserve">uu_modem_out ↔ uu_modem</t>
  </si>
  <si>
    <t xml:space="preserve">T224</t>
  </si>
  <si>
    <t xml:space="preserve">Tampering of uu_modem_out ↔ uu_modem</t>
  </si>
  <si>
    <t xml:space="preserve">T225</t>
  </si>
  <si>
    <t xml:space="preserve">Denial of Service of uu_modem_out ↔ uu_modem</t>
  </si>
  <si>
    <t xml:space="preserve">AI row</t>
  </si>
  <si>
    <t xml:space="preserve">AI asset</t>
  </si>
  <si>
    <t xml:space="preserve">AI STRIDE</t>
  </si>
  <si>
    <t xml:space="preserve">Medini asset (clean)</t>
  </si>
  <si>
    <t xml:space="preserve">Medini category</t>
  </si>
  <si>
    <t xml:space="preserve">Match type</t>
  </si>
  <si>
    <t xml:space="preserve">Exact (same element and category)</t>
  </si>
  <si>
    <t xml:space="preserve">Category adapted</t>
  </si>
  <si>
    <t xml:space="preserve">AI classifies the injection as Spoofing; medini generates only Tampering, Information Disclosure and Denial of Service for connections.</t>
  </si>
  <si>
    <t xml:space="preserve">Replay is classified as Spoofing by the AI; no Spoofing category exists for connections in medini.</t>
  </si>
  <si>
    <t xml:space="preserve">Feed injection is Spoofing for the AI; mapped to the Tampering threat of the connection.</t>
  </si>
  <si>
    <t xml:space="preserve">Adversarial patterns deceive the input of the detector. In medini, 'Spoofing of YOLOv5 fast path' means impersonation of the component, so the match is semantic rather than exact.</t>
  </si>
  <si>
    <t xml:space="preserve">Prompt injection through image content. As above, the medini Spoofing threat of the agent means impersonation of the component; medini has no notion of prompt or model input.</t>
  </si>
  <si>
    <t xml:space="preserve">Covers the Depth Pro model file as well (Agent 2, Depth Pro | Tampering), which is not counted as a separate match.</t>
  </si>
  <si>
    <t xml:space="preserve">No element in the medini model</t>
  </si>
  <si>
    <t xml:space="preserve">The API key and the cloud account are not elements of the medini model; the AI scenario has no counterpart.</t>
  </si>
  <si>
    <t xml:space="preserve">Also applies to Agent 3, MLLM call | Repudiation.</t>
  </si>
  <si>
    <t xml:space="preserve">AI-generated TARA versus medini threat enumeration</t>
  </si>
  <si>
    <t xml:space="preserve">Headline</t>
  </si>
  <si>
    <t xml:space="preserve">Value</t>
  </si>
  <si>
    <t xml:space="preserve">Threats enumerated in medini</t>
  </si>
  <si>
    <t xml:space="preserve">AI threat scenarios analysed</t>
  </si>
  <si>
    <t xml:space="preserve">Medini threats matched by an AI scenario</t>
  </si>
  <si>
    <t xml:space="preserve">Medini threats without an AI scenario</t>
  </si>
  <si>
    <t xml:space="preserve">Coverage of the medini list</t>
  </si>
  <si>
    <t xml:space="preserve">%</t>
  </si>
  <si>
    <t xml:space="preserve">AI scenarios without a medini element</t>
  </si>
  <si>
    <t xml:space="preserve">AI scenarios mapped with an adapted category</t>
  </si>
  <si>
    <t xml:space="preserve">By STRIDE category</t>
  </si>
  <si>
    <t xml:space="preserve">Medini threats</t>
  </si>
  <si>
    <t xml:space="preserve">Matched</t>
  </si>
  <si>
    <t xml:space="preserve">By element type</t>
  </si>
  <si>
    <t xml:space="preserve">By component (component and its ports)</t>
  </si>
  <si>
    <t xml:space="preserve">Notes</t>
  </si>
  <si>
    <t xml:space="preserve">How the matching works</t>
  </si>
  <si>
    <t xml:space="preserve">Each AI scenario is mapped on the Mapping sheet to one medini element and one STRIDE category. The key 'element|category' is looked up in the medini list, which gives the threat ID. The medini sheet counts, for every threat, how many AI scenarios point at it (column P) and whether it is covered (column Q).</t>
  </si>
  <si>
    <t xml:space="preserve">Granularity differs</t>
  </si>
  <si>
    <t xml:space="preserve">Medini enumerates every element and category mechanically and produces no description, impact or feasibility. The AI produced concrete attack paths with ratings, and one scenario can span several elements. A low coverage percentage therefore does not mean the AI missed threats; it means the enumeration is much finer.</t>
  </si>
  <si>
    <t xml:space="preserve">Categories differ for connections</t>
  </si>
  <si>
    <t xml:space="preserve">Medini generates only Tampering, Information Disclosure and Denial of Service for ports and connections. Scenarios that the AI classified as Spoofing on a link (forged payload injection, DENM replay, camera feed injection) were mapped to the Tampering threat of that connection.</t>
  </si>
  <si>
    <t xml:space="preserve">Elements missing from the model</t>
  </si>
  <si>
    <t xml:space="preserve">The API key and the cloud account have no element in the medini model, so that AI scenario cannot be matched. The prompts, the model files and the physical scene in front of the camera are also absent as elements, and were mapped to the component that hosts them.</t>
  </si>
  <si>
    <t xml:space="preserve">Suggested next step</t>
  </si>
  <si>
    <t xml:space="preserve">Use the 'To Be Assessed' column of the medini export: keep the threats that an AI scenario matched, plus those the team judges relevant, and set the rest to false with a documented reason. That turns 225 enumerated threats into an assessable set.</t>
  </si>
  <si>
    <t xml:space="preserve">Strict intersection (all six model outputs and medini)</t>
  </si>
  <si>
    <t xml:space="preserve">Scenarios in the strict set</t>
  </si>
  <si>
    <t xml:space="preserve">Pairs agreed by all six models</t>
  </si>
  <si>
    <t xml:space="preserve">23</t>
  </si>
  <si>
    <t xml:space="preserve">Of which not enumerated by medini</t>
  </si>
  <si>
    <t xml:space="preserve">1</t>
  </si>
  <si>
    <t xml:space="preserve">Excluded pair</t>
  </si>
  <si>
    <t xml:space="preserve">Spoofing on the PC5 sidelink: raised by all six models, but medini generates no Spoofing threat for connections.</t>
  </si>
  <si>
    <t xml:space="preserve">Rare findings (raised by one or two models)</t>
  </si>
  <si>
    <t xml:space="preserve">Scenarios in the rare set</t>
  </si>
  <si>
    <t xml:space="preserve">Raised by one model only</t>
  </si>
  <si>
    <t xml:space="preserve">6</t>
  </si>
  <si>
    <t xml:space="preserve">Raised by two models</t>
  </si>
  <si>
    <t xml:space="preserve">7</t>
  </si>
  <si>
    <t xml:space="preserve">Enumerated by medini</t>
  </si>
  <si>
    <t xml:space="preserve">10</t>
  </si>
  <si>
    <t xml:space="preserve">Not enumerated by medini</t>
  </si>
  <si>
    <t xml:space="preserve">3</t>
  </si>
  <si>
    <t xml:space="preserve">Copilot contributes to 11 of the 13 rare findings and is the only source of 6 of them. The three not enumerated by medini are repudiation and elevation of privilege on connections, categories the tool does not generate for that element type.</t>
  </si>
  <si>
    <t xml:space="preserve">Impact Criteria</t>
  </si>
  <si>
    <t xml:space="preserve">Weight</t>
  </si>
  <si>
    <t xml:space="preserve">Lower Limit</t>
  </si>
  <si>
    <t xml:space="preserve">Risk Level</t>
  </si>
  <si>
    <t xml:space="preserve">Impact Rating</t>
  </si>
  <si>
    <t xml:space="preserve">Threshold Value</t>
  </si>
  <si>
    <t xml:space="preserve">Safety</t>
  </si>
  <si>
    <t xml:space="preserve">Operational</t>
  </si>
  <si>
    <t xml:space="preserve">Financial</t>
  </si>
  <si>
    <t xml:space="preserve">Privacy</t>
  </si>
  <si>
    <t xml:space="preserve">Safety =&gt;S</t>
  </si>
  <si>
    <t xml:space="preserve">Criteria for Safety Impact Rating</t>
  </si>
  <si>
    <t xml:space="preserve">S3: Life-threatening injuries (survival uncertain), fatal injuries</t>
  </si>
  <si>
    <t xml:space="preserve">Risk Assessment </t>
  </si>
  <si>
    <t xml:space="preserve">S2: Severe and life-threatening injuries (survival probable)</t>
  </si>
  <si>
    <t xml:space="preserve">Impact Rating:</t>
  </si>
  <si>
    <t xml:space="preserve">Impact Level=&gt;l</t>
  </si>
  <si>
    <t xml:space="preserve">S1: Light and moderate injuries</t>
  </si>
  <si>
    <t xml:space="preserve">(5*S + 1*O + 0.5*F + 0.25*P) / 4 </t>
  </si>
  <si>
    <t xml:space="preserve">S0: No injuries</t>
  </si>
  <si>
    <t xml:space="preserve">Risk Score:</t>
  </si>
  <si>
    <t xml:space="preserve">R = 1 + I×F</t>
  </si>
  <si>
    <t xml:space="preserve">Reputational =&gt; R</t>
  </si>
  <si>
    <t xml:space="preserve">Attack Feasibility Level  =&gt; F</t>
  </si>
  <si>
    <t xml:space="preserve">Criteria for Reputational Impact Rating</t>
  </si>
  <si>
    <t xml:space="preserve">Threat category (STRIDE)</t>
  </si>
  <si>
    <t xml:space="preserve">The reputational damage leads to catastrophic consequences which the affected road user might not overcome.</t>
  </si>
  <si>
    <t xml:space="preserve">Risk Score =&gt;R</t>
  </si>
  <si>
    <t xml:space="preserve">R = 1 + I × F </t>
  </si>
  <si>
    <t xml:space="preserve">The reputational damage leads to substantial consequences which the affected road user will be able to overcome</t>
  </si>
  <si>
    <t xml:space="preserve">Risk Appetite </t>
  </si>
  <si>
    <t xml:space="preserve">The reputational damage leads to inconvenient consequences which the affected road user will be able to overcome with limited resources</t>
  </si>
  <si>
    <t xml:space="preserve">RA Goal:</t>
  </si>
  <si>
    <t xml:space="preserve">Risk Reduction</t>
  </si>
  <si>
    <t xml:space="preserve">The reputational damage leads to no effect, negligible consequences or is irrelevant to the road user.</t>
  </si>
  <si>
    <t xml:space="preserve">Information Disclosure </t>
  </si>
  <si>
    <t xml:space="preserve">Elevation of Privileges</t>
  </si>
  <si>
    <t xml:space="preserve">Operational =&gt; O</t>
  </si>
  <si>
    <t xml:space="preserve">Criteria for Operational Impact Rating</t>
  </si>
  <si>
    <t xml:space="preserve">The operational damage leads to the loss or impairment of a core vehicle function. 
EXAMPLE 1 Vehicle not working or showing unexpected behaviour of core functions such as enabling of limp home mode or autonomous driving to an unintended location.</t>
  </si>
  <si>
    <t xml:space="preserve">The operational damage leads to the loss or impairment of an important vehicle function. 
EXAMPLE 2 Significant annoyance of the driver.</t>
  </si>
  <si>
    <t xml:space="preserve">The operational damage leads to partial degradation of a vehicle function. 
EXAMPLE 3 User satisfaction negatively affected.</t>
  </si>
  <si>
    <t xml:space="preserve">The operational damage leads to no impairment or non-perceivable impairment of a vehicle function.</t>
  </si>
  <si>
    <t xml:space="preserve">Privacy =&gt; P</t>
  </si>
  <si>
    <t xml:space="preserve">Criteria for Privacy Impact Rating</t>
  </si>
  <si>
    <t xml:space="preserve">The privacy damage leads to significant or even irreversible impact to the road user. The information regarding the road user is highly sensitive and easy to link to a PII principal.</t>
  </si>
  <si>
    <t xml:space="preserve">The privacy damage leads to serious impact to the road user. The information regarding the road user is: a) highly sensitive and difficult to link to a PII principal; or b) sensitive and easy to link to a PII principal.</t>
  </si>
  <si>
    <t xml:space="preserve">The privacy damage leads to inconvenient consequences to the road user. The information regarding the road user is: a) sensitive but difficult to link to a PII principal; or b) not sensitive but easy to link to a PII principal.</t>
  </si>
  <si>
    <t xml:space="preserve">The privacy damage leads to no effect or, negligible consequences or is irrelevant to the road user. The information regarding the road user is not sensitive and difficult to link to a PII principal.</t>
  </si>
  <si>
    <t xml:space="preserve"> </t>
  </si>
  <si>
    <t xml:space="preserve">Attack Feasibility Rating =&gt; F</t>
  </si>
  <si>
    <t xml:space="preserve">Attack Vector</t>
  </si>
  <si>
    <t xml:space="preserve">Level</t>
  </si>
  <si>
    <t xml:space="preserve">Potential attack path is bound to network stack without any limitation</t>
  </si>
  <si>
    <t xml:space="preserve">Potential attack path is bound to network stack; however, the connection is limited physically or logically.</t>
  </si>
  <si>
    <t xml:space="preserve">Potential attack path is not bound to network stack and threat agents require direct access to the item for realizing the attack path.</t>
  </si>
  <si>
    <t xml:space="preserve">Threat agents require physical access to realize the attack path.</t>
  </si>
  <si>
    <t xml:space="preserve">Very low</t>
  </si>
  <si>
    <t xml:space="preserve">Risk Treatment </t>
  </si>
  <si>
    <t xml:space="preserve">Method</t>
  </si>
  <si>
    <t xml:space="preserve">The level of risk shall be managed by introducing, removing or altering security controls so that the residual risk can be assessed as being acceptable. Mitigation would be implemented</t>
  </si>
  <si>
    <t xml:space="preserve">Risk Retention</t>
  </si>
  <si>
    <t xml:space="preserve">The decision on retaining the risk without further action shall be taken depending on risk evaluation.</t>
  </si>
  <si>
    <t xml:space="preserve">Risk Avoidance</t>
  </si>
  <si>
    <t xml:space="preserve">The activity or condition that gives rise to the particular risk shall be avoided.
EXAMPLE 1 Avoiding the risk by removing the risk sources, deciding not to start or continue with the
activity that gives rise to the risk.
</t>
  </si>
  <si>
    <t xml:space="preserve">Risk Transfer</t>
  </si>
  <si>
    <t xml:space="preserve">The risk shall be shared with another party that can most effectively manage the particular risk
depending on risk evaluation.
EXAMPLE 2 Sharing risk through contracts or transferring risk by buying insurance.</t>
  </si>
  <si>
    <t xml:space="preserve">TARA - AI-based accident detection (combined architecture)</t>
  </si>
  <si>
    <t xml:space="preserve">Scope</t>
  </si>
  <si>
    <t xml:space="preserve">All threat scenario themes that the six LLM outputs agreed on (consensus matrix of the paper), one row per distinct attack path. Column X gives the theme and how many models proposed it.</t>
  </si>
  <si>
    <t xml:space="preserve">Structure</t>
  </si>
  <si>
    <t xml:space="preserve">Columns and formulas are taken from TARA V3.xlsx; the Reference sheet is unchanged, so scales and weights are identical.</t>
  </si>
  <si>
    <t xml:space="preserve">Cells you edit</t>
  </si>
  <si>
    <t xml:space="preserve">A to O, S to X. Grey header columns are manual input; dropdowns are active in B, C, F, H, J, L, N and S.</t>
  </si>
  <si>
    <t xml:space="preserve">Cells you must not edit</t>
  </si>
  <si>
    <t xml:space="preserve">P, Q, R (yellow headers) and the helper columns Y to AE. They are formulas.</t>
  </si>
  <si>
    <t xml:space="preserve">Impact values</t>
  </si>
  <si>
    <t xml:space="preserve">Severe 10, Major 7, Moderate 4, Negligible 1 (Reference sheet, columns A to C).</t>
  </si>
  <si>
    <t xml:space="preserve">Impact formula</t>
  </si>
  <si>
    <t xml:space="preserve">Impact = (5*Safety + 1*Operational + 0.5*Financial + 0.25*Privacy) / 4</t>
  </si>
  <si>
    <t xml:space="preserve">Severe from 8.3, Major from 5.1, Moderate from 2.5, Negligible from 1 (Reference!G:H).</t>
  </si>
  <si>
    <t xml:space="preserve">Feasibility</t>
  </si>
  <si>
    <t xml:space="preserve">Attack vector to level and value: Network = High = 10, Adjacent = Medium = 7, Local = Low = 4, Physical = Very low = 1 (Reference!A39:D44).</t>
  </si>
  <si>
    <t xml:space="preserve">R = 1 + Impact x Feasibility. Risk value: Critical from 100, High from 49, Medium from 16, Low from 1 (Reference!D:E).</t>
  </si>
  <si>
    <t xml:space="preserve">Change against TARA V3</t>
  </si>
  <si>
    <t xml:space="preserve">In TARA V3 the Risk Value formula returns Reference!$G$2 ('Severe') for scores of 100 and above instead of Reference!$E$2 ('Critical'). Only row 6 of Paper_1 used $E$2. This workbook uses $E$2 in every row, so scores of 100 and above read 'Critical'. Check this before comparing with older results.</t>
  </si>
  <si>
    <t xml:space="preserve">Provenance</t>
  </si>
  <si>
    <t xml:space="preserve">Column X records how many of the six LLM outputs proposed the scenario, based on 'processing of the LLM_JSON_Threads_analysis.docx'.</t>
  </si>
  <si>
    <t xml:space="preserve">Ratings</t>
  </si>
  <si>
    <t xml:space="preserve">The impact ratings and the notes in this workbook were proposed with AI assistance (Claude Opus 5) and must be reviewed and agreed by the team before use in the paper. See AI_usage_log.md, Entry 013.</t>
  </si>
  <si>
    <t xml:space="preserve">Next step</t>
  </si>
  <si>
    <t xml:space="preserve">Column X records the theme and the prevalence from the consensus matrix, cross-checked with a keyword scan of 'processing of the LLM_JSON_Threads_analysis.docx'. Rows marked 'verify' are those where the two counts differ.</t>
  </si>
  <si>
    <t xml:space="preserve">Not yet analysed</t>
  </si>
  <si>
    <t xml:space="preserve">Remaining low-prevalence themes not yet analysed: GNSS spoofing or jamming (2/6), Sybil attack (1/6), signal overshadowing on PC5 (1/6), unsigned software update (1/6), camera re-aiming (1/6).</t>
  </si>
  <si>
    <t xml:space="preserve">Comparison with medini</t>
  </si>
  <si>
    <t xml:space="preserve">Sheet 'Medini threats' holds the 225 threats exported from medini analyze, sheet 'Mapping' links each AI scenario to one medini threat, and sheet 'Comparison' summarises coverage.</t>
  </si>
  <si>
    <t xml:space="preserve">Editing the mapping</t>
  </si>
  <si>
    <t xml:space="preserve">Change columns D and E of the Mapping sheet to re-point a scenario; every count updates automatically.</t>
  </si>
  <si>
    <t xml:space="preserve">Security attribute convention</t>
  </si>
  <si>
    <t xml:space="preserve">Authenticity - the receiver cannot establish that the message or input really comes from the claimed source.</t>
  </si>
  <si>
    <t xml:space="preserve">Integrity - data or component behaviour is modified.</t>
  </si>
  <si>
    <t xml:space="preserve">Non-repudiation when a party could deny an action towards others; Accountability when internal actions cannot be traced to their origin.</t>
  </si>
  <si>
    <t xml:space="preserve">Authorization - an actor obtains rights it should not have.</t>
  </si>
  <si>
    <t xml:space="preserve">Authorization was added beyond the three attributes requested, because otherwise the two elevation of privilege rows have no correct value. Remove it from the dropdown and use Integrity if the team prefers.</t>
  </si>
  <si>
    <t xml:space="preserve">Column X now holds the medini threat number. On the full analysis sheet it is a formula that reads the Mapping sheet, so it follows any change of the mapping; on the strict sheet it is fixed. The previous content of column X (theme, agreement and source) moved to column AF.</t>
  </si>
  <si>
    <t xml:space="preserve">Rare findings sheet</t>
  </si>
  <si>
    <t xml:space="preserve">Threat scenarios that only one or two of the six model outputs raised. Column X holds the medini threat number where one exists, column AF names the models that raised it and column AG quotes their wording.</t>
  </si>
</sst>
</file>

<file path=xl/styles.xml><?xml version="1.0" encoding="utf-8"?>
<styleSheet xmlns="http://schemas.openxmlformats.org/spreadsheetml/2006/main">
  <numFmts count="3">
    <numFmt numFmtId="164" formatCode="General"/>
    <numFmt numFmtId="165" formatCode="General"/>
    <numFmt numFmtId="166" formatCode="0.00"/>
  </numFmts>
  <fonts count="18">
    <font>
      <sz val="10"/>
      <color rgb="FF000000"/>
      <name val="Arial"/>
      <family val="0"/>
      <charset val="1"/>
    </font>
    <font>
      <sz val="10"/>
      <name val="Arial"/>
      <family val="0"/>
    </font>
    <font>
      <sz val="10"/>
      <name val="Arial"/>
      <family val="0"/>
    </font>
    <font>
      <sz val="10"/>
      <name val="Arial"/>
      <family val="0"/>
    </font>
    <font>
      <b val="true"/>
      <i val="true"/>
      <sz val="10"/>
      <color rgb="FF000000"/>
      <name val="Verdana"/>
      <family val="0"/>
      <charset val="1"/>
    </font>
    <font>
      <b val="true"/>
      <i val="true"/>
      <sz val="10"/>
      <color theme="1"/>
      <name val="Verdana"/>
      <family val="2"/>
      <charset val="1"/>
    </font>
    <font>
      <b val="true"/>
      <i val="true"/>
      <sz val="10"/>
      <color rgb="FF000000"/>
      <name val="Verdana"/>
      <family val="2"/>
      <charset val="1"/>
    </font>
    <font>
      <b val="true"/>
      <sz val="10"/>
      <color theme="1"/>
      <name val="Arial"/>
      <family val="0"/>
      <charset val="1"/>
    </font>
    <font>
      <sz val="10"/>
      <color rgb="FF000000"/>
      <name val="Verdana"/>
      <family val="2"/>
      <charset val="1"/>
    </font>
    <font>
      <sz val="10"/>
      <color rgb="FF000000"/>
      <name val="Verdana"/>
      <family val="0"/>
      <charset val="1"/>
    </font>
    <font>
      <sz val="10"/>
      <color rgb="FF000000"/>
      <name val="Arial"/>
      <family val="2"/>
      <charset val="1"/>
    </font>
    <font>
      <sz val="10"/>
      <name val="Verdana"/>
      <family val="0"/>
      <charset val="1"/>
    </font>
    <font>
      <b val="true"/>
      <sz val="10"/>
      <name val="Verdana"/>
      <family val="0"/>
      <charset val="1"/>
    </font>
    <font>
      <sz val="10"/>
      <color theme="1"/>
      <name val="Arial"/>
      <family val="0"/>
      <charset val="1"/>
    </font>
    <font>
      <sz val="11"/>
      <color theme="1"/>
      <name val="Calibri"/>
      <family val="0"/>
      <charset val="1"/>
    </font>
    <font>
      <b val="true"/>
      <sz val="11"/>
      <color theme="1"/>
      <name val="Calibri"/>
      <family val="0"/>
      <charset val="1"/>
    </font>
    <font>
      <b val="true"/>
      <sz val="11"/>
      <color theme="1"/>
      <name val="Arial"/>
      <family val="0"/>
      <charset val="1"/>
    </font>
    <font>
      <sz val="11"/>
      <color theme="1"/>
      <name val="Arial"/>
      <family val="0"/>
      <charset val="1"/>
    </font>
  </fonts>
  <fills count="13">
    <fill>
      <patternFill patternType="none"/>
    </fill>
    <fill>
      <patternFill patternType="gray125"/>
    </fill>
    <fill>
      <patternFill patternType="solid">
        <fgColor rgb="FFC0C0C0"/>
        <bgColor rgb="FFB7B7B7"/>
      </patternFill>
    </fill>
    <fill>
      <patternFill patternType="solid">
        <fgColor rgb="FFFFE599"/>
        <bgColor rgb="FFFFFF99"/>
      </patternFill>
    </fill>
    <fill>
      <patternFill patternType="solid">
        <fgColor theme="6"/>
        <bgColor rgb="FFFF9900"/>
      </patternFill>
    </fill>
    <fill>
      <patternFill patternType="solid">
        <fgColor rgb="FFB7B7B7"/>
        <bgColor rgb="FFC0C0C0"/>
      </patternFill>
    </fill>
    <fill>
      <patternFill patternType="solid">
        <fgColor rgb="FF92D050"/>
        <bgColor rgb="FFB7B7B7"/>
      </patternFill>
    </fill>
    <fill>
      <patternFill patternType="solid">
        <fgColor rgb="FFFF9900"/>
        <bgColor rgb="FFFBBC04"/>
      </patternFill>
    </fill>
    <fill>
      <patternFill patternType="solid">
        <fgColor rgb="FFD9D9D9"/>
        <bgColor rgb="FFD8D8D8"/>
      </patternFill>
    </fill>
    <fill>
      <patternFill patternType="solid">
        <fgColor rgb="FFA5A5A5"/>
        <bgColor rgb="FFB7B7B7"/>
      </patternFill>
    </fill>
    <fill>
      <patternFill patternType="solid">
        <fgColor rgb="FFFF7C80"/>
        <bgColor rgb="FFFF99CC"/>
      </patternFill>
    </fill>
    <fill>
      <patternFill patternType="solid">
        <fgColor rgb="FFFF0000"/>
        <bgColor rgb="FF993300"/>
      </patternFill>
    </fill>
    <fill>
      <patternFill patternType="solid">
        <fgColor rgb="FFD8D8D8"/>
        <bgColor rgb="FFD9D9D9"/>
      </patternFill>
    </fill>
  </fills>
  <borders count="7">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right style="thin">
        <color rgb="FF808080"/>
      </right>
      <top style="thin">
        <color rgb="FF808080"/>
      </top>
      <bottom style="thin">
        <color rgb="FF808080"/>
      </bottom>
      <diagonal/>
    </border>
    <border diagonalUp="false" diagonalDown="false">
      <left style="thin"/>
      <right style="thin"/>
      <top style="thin"/>
      <bottom style="thin"/>
      <diagonal/>
    </border>
    <border diagonalUp="false" diagonalDown="false">
      <left/>
      <right style="thin">
        <color rgb="FF808080"/>
      </right>
      <top/>
      <bottom style="thin">
        <color rgb="FF808080"/>
      </bottom>
      <diagonal/>
    </border>
    <border diagonalUp="false" diagonalDown="false">
      <left style="thin"/>
      <right style="thin"/>
      <top style="thin"/>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2" borderId="2" xfId="0" applyFont="true" applyBorder="true" applyAlignment="true" applyProtection="false">
      <alignment horizontal="center" vertical="bottom" textRotation="0" wrapText="true" indent="0" shrinkToFit="false"/>
      <protection locked="true" hidden="false"/>
    </xf>
    <xf numFmtId="164" fontId="5" fillId="2" borderId="2" xfId="0" applyFont="true" applyBorder="true" applyAlignment="true" applyProtection="false">
      <alignment horizontal="center" vertical="bottom" textRotation="0" wrapText="false" indent="0" shrinkToFit="false"/>
      <protection locked="true" hidden="false"/>
    </xf>
    <xf numFmtId="164" fontId="4" fillId="2" borderId="2" xfId="0" applyFont="true" applyBorder="true" applyAlignment="true" applyProtection="false">
      <alignment horizontal="center" vertical="center"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6" fillId="2" borderId="2" xfId="0" applyFont="true" applyBorder="true" applyAlignment="true" applyProtection="false">
      <alignment horizontal="center" vertical="bottom" textRotation="0" wrapText="false" indent="0" shrinkToFit="false"/>
      <protection locked="true" hidden="false"/>
    </xf>
    <xf numFmtId="164" fontId="4" fillId="3" borderId="2" xfId="0" applyFont="true" applyBorder="true" applyAlignment="true" applyProtection="false">
      <alignment horizontal="center" vertical="center" textRotation="0" wrapText="false" indent="0" shrinkToFit="false"/>
      <protection locked="true" hidden="false"/>
    </xf>
    <xf numFmtId="164" fontId="7" fillId="0" borderId="3"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9" fillId="0" borderId="4" xfId="0" applyFont="true" applyBorder="true" applyAlignment="true" applyProtection="false">
      <alignment horizontal="general" vertical="bottom" textRotation="0" wrapText="true" indent="0" shrinkToFit="false"/>
      <protection locked="true" hidden="false"/>
    </xf>
    <xf numFmtId="164" fontId="9" fillId="0" borderId="4" xfId="0" applyFont="true" applyBorder="true" applyAlignment="true" applyProtection="false">
      <alignment horizontal="left"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4" borderId="4" xfId="0" applyFont="true" applyBorder="true" applyAlignment="true" applyProtection="false">
      <alignment horizontal="general" vertical="bottom" textRotation="0" wrapText="false" indent="0" shrinkToFit="false"/>
      <protection locked="true" hidden="false"/>
    </xf>
    <xf numFmtId="164" fontId="9" fillId="0" borderId="4" xfId="0" applyFont="true" applyBorder="true" applyAlignment="true" applyProtection="false">
      <alignment horizontal="general" vertical="bottom" textRotation="0" wrapText="false" indent="0" shrinkToFit="false"/>
      <protection locked="true" hidden="false"/>
    </xf>
    <xf numFmtId="164" fontId="11" fillId="0" borderId="4"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11" fillId="3"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5" borderId="3" xfId="0" applyFont="true" applyBorder="true" applyAlignment="true" applyProtection="false">
      <alignment horizontal="center"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5" borderId="3"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3" fillId="0" borderId="3" xfId="0" applyFont="true" applyBorder="true" applyAlignment="true" applyProtection="false">
      <alignment horizontal="center" vertical="center" textRotation="0" wrapText="true" indent="0" shrinkToFit="false"/>
      <protection locked="true" hidden="false"/>
    </xf>
    <xf numFmtId="166" fontId="7" fillId="0" borderId="3"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7" fillId="0" borderId="3" xfId="0" applyFont="true" applyBorder="true" applyAlignment="true" applyProtection="false">
      <alignment horizontal="center" vertical="bottom"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center" vertical="center" textRotation="0" wrapText="true" indent="0" shrinkToFit="false"/>
      <protection locked="true" hidden="false"/>
    </xf>
    <xf numFmtId="164" fontId="13" fillId="0" borderId="3" xfId="0" applyFont="true" applyBorder="true" applyAlignment="true" applyProtection="false">
      <alignment horizontal="general" vertical="bottom" textRotation="0" wrapText="true" indent="0" shrinkToFit="false"/>
      <protection locked="true" hidden="false"/>
    </xf>
    <xf numFmtId="164" fontId="7" fillId="5" borderId="3" xfId="0" applyFont="true" applyBorder="true" applyAlignment="true" applyProtection="false">
      <alignment horizontal="center" vertical="center" textRotation="0" wrapText="true" indent="0" shrinkToFit="false"/>
      <protection locked="true" hidden="false"/>
    </xf>
    <xf numFmtId="166" fontId="13" fillId="0" borderId="3" xfId="0" applyFont="true" applyBorder="true" applyAlignment="true" applyProtection="false">
      <alignment horizontal="general" vertical="bottom" textRotation="0" wrapText="false" indent="0" shrinkToFit="false"/>
      <protection locked="true" hidden="false"/>
    </xf>
    <xf numFmtId="164" fontId="13" fillId="0" borderId="3" xfId="0" applyFont="true" applyBorder="true" applyAlignment="tru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general" vertical="bottom" textRotation="0" wrapText="true" indent="0" shrinkToFit="false"/>
      <protection locked="true" hidden="false"/>
    </xf>
    <xf numFmtId="164" fontId="14" fillId="6" borderId="3" xfId="0" applyFont="true" applyBorder="true" applyAlignment="true" applyProtection="false">
      <alignment horizontal="general" vertical="bottom" textRotation="0" wrapText="false" indent="0" shrinkToFit="false"/>
      <protection locked="true" hidden="false"/>
    </xf>
    <xf numFmtId="164" fontId="14" fillId="7" borderId="3" xfId="0" applyFont="true" applyBorder="true" applyAlignment="true" applyProtection="false">
      <alignment horizontal="general" vertical="bottom" textRotation="0" wrapText="false" indent="0" shrinkToFit="false"/>
      <protection locked="true" hidden="false"/>
    </xf>
    <xf numFmtId="164" fontId="15" fillId="8" borderId="3" xfId="0" applyFont="true" applyBorder="true" applyAlignment="true" applyProtection="false">
      <alignment horizontal="general" vertical="bottom" textRotation="0" wrapText="false" indent="0" shrinkToFit="false"/>
      <protection locked="true" hidden="false"/>
    </xf>
    <xf numFmtId="164" fontId="15" fillId="9" borderId="3" xfId="0" applyFont="true" applyBorder="true" applyAlignment="true" applyProtection="false">
      <alignment horizontal="center" vertical="center" textRotation="0" wrapText="false" indent="0" shrinkToFit="false"/>
      <protection locked="true" hidden="false"/>
    </xf>
    <xf numFmtId="164" fontId="14" fillId="10" borderId="3" xfId="0" applyFont="true" applyBorder="true" applyAlignment="true" applyProtection="false">
      <alignment horizontal="general" vertical="bottom" textRotation="0" wrapText="false" indent="0" shrinkToFit="false"/>
      <protection locked="true" hidden="false"/>
    </xf>
    <xf numFmtId="164" fontId="14" fillId="11" borderId="3" xfId="0" applyFont="true" applyBorder="true" applyAlignment="true" applyProtection="false">
      <alignment horizontal="general" vertical="bottom" textRotation="0" wrapText="false" indent="0" shrinkToFit="false"/>
      <protection locked="true" hidden="false"/>
    </xf>
    <xf numFmtId="164" fontId="15" fillId="9" borderId="3" xfId="0" applyFont="true" applyBorder="true" applyAlignment="true" applyProtection="false">
      <alignment horizontal="center" vertical="bottom" textRotation="0" wrapText="false" indent="0" shrinkToFit="false"/>
      <protection locked="true" hidden="false"/>
    </xf>
    <xf numFmtId="164" fontId="13" fillId="12" borderId="3" xfId="0" applyFont="true" applyBorder="true" applyAlignment="true" applyProtection="false">
      <alignment horizontal="center" vertical="center" textRotation="0" wrapText="true" indent="0" shrinkToFit="false"/>
      <protection locked="true" hidden="false"/>
    </xf>
    <xf numFmtId="164" fontId="16" fillId="0" borderId="3" xfId="0" applyFont="true" applyBorder="true" applyAlignment="true" applyProtection="false">
      <alignment horizontal="general" vertical="center" textRotation="0" wrapText="false" indent="0" shrinkToFit="false"/>
      <protection locked="true" hidden="false"/>
    </xf>
    <xf numFmtId="164" fontId="17" fillId="0" borderId="3" xfId="0" applyFont="true" applyBorder="true" applyAlignment="true" applyProtection="false">
      <alignment horizontal="left" vertical="center" textRotation="0" wrapText="false" indent="0" shrinkToFit="false"/>
      <protection locked="true" hidden="false"/>
    </xf>
    <xf numFmtId="164" fontId="14" fillId="0" borderId="3" xfId="0" applyFont="true" applyBorder="true" applyAlignment="true" applyProtection="false">
      <alignment horizontal="general" vertical="center" textRotation="0" wrapText="false" indent="0" shrinkToFit="false"/>
      <protection locked="true" hidden="false"/>
    </xf>
    <xf numFmtId="164" fontId="14" fillId="0" borderId="3" xfId="0" applyFont="true" applyBorder="true" applyAlignment="true" applyProtection="false">
      <alignment horizontal="left" vertical="center" textRotation="0" wrapText="false" indent="0" shrinkToFit="false"/>
      <protection locked="true" hidden="false"/>
    </xf>
    <xf numFmtId="164" fontId="13" fillId="0" borderId="3" xfId="0" applyFont="true" applyBorder="true" applyAlignment="true" applyProtection="false">
      <alignment horizontal="general" vertical="center" textRotation="0" wrapText="tru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7" fillId="0" borderId="3" xfId="0" applyFont="true" applyBorder="true" applyAlignment="true" applyProtection="false">
      <alignment horizontal="general" vertical="bottom" textRotation="0" wrapText="false" indent="0" shrinkToFit="false"/>
      <protection locked="true" hidden="false"/>
    </xf>
    <xf numFmtId="164" fontId="7" fillId="5" borderId="6"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C0C0C0"/>
          <bgColor rgb="FF000000"/>
        </patternFill>
      </fill>
    </dxf>
    <dxf>
      <fill>
        <patternFill patternType="solid">
          <bgColor rgb="FF000000"/>
        </patternFill>
      </fill>
    </dxf>
    <dxf>
      <fill>
        <patternFill patternType="solid">
          <fgColor rgb="FF000000"/>
          <bgColor rgb="FF000000"/>
        </patternFill>
      </fill>
    </dxf>
    <dxf>
      <fill>
        <patternFill patternType="solid">
          <fgColor rgb="FFFBBC04"/>
          <bgColor rgb="FF000000"/>
        </patternFill>
      </fill>
    </dxf>
    <dxf>
      <fill>
        <patternFill patternType="solid">
          <fgColor rgb="FFFFE599"/>
          <bgColor rgb="FF000000"/>
        </patternFill>
      </fill>
    </dxf>
    <dxf>
      <fill>
        <patternFill patternType="solid">
          <fgColor rgb="FFB7B7B7"/>
          <bgColor rgb="FF000000"/>
        </patternFill>
      </fill>
    </dxf>
    <dxf>
      <fill>
        <patternFill patternType="solid">
          <fgColor rgb="FFD8D8D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7C80"/>
      <rgbColor rgb="FF0066CC"/>
      <rgbColor rgb="FFD8D8D8"/>
      <rgbColor rgb="FF000080"/>
      <rgbColor rgb="FFFF00FF"/>
      <rgbColor rgb="FFFFFF00"/>
      <rgbColor rgb="FF00FFFF"/>
      <rgbColor rgb="FF800080"/>
      <rgbColor rgb="FF800000"/>
      <rgbColor rgb="FF008080"/>
      <rgbColor rgb="FF0000FF"/>
      <rgbColor rgb="FF00CCFF"/>
      <rgbColor rgb="FFCCFFFF"/>
      <rgbColor rgb="FFD9D9D9"/>
      <rgbColor rgb="FFFFFF99"/>
      <rgbColor rgb="FFB7B7B7"/>
      <rgbColor rgb="FFFF99CC"/>
      <rgbColor rgb="FFCC99FF"/>
      <rgbColor rgb="FFFFE599"/>
      <rgbColor rgb="FF3366FF"/>
      <rgbColor rgb="FF33CCCC"/>
      <rgbColor rgb="FF92D050"/>
      <rgbColor rgb="FFFBBC04"/>
      <rgbColor rgb="FFFF9900"/>
      <rgbColor rgb="FFFF6600"/>
      <rgbColor rgb="FF666699"/>
      <rgbColor rgb="FFA5A5A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_1" displayName="Table_1" ref="A1:B5" headerRowCount="1" totalsRowCount="0" totalsRowShown="0">
  <tableColumns count="2">
    <tableColumn id="1" name="Impact Criteria"/>
    <tableColumn id="2" name="Weight"/>
  </tableColumns>
</table>
</file>

<file path=xl/tables/table2.xml><?xml version="1.0" encoding="utf-8"?>
<table xmlns="http://schemas.openxmlformats.org/spreadsheetml/2006/main" id="2" name="Table_10" displayName="Table_10" ref="A47:B51" headerRowCount="1" totalsRowCount="0" totalsRowShown="0">
  <tableColumns count="2">
    <tableColumn id="1" name="Method"/>
    <tableColumn id="2" name="Description"/>
  </tableColumns>
</table>
</file>

<file path=xl/tables/table3.xml><?xml version="1.0" encoding="utf-8"?>
<table xmlns="http://schemas.openxmlformats.org/spreadsheetml/2006/main" id="3" name="Table_2" displayName="Table_2" ref="D1:E6" headerRowCount="1" totalsRowCount="0" totalsRowShown="0">
  <tableColumns count="2">
    <tableColumn id="1" name="Lower Limit"/>
    <tableColumn id="2" name="Risk Level"/>
  </tableColumns>
</table>
</file>

<file path=xl/tables/table4.xml><?xml version="1.0" encoding="utf-8"?>
<table xmlns="http://schemas.openxmlformats.org/spreadsheetml/2006/main" id="4" name="Table_3" displayName="Table_3" ref="G1:H5" headerRowCount="1" totalsRowCount="0" totalsRowShown="0">
  <tableColumns count="2">
    <tableColumn id="1" name="Impact Rating"/>
    <tableColumn id="2" name="Threshold Value"/>
  </tableColumns>
</table>
</file>

<file path=xl/tables/table5.xml><?xml version="1.0" encoding="utf-8"?>
<table xmlns="http://schemas.openxmlformats.org/spreadsheetml/2006/main" id="5" name="Table_4" displayName="Table_4" ref="A8:C12" headerRowCount="1" totalsRowCount="0" totalsRowShown="0">
  <tableColumns count="3">
    <tableColumn id="1" name="Impact Rating"/>
    <tableColumn id="2" name="Criteria for Safety Impact Rating"/>
    <tableColumn id="3" name="Value"/>
  </tableColumns>
</table>
</file>

<file path=xl/tables/table6.xml><?xml version="1.0" encoding="utf-8"?>
<table xmlns="http://schemas.openxmlformats.org/spreadsheetml/2006/main" id="6" name="Table_5" displayName="Table_5" ref="A16:C20" headerRowCount="1" totalsRowCount="0" totalsRowShown="0">
  <tableColumns count="3">
    <tableColumn id="1" name="Impact Rating"/>
    <tableColumn id="2" name="Criteria for Reputational Impact Rating"/>
    <tableColumn id="3" name="Value"/>
  </tableColumns>
</table>
</file>

<file path=xl/tables/table7.xml><?xml version="1.0" encoding="utf-8"?>
<table xmlns="http://schemas.openxmlformats.org/spreadsheetml/2006/main" id="7" name="Table_6" displayName="Table_6" ref="E16:E22" headerRowCount="1" totalsRowCount="0" totalsRowShown="0">
  <tableColumns count="1">
    <tableColumn id="1" name="Threat category (STRIDE)"/>
  </tableColumns>
</table>
</file>

<file path=xl/tables/table8.xml><?xml version="1.0" encoding="utf-8"?>
<table xmlns="http://schemas.openxmlformats.org/spreadsheetml/2006/main" id="8" name="Table_7" displayName="Table_7" ref="A24:C28" headerRowCount="1" totalsRowCount="0" totalsRowShown="0">
  <tableColumns count="3">
    <tableColumn id="1" name="Impact Rating"/>
    <tableColumn id="2" name="Criteria for Operational Impact Rating"/>
    <tableColumn id="3" name="Value"/>
  </tableColumns>
</table>
</file>

<file path=xl/tables/table9.xml><?xml version="1.0" encoding="utf-8"?>
<table xmlns="http://schemas.openxmlformats.org/spreadsheetml/2006/main" id="9" name="Table_8" displayName="Table_8" ref="A32:C36" headerRowCount="1" totalsRowCount="0" totalsRowShown="0">
  <tableColumns count="3">
    <tableColumn id="1" name="Impact Rating"/>
    <tableColumn id="2" name="Criteria for Privacy Impact Rating"/>
    <tableColumn id="3" name="Value"/>
  </tableColumns>
</table>
</file>

<file path=xl/tables/table10.xml><?xml version="1.0" encoding="utf-8"?>
<table xmlns="http://schemas.openxmlformats.org/spreadsheetml/2006/main" id="10" name="Table_9" displayName="Table_9" ref="A40:D44" headerRowCount="1" totalsRowCount="0" totalsRowShown="0">
  <tableColumns count="4">
    <tableColumn id="1" name="Attack Vector"/>
    <tableColumn id="2" name="Description"/>
    <tableColumn id="3" name="Level"/>
    <tableColumn id="4" name="Value"/>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14"/>
    <col collapsed="false" customWidth="true" hidden="false" outlineLevel="0" max="2" min="2" style="1" width="41.71"/>
    <col collapsed="false" customWidth="true" hidden="false" outlineLevel="0" max="3" min="3" style="1" width="17.29"/>
    <col collapsed="false" customWidth="true" hidden="false" outlineLevel="0" max="4" min="4" style="1" width="39.14"/>
    <col collapsed="false" customWidth="true" hidden="false" outlineLevel="0" max="5" min="5" style="1" width="44"/>
    <col collapsed="false" customWidth="true" hidden="false" outlineLevel="0" max="6" min="6" style="1" width="21"/>
    <col collapsed="false" customWidth="true" hidden="false" outlineLevel="0" max="7" min="7" style="1" width="40.14"/>
    <col collapsed="false" customWidth="true" hidden="false" outlineLevel="0" max="8" min="8" style="1" width="21.29"/>
    <col collapsed="false" customWidth="true" hidden="false" outlineLevel="0" max="9" min="9" style="1" width="57.42"/>
    <col collapsed="false" customWidth="true" hidden="false" outlineLevel="0" max="10" min="10" style="1" width="20.29"/>
    <col collapsed="false" customWidth="true" hidden="false" outlineLevel="0" max="11" min="11" style="1" width="33"/>
    <col collapsed="false" customWidth="true" hidden="false" outlineLevel="0" max="12" min="12" style="1" width="20.85"/>
    <col collapsed="false" customWidth="true" hidden="false" outlineLevel="0" max="13" min="13" style="1" width="21.29"/>
    <col collapsed="false" customWidth="true" hidden="false" outlineLevel="0" max="14" min="14" style="1" width="16.84"/>
    <col collapsed="false" customWidth="true" hidden="false" outlineLevel="0" max="15" min="15" style="1" width="42.71"/>
    <col collapsed="false" customWidth="true" hidden="false" outlineLevel="0" max="16" min="16" style="1" width="15.42"/>
    <col collapsed="false" customWidth="true" hidden="false" outlineLevel="0" max="17" min="17" style="1" width="22.29"/>
    <col collapsed="false" customWidth="true" hidden="false" outlineLevel="0" max="18" min="18" style="1" width="21.29"/>
    <col collapsed="false" customWidth="true" hidden="false" outlineLevel="0" max="19" min="19" style="1" width="21.43"/>
    <col collapsed="false" customWidth="true" hidden="false" outlineLevel="0" max="20" min="20" style="1" width="38.71"/>
    <col collapsed="false" customWidth="true" hidden="false" outlineLevel="0" max="21" min="21" style="1" width="22.42"/>
    <col collapsed="false" customWidth="true" hidden="false" outlineLevel="0" max="22" min="22" style="1" width="47.71"/>
    <col collapsed="false" customWidth="true" hidden="false" outlineLevel="0" max="23" min="23" style="1" width="35"/>
    <col collapsed="false" customWidth="true" hidden="false" outlineLevel="0" max="24" min="24" style="1" width="18"/>
    <col collapsed="false" customWidth="true" hidden="false" outlineLevel="0" max="32" min="32" style="1" width="70"/>
  </cols>
  <sheetData>
    <row r="1" customFormat="false" ht="32.25" hidden="false" customHeight="true" outlineLevel="0" collapsed="false">
      <c r="A1" s="2" t="s">
        <v>0</v>
      </c>
      <c r="B1" s="2" t="s">
        <v>1</v>
      </c>
      <c r="C1" s="3" t="s">
        <v>2</v>
      </c>
      <c r="D1" s="4" t="s">
        <v>3</v>
      </c>
      <c r="E1" s="5" t="s">
        <v>4</v>
      </c>
      <c r="F1" s="6" t="s">
        <v>5</v>
      </c>
      <c r="G1" s="6" t="s">
        <v>6</v>
      </c>
      <c r="H1" s="6" t="s">
        <v>7</v>
      </c>
      <c r="I1" s="6" t="s">
        <v>8</v>
      </c>
      <c r="J1" s="6" t="s">
        <v>9</v>
      </c>
      <c r="K1" s="6" t="s">
        <v>10</v>
      </c>
      <c r="L1" s="6" t="s">
        <v>11</v>
      </c>
      <c r="M1" s="6" t="s">
        <v>12</v>
      </c>
      <c r="N1" s="7" t="s">
        <v>13</v>
      </c>
      <c r="O1" s="6" t="s">
        <v>14</v>
      </c>
      <c r="P1" s="8" t="s">
        <v>15</v>
      </c>
      <c r="Q1" s="8" t="s">
        <v>16</v>
      </c>
      <c r="R1" s="8" t="s">
        <v>17</v>
      </c>
      <c r="S1" s="6" t="s">
        <v>18</v>
      </c>
      <c r="T1" s="6" t="s">
        <v>19</v>
      </c>
      <c r="U1" s="6" t="s">
        <v>20</v>
      </c>
      <c r="V1" s="6" t="s">
        <v>21</v>
      </c>
      <c r="W1" s="6" t="s">
        <v>22</v>
      </c>
      <c r="X1" s="2" t="s">
        <v>23</v>
      </c>
      <c r="Y1" s="9" t="s">
        <v>24</v>
      </c>
      <c r="Z1" s="9" t="s">
        <v>25</v>
      </c>
      <c r="AA1" s="9" t="s">
        <v>26</v>
      </c>
      <c r="AB1" s="9" t="s">
        <v>27</v>
      </c>
      <c r="AC1" s="9" t="s">
        <v>28</v>
      </c>
      <c r="AD1" s="9" t="s">
        <v>29</v>
      </c>
      <c r="AE1" s="9" t="s">
        <v>30</v>
      </c>
      <c r="AF1" s="2" t="s">
        <v>31</v>
      </c>
    </row>
    <row r="2" customFormat="false" ht="150" hidden="false" customHeight="true" outlineLevel="0" collapsed="false">
      <c r="A2" s="10" t="s">
        <v>32</v>
      </c>
      <c r="B2" s="11" t="s">
        <v>33</v>
      </c>
      <c r="C2" s="12" t="s">
        <v>34</v>
      </c>
      <c r="D2" s="13" t="s">
        <v>35</v>
      </c>
      <c r="E2" s="14" t="s">
        <v>36</v>
      </c>
      <c r="F2" s="12" t="s">
        <v>37</v>
      </c>
      <c r="G2" s="12" t="s">
        <v>38</v>
      </c>
      <c r="H2" s="12" t="s">
        <v>39</v>
      </c>
      <c r="I2" s="14" t="s">
        <v>40</v>
      </c>
      <c r="J2" s="12" t="s">
        <v>41</v>
      </c>
      <c r="K2" s="15" t="s">
        <v>42</v>
      </c>
      <c r="L2" s="12" t="s">
        <v>39</v>
      </c>
      <c r="M2" s="15" t="s">
        <v>43</v>
      </c>
      <c r="N2" s="12" t="s">
        <v>44</v>
      </c>
      <c r="O2" s="14" t="s">
        <v>45</v>
      </c>
      <c r="P2" s="16" t="str">
        <f aca="false">IF(AC2&gt;=Reference!$H$2, Reference!$G$2, IF(AC2&gt;=Reference!$H$3, Reference!$G$3, IF(AC2&gt;=Reference!$H$4, Reference!$G$4, IF(AC2&gt;=Reference!$H$5, Reference!$G$5, ""))))</f>
        <v>Severe</v>
      </c>
      <c r="Q2" s="16" t="str">
        <f aca="false">IF(F2="Physical", "Very Low", IF(F2="Local", "Low", IF(F2="Adjacent", "Medium", IF(F2="Network", "High", ""))))</f>
        <v>Medium</v>
      </c>
      <c r="R2" s="16" t="str">
        <f aca="false">IF(AE2&gt;=Reference!$D$2, Reference!$E$2, IF(AE2&gt;=Reference!$D$3, Reference!$E$3, IF(AE2&gt;=Reference!$D$4, Reference!$E$4, IF(AE2&gt;=Reference!$D$5, Reference!$E$5, ""))))</f>
        <v>High</v>
      </c>
      <c r="S2" s="17" t="s">
        <v>46</v>
      </c>
      <c r="T2" s="14" t="s">
        <v>47</v>
      </c>
      <c r="U2" s="14" t="s">
        <v>48</v>
      </c>
      <c r="V2" s="14" t="s">
        <v>49</v>
      </c>
      <c r="W2" s="12" t="s">
        <v>50</v>
      </c>
      <c r="X2" s="18" t="s">
        <v>51</v>
      </c>
      <c r="Y2" s="1" t="n">
        <f aca="false">IF(H2=Reference!$A$12, Reference!$C$12, IF(H2=Reference!$A$11, Reference!$C$11, IF(H2=Reference!$A$10, Reference!$C$10, IF(H2=Reference!$A$9, Reference!$C$9, 0))))</f>
        <v>7</v>
      </c>
      <c r="Z2" s="1" t="n">
        <f aca="false">IF(J2=Reference!$A$20, Reference!$C$20, IF(J2=Reference!$A$19, Reference!$C$19, IF(J2=Reference!$A$18, Reference!$C$18, IF(J2=Reference!$A$17, Reference!$C$17, 0))))</f>
        <v>4</v>
      </c>
      <c r="AA2" s="1" t="n">
        <f aca="false">IF(L2=Reference!$A$28, Reference!$C$28, IF(L2=Reference!$A$27, Reference!$C$27, IF(L2=Reference!$A$26, Reference!$C$26, IF(L2=Reference!$A$25, Reference!$C$25, 0))))</f>
        <v>7</v>
      </c>
      <c r="AB2" s="1" t="n">
        <f aca="false">IF(N2=Reference!$A$36, Reference!$C$36, IF(N2=Reference!$A$35, Reference!$C$35, IF(N2=Reference!$A$34, Reference!$C$34, IF(N2=Reference!$A$33, Reference!$C$33, 0))))</f>
        <v>1</v>
      </c>
      <c r="AC2" s="1" t="n">
        <f aca="false">(Reference!$B$2*Y2 + Reference!$B$3*AA2 + Reference!$B$4*Z2 + Reference!$B$5 * AB2)/4</f>
        <v>11.0625</v>
      </c>
      <c r="AD2" s="1" t="n">
        <f aca="false">IF(Q2=Reference!$C$41, Reference!$D$41, IF(Q2=Reference!$C$42, Reference!$D$42, IF(Q2=Reference!$C$43, Reference!$D$43, IF(Q2=Reference!$C$44, Reference!$D$44, 0))))</f>
        <v>7</v>
      </c>
      <c r="AE2" s="1" t="n">
        <f aca="false">1 + (AC2 * AD2)</f>
        <v>78.4375</v>
      </c>
      <c r="AF2" s="12" t="s">
        <v>52</v>
      </c>
    </row>
    <row r="3" customFormat="false" ht="150" hidden="false" customHeight="true" outlineLevel="0" collapsed="false">
      <c r="A3" s="10" t="s">
        <v>32</v>
      </c>
      <c r="B3" s="11" t="s">
        <v>53</v>
      </c>
      <c r="C3" s="12" t="s">
        <v>54</v>
      </c>
      <c r="D3" s="13" t="s">
        <v>55</v>
      </c>
      <c r="E3" s="14" t="s">
        <v>56</v>
      </c>
      <c r="F3" s="12" t="s">
        <v>57</v>
      </c>
      <c r="G3" s="12" t="s">
        <v>58</v>
      </c>
      <c r="H3" s="12" t="s">
        <v>39</v>
      </c>
      <c r="I3" s="14" t="s">
        <v>59</v>
      </c>
      <c r="J3" s="12" t="s">
        <v>41</v>
      </c>
      <c r="K3" s="15" t="s">
        <v>60</v>
      </c>
      <c r="L3" s="12" t="s">
        <v>39</v>
      </c>
      <c r="M3" s="15" t="s">
        <v>61</v>
      </c>
      <c r="N3" s="12" t="s">
        <v>44</v>
      </c>
      <c r="O3" s="14" t="s">
        <v>62</v>
      </c>
      <c r="P3" s="16" t="str">
        <f aca="false">IF(AC3&gt;=Reference!$H$2, Reference!$G$2, IF(AC3&gt;=Reference!$H$3, Reference!$G$3, IF(AC3&gt;=Reference!$H$4, Reference!$G$4, IF(AC3&gt;=Reference!$H$5, Reference!$G$5, ""))))</f>
        <v>Severe</v>
      </c>
      <c r="Q3" s="16" t="str">
        <f aca="false">IF(F3="Physical", "Very Low", IF(F3="Local", "Low", IF(F3="Adjacent", "Medium", IF(F3="Network", "High", ""))))</f>
        <v>Very Low</v>
      </c>
      <c r="R3" s="16" t="str">
        <f aca="false">IF(AE3&gt;=Reference!$D$2, Reference!$E$2, IF(AE3&gt;=Reference!$D$3, Reference!$E$3, IF(AE3&gt;=Reference!$D$4, Reference!$E$4, IF(AE3&gt;=Reference!$D$5, Reference!$E$5, ""))))</f>
        <v>Low</v>
      </c>
      <c r="S3" s="17" t="s">
        <v>46</v>
      </c>
      <c r="T3" s="14" t="s">
        <v>63</v>
      </c>
      <c r="U3" s="14" t="s">
        <v>64</v>
      </c>
      <c r="V3" s="14" t="s">
        <v>65</v>
      </c>
      <c r="W3" s="12" t="s">
        <v>66</v>
      </c>
      <c r="X3" s="18" t="s">
        <v>67</v>
      </c>
      <c r="Y3" s="1" t="n">
        <f aca="false">IF(H3=Reference!$A$12, Reference!$C$12, IF(H3=Reference!$A$11, Reference!$C$11, IF(H3=Reference!$A$10, Reference!$C$10, IF(H3=Reference!$A$9, Reference!$C$9, 0))))</f>
        <v>7</v>
      </c>
      <c r="Z3" s="1" t="n">
        <f aca="false">IF(J3=Reference!$A$20, Reference!$C$20, IF(J3=Reference!$A$19, Reference!$C$19, IF(J3=Reference!$A$18, Reference!$C$18, IF(J3=Reference!$A$17, Reference!$C$17, 0))))</f>
        <v>4</v>
      </c>
      <c r="AA3" s="1" t="n">
        <f aca="false">IF(L3=Reference!$A$28, Reference!$C$28, IF(L3=Reference!$A$27, Reference!$C$27, IF(L3=Reference!$A$26, Reference!$C$26, IF(L3=Reference!$A$25, Reference!$C$25, 0))))</f>
        <v>7</v>
      </c>
      <c r="AB3" s="1" t="n">
        <f aca="false">IF(N3=Reference!$A$36, Reference!$C$36, IF(N3=Reference!$A$35, Reference!$C$35, IF(N3=Reference!$A$34, Reference!$C$34, IF(N3=Reference!$A$33, Reference!$C$33, 0))))</f>
        <v>1</v>
      </c>
      <c r="AC3" s="1" t="n">
        <f aca="false">(Reference!$B$2*Y3 + Reference!$B$3*AA3 + Reference!$B$4*Z3 + Reference!$B$5 * AB3)/4</f>
        <v>11.0625</v>
      </c>
      <c r="AD3" s="1" t="n">
        <f aca="false">IF(Q3=Reference!$C$41, Reference!$D$41, IF(Q3=Reference!$C$42, Reference!$D$42, IF(Q3=Reference!$C$43, Reference!$D$43, IF(Q3=Reference!$C$44, Reference!$D$44, 0))))</f>
        <v>1</v>
      </c>
      <c r="AE3" s="1" t="n">
        <f aca="false">1 + (AC3 * AD3)</f>
        <v>12.0625</v>
      </c>
      <c r="AF3" s="12" t="s">
        <v>68</v>
      </c>
    </row>
    <row r="4" customFormat="false" ht="150" hidden="false" customHeight="true" outlineLevel="0" collapsed="false">
      <c r="A4" s="10" t="s">
        <v>32</v>
      </c>
      <c r="B4" s="11" t="s">
        <v>69</v>
      </c>
      <c r="C4" s="12" t="s">
        <v>70</v>
      </c>
      <c r="D4" s="13" t="s">
        <v>71</v>
      </c>
      <c r="E4" s="14" t="s">
        <v>72</v>
      </c>
      <c r="F4" s="12" t="s">
        <v>57</v>
      </c>
      <c r="G4" s="12" t="s">
        <v>73</v>
      </c>
      <c r="H4" s="12" t="s">
        <v>39</v>
      </c>
      <c r="I4" s="14" t="s">
        <v>74</v>
      </c>
      <c r="J4" s="12" t="s">
        <v>41</v>
      </c>
      <c r="K4" s="15" t="s">
        <v>75</v>
      </c>
      <c r="L4" s="12" t="s">
        <v>76</v>
      </c>
      <c r="M4" s="15" t="s">
        <v>77</v>
      </c>
      <c r="N4" s="12" t="s">
        <v>44</v>
      </c>
      <c r="O4" s="14" t="s">
        <v>78</v>
      </c>
      <c r="P4" s="16" t="str">
        <f aca="false">IF(AC4&gt;=Reference!$H$2, Reference!$G$2, IF(AC4&gt;=Reference!$H$3, Reference!$G$3, IF(AC4&gt;=Reference!$H$4, Reference!$G$4, IF(AC4&gt;=Reference!$H$5, Reference!$G$5, ""))))</f>
        <v>Severe</v>
      </c>
      <c r="Q4" s="16" t="str">
        <f aca="false">IF(F4="Physical", "Very Low", IF(F4="Local", "Low", IF(F4="Adjacent", "Medium", IF(F4="Network", "High", ""))))</f>
        <v>Very Low</v>
      </c>
      <c r="R4" s="16" t="str">
        <f aca="false">IF(AE4&gt;=Reference!$D$2, Reference!$E$2, IF(AE4&gt;=Reference!$D$3, Reference!$E$3, IF(AE4&gt;=Reference!$D$4, Reference!$E$4, IF(AE4&gt;=Reference!$D$5, Reference!$E$5, ""))))</f>
        <v>Low</v>
      </c>
      <c r="S4" s="17" t="s">
        <v>46</v>
      </c>
      <c r="T4" s="14" t="s">
        <v>79</v>
      </c>
      <c r="U4" s="14" t="s">
        <v>80</v>
      </c>
      <c r="V4" s="14" t="s">
        <v>81</v>
      </c>
      <c r="W4" s="12" t="s">
        <v>82</v>
      </c>
      <c r="X4" s="18" t="s">
        <v>83</v>
      </c>
      <c r="Y4" s="1" t="n">
        <f aca="false">IF(H4=Reference!$A$12, Reference!$C$12, IF(H4=Reference!$A$11, Reference!$C$11, IF(H4=Reference!$A$10, Reference!$C$10, IF(H4=Reference!$A$9, Reference!$C$9, 0))))</f>
        <v>7</v>
      </c>
      <c r="Z4" s="1" t="n">
        <f aca="false">IF(J4=Reference!$A$20, Reference!$C$20, IF(J4=Reference!$A$19, Reference!$C$19, IF(J4=Reference!$A$18, Reference!$C$18, IF(J4=Reference!$A$17, Reference!$C$17, 0))))</f>
        <v>4</v>
      </c>
      <c r="AA4" s="1" t="n">
        <f aca="false">IF(L4=Reference!$A$28, Reference!$C$28, IF(L4=Reference!$A$27, Reference!$C$27, IF(L4=Reference!$A$26, Reference!$C$26, IF(L4=Reference!$A$25, Reference!$C$25, 0))))</f>
        <v>10</v>
      </c>
      <c r="AB4" s="1" t="n">
        <f aca="false">IF(N4=Reference!$A$36, Reference!$C$36, IF(N4=Reference!$A$35, Reference!$C$35, IF(N4=Reference!$A$34, Reference!$C$34, IF(N4=Reference!$A$33, Reference!$C$33, 0))))</f>
        <v>1</v>
      </c>
      <c r="AC4" s="1" t="n">
        <f aca="false">(Reference!$B$2*Y4 + Reference!$B$3*AA4 + Reference!$B$4*Z4 + Reference!$B$5 * AB4)/4</f>
        <v>11.8125</v>
      </c>
      <c r="AD4" s="1" t="n">
        <f aca="false">IF(Q4=Reference!$C$41, Reference!$D$41, IF(Q4=Reference!$C$42, Reference!$D$42, IF(Q4=Reference!$C$43, Reference!$D$43, IF(Q4=Reference!$C$44, Reference!$D$44, 0))))</f>
        <v>1</v>
      </c>
      <c r="AE4" s="1" t="n">
        <f aca="false">1 + (AC4 * AD4)</f>
        <v>12.8125</v>
      </c>
      <c r="AF4" s="12" t="s">
        <v>84</v>
      </c>
    </row>
    <row r="5" customFormat="false" ht="150" hidden="false" customHeight="true" outlineLevel="0" collapsed="false">
      <c r="A5" s="10" t="s">
        <v>85</v>
      </c>
      <c r="B5" s="11" t="s">
        <v>53</v>
      </c>
      <c r="C5" s="12" t="s">
        <v>54</v>
      </c>
      <c r="D5" s="13" t="s">
        <v>86</v>
      </c>
      <c r="E5" s="14" t="s">
        <v>87</v>
      </c>
      <c r="F5" s="12" t="s">
        <v>37</v>
      </c>
      <c r="G5" s="12" t="s">
        <v>88</v>
      </c>
      <c r="H5" s="12" t="s">
        <v>39</v>
      </c>
      <c r="I5" s="14" t="s">
        <v>89</v>
      </c>
      <c r="J5" s="12" t="s">
        <v>39</v>
      </c>
      <c r="K5" s="15" t="s">
        <v>90</v>
      </c>
      <c r="L5" s="12" t="s">
        <v>76</v>
      </c>
      <c r="M5" s="15" t="s">
        <v>91</v>
      </c>
      <c r="N5" s="12" t="s">
        <v>44</v>
      </c>
      <c r="O5" s="14" t="s">
        <v>62</v>
      </c>
      <c r="P5" s="16" t="str">
        <f aca="false">IF(AC5&gt;=Reference!$H$2, Reference!$G$2, IF(AC5&gt;=Reference!$H$3, Reference!$G$3, IF(AC5&gt;=Reference!$H$4, Reference!$G$4, IF(AC5&gt;=Reference!$H$5, Reference!$G$5, ""))))</f>
        <v>Severe</v>
      </c>
      <c r="Q5" s="16" t="str">
        <f aca="false">IF(F5="Physical", "Very Low", IF(F5="Local", "Low", IF(F5="Adjacent", "Medium", IF(F5="Network", "High", ""))))</f>
        <v>Medium</v>
      </c>
      <c r="R5" s="16" t="str">
        <f aca="false">IF(AE5&gt;=Reference!$D$2, Reference!$E$2, IF(AE5&gt;=Reference!$D$3, Reference!$E$3, IF(AE5&gt;=Reference!$D$4, Reference!$E$4, IF(AE5&gt;=Reference!$D$5, Reference!$E$5, ""))))</f>
        <v>High</v>
      </c>
      <c r="S5" s="17" t="s">
        <v>46</v>
      </c>
      <c r="T5" s="14" t="s">
        <v>92</v>
      </c>
      <c r="U5" s="14" t="s">
        <v>93</v>
      </c>
      <c r="V5" s="14" t="s">
        <v>94</v>
      </c>
      <c r="W5" s="12" t="s">
        <v>66</v>
      </c>
      <c r="X5" s="18" t="s">
        <v>95</v>
      </c>
      <c r="Y5" s="1" t="n">
        <f aca="false">IF(H5=Reference!$A$12, Reference!$C$12, IF(H5=Reference!$A$11, Reference!$C$11, IF(H5=Reference!$A$10, Reference!$C$10, IF(H5=Reference!$A$9, Reference!$C$9, 0))))</f>
        <v>7</v>
      </c>
      <c r="Z5" s="1" t="n">
        <f aca="false">IF(J5=Reference!$A$20, Reference!$C$20, IF(J5=Reference!$A$19, Reference!$C$19, IF(J5=Reference!$A$18, Reference!$C$18, IF(J5=Reference!$A$17, Reference!$C$17, 0))))</f>
        <v>7</v>
      </c>
      <c r="AA5" s="1" t="n">
        <f aca="false">IF(L5=Reference!$A$28, Reference!$C$28, IF(L5=Reference!$A$27, Reference!$C$27, IF(L5=Reference!$A$26, Reference!$C$26, IF(L5=Reference!$A$25, Reference!$C$25, 0))))</f>
        <v>10</v>
      </c>
      <c r="AB5" s="1" t="n">
        <f aca="false">IF(N5=Reference!$A$36, Reference!$C$36, IF(N5=Reference!$A$35, Reference!$C$35, IF(N5=Reference!$A$34, Reference!$C$34, IF(N5=Reference!$A$33, Reference!$C$33, 0))))</f>
        <v>1</v>
      </c>
      <c r="AC5" s="1" t="n">
        <f aca="false">(Reference!$B$2*Y5 + Reference!$B$3*AA5 + Reference!$B$4*Z5 + Reference!$B$5 * AB5)/4</f>
        <v>12.1875</v>
      </c>
      <c r="AD5" s="1" t="n">
        <f aca="false">IF(Q5=Reference!$C$41, Reference!$D$41, IF(Q5=Reference!$C$42, Reference!$D$42, IF(Q5=Reference!$C$43, Reference!$D$43, IF(Q5=Reference!$C$44, Reference!$D$44, 0))))</f>
        <v>7</v>
      </c>
      <c r="AE5" s="1" t="n">
        <f aca="false">1 + (AC5 * AD5)</f>
        <v>86.3125</v>
      </c>
      <c r="AF5" s="12" t="s">
        <v>96</v>
      </c>
    </row>
    <row r="6" customFormat="false" ht="150" hidden="false" customHeight="true" outlineLevel="0" collapsed="false">
      <c r="A6" s="10" t="s">
        <v>97</v>
      </c>
      <c r="B6" s="11" t="s">
        <v>33</v>
      </c>
      <c r="C6" s="12" t="s">
        <v>34</v>
      </c>
      <c r="D6" s="13" t="s">
        <v>98</v>
      </c>
      <c r="E6" s="14" t="s">
        <v>99</v>
      </c>
      <c r="F6" s="12" t="s">
        <v>100</v>
      </c>
      <c r="G6" s="12" t="s">
        <v>101</v>
      </c>
      <c r="H6" s="12" t="s">
        <v>39</v>
      </c>
      <c r="I6" s="14" t="s">
        <v>102</v>
      </c>
      <c r="J6" s="12" t="s">
        <v>39</v>
      </c>
      <c r="K6" s="15" t="s">
        <v>103</v>
      </c>
      <c r="L6" s="12" t="s">
        <v>39</v>
      </c>
      <c r="M6" s="15" t="s">
        <v>104</v>
      </c>
      <c r="N6" s="12" t="s">
        <v>44</v>
      </c>
      <c r="O6" s="14" t="s">
        <v>105</v>
      </c>
      <c r="P6" s="16" t="str">
        <f aca="false">IF(AC6&gt;=Reference!$H$2, Reference!$G$2, IF(AC6&gt;=Reference!$H$3, Reference!$G$3, IF(AC6&gt;=Reference!$H$4, Reference!$G$4, IF(AC6&gt;=Reference!$H$5, Reference!$G$5, ""))))</f>
        <v>Severe</v>
      </c>
      <c r="Q6" s="16" t="str">
        <f aca="false">IF(F6="Physical", "Very Low", IF(F6="Local", "Low", IF(F6="Adjacent", "Medium", IF(F6="Network", "High", ""))))</f>
        <v>High</v>
      </c>
      <c r="R6" s="16" t="str">
        <f aca="false">IF(AE6&gt;=Reference!$D$2, Reference!$E$2, IF(AE6&gt;=Reference!$D$3, Reference!$E$3, IF(AE6&gt;=Reference!$D$4, Reference!$E$4, IF(AE6&gt;=Reference!$D$5, Reference!$E$5, ""))))</f>
        <v>Critical</v>
      </c>
      <c r="S6" s="17" t="s">
        <v>46</v>
      </c>
      <c r="T6" s="14" t="s">
        <v>106</v>
      </c>
      <c r="U6" s="14" t="s">
        <v>107</v>
      </c>
      <c r="V6" s="14" t="s">
        <v>108</v>
      </c>
      <c r="W6" s="12" t="s">
        <v>109</v>
      </c>
      <c r="X6" s="18" t="s">
        <v>110</v>
      </c>
      <c r="Y6" s="1" t="n">
        <f aca="false">IF(H6=Reference!$A$12, Reference!$C$12, IF(H6=Reference!$A$11, Reference!$C$11, IF(H6=Reference!$A$10, Reference!$C$10, IF(H6=Reference!$A$9, Reference!$C$9, 0))))</f>
        <v>7</v>
      </c>
      <c r="Z6" s="1" t="n">
        <f aca="false">IF(J6=Reference!$A$20, Reference!$C$20, IF(J6=Reference!$A$19, Reference!$C$19, IF(J6=Reference!$A$18, Reference!$C$18, IF(J6=Reference!$A$17, Reference!$C$17, 0))))</f>
        <v>7</v>
      </c>
      <c r="AA6" s="1" t="n">
        <f aca="false">IF(L6=Reference!$A$28, Reference!$C$28, IF(L6=Reference!$A$27, Reference!$C$27, IF(L6=Reference!$A$26, Reference!$C$26, IF(L6=Reference!$A$25, Reference!$C$25, 0))))</f>
        <v>7</v>
      </c>
      <c r="AB6" s="1" t="n">
        <f aca="false">IF(N6=Reference!$A$36, Reference!$C$36, IF(N6=Reference!$A$35, Reference!$C$35, IF(N6=Reference!$A$34, Reference!$C$34, IF(N6=Reference!$A$33, Reference!$C$33, 0))))</f>
        <v>1</v>
      </c>
      <c r="AC6" s="1" t="n">
        <f aca="false">(Reference!$B$2*Y6 + Reference!$B$3*AA6 + Reference!$B$4*Z6 + Reference!$B$5 * AB6)/4</f>
        <v>11.4375</v>
      </c>
      <c r="AD6" s="1" t="n">
        <f aca="false">IF(Q6=Reference!$C$41, Reference!$D$41, IF(Q6=Reference!$C$42, Reference!$D$42, IF(Q6=Reference!$C$43, Reference!$D$43, IF(Q6=Reference!$C$44, Reference!$D$44, 0))))</f>
        <v>10</v>
      </c>
      <c r="AE6" s="1" t="n">
        <f aca="false">1 + (AC6 * AD6)</f>
        <v>115.375</v>
      </c>
      <c r="AF6" s="12" t="s">
        <v>111</v>
      </c>
    </row>
    <row r="7" customFormat="false" ht="150" hidden="false" customHeight="true" outlineLevel="0" collapsed="false">
      <c r="A7" s="10" t="s">
        <v>112</v>
      </c>
      <c r="B7" s="11" t="s">
        <v>53</v>
      </c>
      <c r="C7" s="12" t="s">
        <v>54</v>
      </c>
      <c r="D7" s="13" t="s">
        <v>113</v>
      </c>
      <c r="E7" s="14" t="s">
        <v>114</v>
      </c>
      <c r="F7" s="12" t="s">
        <v>100</v>
      </c>
      <c r="G7" s="12" t="s">
        <v>115</v>
      </c>
      <c r="H7" s="12" t="s">
        <v>39</v>
      </c>
      <c r="I7" s="14" t="s">
        <v>116</v>
      </c>
      <c r="J7" s="12" t="s">
        <v>39</v>
      </c>
      <c r="K7" s="15" t="s">
        <v>117</v>
      </c>
      <c r="L7" s="12" t="s">
        <v>76</v>
      </c>
      <c r="M7" s="15" t="s">
        <v>118</v>
      </c>
      <c r="N7" s="12" t="s">
        <v>44</v>
      </c>
      <c r="O7" s="14" t="s">
        <v>62</v>
      </c>
      <c r="P7" s="16" t="str">
        <f aca="false">IF(AC7&gt;=Reference!$H$2, Reference!$G$2, IF(AC7&gt;=Reference!$H$3, Reference!$G$3, IF(AC7&gt;=Reference!$H$4, Reference!$G$4, IF(AC7&gt;=Reference!$H$5, Reference!$G$5, ""))))</f>
        <v>Severe</v>
      </c>
      <c r="Q7" s="16" t="str">
        <f aca="false">IF(F7="Physical", "Very Low", IF(F7="Local", "Low", IF(F7="Adjacent", "Medium", IF(F7="Network", "High", ""))))</f>
        <v>High</v>
      </c>
      <c r="R7" s="16" t="str">
        <f aca="false">IF(AE7&gt;=Reference!$D$2, Reference!$E$2, IF(AE7&gt;=Reference!$D$3, Reference!$E$3, IF(AE7&gt;=Reference!$D$4, Reference!$E$4, IF(AE7&gt;=Reference!$D$5, Reference!$E$5, ""))))</f>
        <v>Critical</v>
      </c>
      <c r="S7" s="17" t="s">
        <v>46</v>
      </c>
      <c r="T7" s="14" t="s">
        <v>119</v>
      </c>
      <c r="U7" s="14" t="s">
        <v>120</v>
      </c>
      <c r="V7" s="14" t="s">
        <v>121</v>
      </c>
      <c r="W7" s="12" t="s">
        <v>66</v>
      </c>
      <c r="X7" s="18" t="s">
        <v>122</v>
      </c>
      <c r="Y7" s="1" t="n">
        <f aca="false">IF(H7=Reference!$A$12, Reference!$C$12, IF(H7=Reference!$A$11, Reference!$C$11, IF(H7=Reference!$A$10, Reference!$C$10, IF(H7=Reference!$A$9, Reference!$C$9, 0))))</f>
        <v>7</v>
      </c>
      <c r="Z7" s="1" t="n">
        <f aca="false">IF(J7=Reference!$A$20, Reference!$C$20, IF(J7=Reference!$A$19, Reference!$C$19, IF(J7=Reference!$A$18, Reference!$C$18, IF(J7=Reference!$A$17, Reference!$C$17, 0))))</f>
        <v>7</v>
      </c>
      <c r="AA7" s="1" t="n">
        <f aca="false">IF(L7=Reference!$A$28, Reference!$C$28, IF(L7=Reference!$A$27, Reference!$C$27, IF(L7=Reference!$A$26, Reference!$C$26, IF(L7=Reference!$A$25, Reference!$C$25, 0))))</f>
        <v>10</v>
      </c>
      <c r="AB7" s="1" t="n">
        <f aca="false">IF(N7=Reference!$A$36, Reference!$C$36, IF(N7=Reference!$A$35, Reference!$C$35, IF(N7=Reference!$A$34, Reference!$C$34, IF(N7=Reference!$A$33, Reference!$C$33, 0))))</f>
        <v>1</v>
      </c>
      <c r="AC7" s="1" t="n">
        <f aca="false">(Reference!$B$2*Y7 + Reference!$B$3*AA7 + Reference!$B$4*Z7 + Reference!$B$5 * AB7)/4</f>
        <v>12.1875</v>
      </c>
      <c r="AD7" s="1" t="n">
        <f aca="false">IF(Q7=Reference!$C$41, Reference!$D$41, IF(Q7=Reference!$C$42, Reference!$D$42, IF(Q7=Reference!$C$43, Reference!$D$43, IF(Q7=Reference!$C$44, Reference!$D$44, 0))))</f>
        <v>10</v>
      </c>
      <c r="AE7" s="1" t="n">
        <f aca="false">1 + (AC7 * AD7)</f>
        <v>122.875</v>
      </c>
      <c r="AF7" s="12" t="s">
        <v>123</v>
      </c>
    </row>
    <row r="8" customFormat="false" ht="150" hidden="false" customHeight="true" outlineLevel="0" collapsed="false">
      <c r="A8" s="10" t="s">
        <v>124</v>
      </c>
      <c r="B8" s="11" t="s">
        <v>125</v>
      </c>
      <c r="C8" s="12" t="s">
        <v>126</v>
      </c>
      <c r="D8" s="13" t="s">
        <v>127</v>
      </c>
      <c r="E8" s="14" t="s">
        <v>128</v>
      </c>
      <c r="F8" s="12" t="s">
        <v>57</v>
      </c>
      <c r="G8" s="12" t="s">
        <v>129</v>
      </c>
      <c r="H8" s="12" t="s">
        <v>39</v>
      </c>
      <c r="I8" s="14" t="s">
        <v>130</v>
      </c>
      <c r="J8" s="12" t="s">
        <v>39</v>
      </c>
      <c r="K8" s="15" t="s">
        <v>131</v>
      </c>
      <c r="L8" s="12" t="s">
        <v>39</v>
      </c>
      <c r="M8" s="15" t="s">
        <v>132</v>
      </c>
      <c r="N8" s="12" t="s">
        <v>44</v>
      </c>
      <c r="O8" s="14" t="s">
        <v>133</v>
      </c>
      <c r="P8" s="16" t="str">
        <f aca="false">IF(AC8&gt;=Reference!$H$2, Reference!$G$2, IF(AC8&gt;=Reference!$H$3, Reference!$G$3, IF(AC8&gt;=Reference!$H$4, Reference!$G$4, IF(AC8&gt;=Reference!$H$5, Reference!$G$5, ""))))</f>
        <v>Severe</v>
      </c>
      <c r="Q8" s="16" t="str">
        <f aca="false">IF(F8="Physical", "Very Low", IF(F8="Local", "Low", IF(F8="Adjacent", "Medium", IF(F8="Network", "High", ""))))</f>
        <v>Very Low</v>
      </c>
      <c r="R8" s="16" t="str">
        <f aca="false">IF(AE8&gt;=Reference!$D$2, Reference!$E$2, IF(AE8&gt;=Reference!$D$3, Reference!$E$3, IF(AE8&gt;=Reference!$D$4, Reference!$E$4, IF(AE8&gt;=Reference!$D$5, Reference!$E$5, ""))))</f>
        <v>Low</v>
      </c>
      <c r="S8" s="17" t="s">
        <v>46</v>
      </c>
      <c r="T8" s="14" t="s">
        <v>134</v>
      </c>
      <c r="U8" s="14" t="s">
        <v>135</v>
      </c>
      <c r="V8" s="14" t="s">
        <v>136</v>
      </c>
      <c r="W8" s="12" t="s">
        <v>137</v>
      </c>
      <c r="X8" s="18" t="s">
        <v>138</v>
      </c>
      <c r="Y8" s="1" t="n">
        <f aca="false">IF(H8=Reference!$A$12, Reference!$C$12, IF(H8=Reference!$A$11, Reference!$C$11, IF(H8=Reference!$A$10, Reference!$C$10, IF(H8=Reference!$A$9, Reference!$C$9, 0))))</f>
        <v>7</v>
      </c>
      <c r="Z8" s="1" t="n">
        <f aca="false">IF(J8=Reference!$A$20, Reference!$C$20, IF(J8=Reference!$A$19, Reference!$C$19, IF(J8=Reference!$A$18, Reference!$C$18, IF(J8=Reference!$A$17, Reference!$C$17, 0))))</f>
        <v>7</v>
      </c>
      <c r="AA8" s="1" t="n">
        <f aca="false">IF(L8=Reference!$A$28, Reference!$C$28, IF(L8=Reference!$A$27, Reference!$C$27, IF(L8=Reference!$A$26, Reference!$C$26, IF(L8=Reference!$A$25, Reference!$C$25, 0))))</f>
        <v>7</v>
      </c>
      <c r="AB8" s="1" t="n">
        <f aca="false">IF(N8=Reference!$A$36, Reference!$C$36, IF(N8=Reference!$A$35, Reference!$C$35, IF(N8=Reference!$A$34, Reference!$C$34, IF(N8=Reference!$A$33, Reference!$C$33, 0))))</f>
        <v>1</v>
      </c>
      <c r="AC8" s="1" t="n">
        <f aca="false">(Reference!$B$2*Y8 + Reference!$B$3*AA8 + Reference!$B$4*Z8 + Reference!$B$5 * AB8)/4</f>
        <v>11.4375</v>
      </c>
      <c r="AD8" s="1" t="n">
        <f aca="false">IF(Q8=Reference!$C$41, Reference!$D$41, IF(Q8=Reference!$C$42, Reference!$D$42, IF(Q8=Reference!$C$43, Reference!$D$43, IF(Q8=Reference!$C$44, Reference!$D$44, 0))))</f>
        <v>1</v>
      </c>
      <c r="AE8" s="1" t="n">
        <f aca="false">1 + (AC8 * AD8)</f>
        <v>12.4375</v>
      </c>
      <c r="AF8" s="12" t="s">
        <v>139</v>
      </c>
    </row>
    <row r="9" customFormat="false" ht="150" hidden="false" customHeight="true" outlineLevel="0" collapsed="false">
      <c r="A9" s="10" t="s">
        <v>140</v>
      </c>
      <c r="B9" s="11" t="s">
        <v>53</v>
      </c>
      <c r="C9" s="12" t="s">
        <v>54</v>
      </c>
      <c r="D9" s="13" t="s">
        <v>141</v>
      </c>
      <c r="E9" s="14" t="s">
        <v>142</v>
      </c>
      <c r="F9" s="12" t="s">
        <v>100</v>
      </c>
      <c r="G9" s="12" t="s">
        <v>143</v>
      </c>
      <c r="H9" s="12" t="s">
        <v>39</v>
      </c>
      <c r="I9" s="14" t="s">
        <v>144</v>
      </c>
      <c r="J9" s="12" t="s">
        <v>41</v>
      </c>
      <c r="K9" s="15" t="s">
        <v>145</v>
      </c>
      <c r="L9" s="12" t="s">
        <v>39</v>
      </c>
      <c r="M9" s="15" t="s">
        <v>146</v>
      </c>
      <c r="N9" s="12" t="s">
        <v>44</v>
      </c>
      <c r="O9" s="14" t="s">
        <v>62</v>
      </c>
      <c r="P9" s="16" t="str">
        <f aca="false">IF(AC9&gt;=Reference!$H$2, Reference!$G$2, IF(AC9&gt;=Reference!$H$3, Reference!$G$3, IF(AC9&gt;=Reference!$H$4, Reference!$G$4, IF(AC9&gt;=Reference!$H$5, Reference!$G$5, ""))))</f>
        <v>Severe</v>
      </c>
      <c r="Q9" s="16" t="str">
        <f aca="false">IF(F9="Physical", "Very Low", IF(F9="Local", "Low", IF(F9="Adjacent", "Medium", IF(F9="Network", "High", ""))))</f>
        <v>High</v>
      </c>
      <c r="R9" s="16" t="str">
        <f aca="false">IF(AE9&gt;=Reference!$D$2, Reference!$E$2, IF(AE9&gt;=Reference!$D$3, Reference!$E$3, IF(AE9&gt;=Reference!$D$4, Reference!$E$4, IF(AE9&gt;=Reference!$D$5, Reference!$E$5, ""))))</f>
        <v>Critical</v>
      </c>
      <c r="S9" s="17" t="s">
        <v>46</v>
      </c>
      <c r="T9" s="14" t="s">
        <v>147</v>
      </c>
      <c r="U9" s="14" t="s">
        <v>148</v>
      </c>
      <c r="V9" s="14" t="s">
        <v>149</v>
      </c>
      <c r="W9" s="12" t="s">
        <v>66</v>
      </c>
      <c r="X9" s="18" t="s">
        <v>150</v>
      </c>
      <c r="Y9" s="1" t="n">
        <f aca="false">IF(H9=Reference!$A$12, Reference!$C$12, IF(H9=Reference!$A$11, Reference!$C$11, IF(H9=Reference!$A$10, Reference!$C$10, IF(H9=Reference!$A$9, Reference!$C$9, 0))))</f>
        <v>7</v>
      </c>
      <c r="Z9" s="1" t="n">
        <f aca="false">IF(J9=Reference!$A$20, Reference!$C$20, IF(J9=Reference!$A$19, Reference!$C$19, IF(J9=Reference!$A$18, Reference!$C$18, IF(J9=Reference!$A$17, Reference!$C$17, 0))))</f>
        <v>4</v>
      </c>
      <c r="AA9" s="1" t="n">
        <f aca="false">IF(L9=Reference!$A$28, Reference!$C$28, IF(L9=Reference!$A$27, Reference!$C$27, IF(L9=Reference!$A$26, Reference!$C$26, IF(L9=Reference!$A$25, Reference!$C$25, 0))))</f>
        <v>7</v>
      </c>
      <c r="AB9" s="1" t="n">
        <f aca="false">IF(N9=Reference!$A$36, Reference!$C$36, IF(N9=Reference!$A$35, Reference!$C$35, IF(N9=Reference!$A$34, Reference!$C$34, IF(N9=Reference!$A$33, Reference!$C$33, 0))))</f>
        <v>1</v>
      </c>
      <c r="AC9" s="1" t="n">
        <f aca="false">(Reference!$B$2*Y9 + Reference!$B$3*AA9 + Reference!$B$4*Z9 + Reference!$B$5 * AB9)/4</f>
        <v>11.0625</v>
      </c>
      <c r="AD9" s="1" t="n">
        <f aca="false">IF(Q9=Reference!$C$41, Reference!$D$41, IF(Q9=Reference!$C$42, Reference!$D$42, IF(Q9=Reference!$C$43, Reference!$D$43, IF(Q9=Reference!$C$44, Reference!$D$44, 0))))</f>
        <v>10</v>
      </c>
      <c r="AE9" s="1" t="n">
        <f aca="false">1 + (AC9 * AD9)</f>
        <v>111.625</v>
      </c>
      <c r="AF9" s="12" t="s">
        <v>151</v>
      </c>
    </row>
    <row r="10" customFormat="false" ht="150" hidden="false" customHeight="true" outlineLevel="0" collapsed="false">
      <c r="A10" s="10" t="s">
        <v>140</v>
      </c>
      <c r="B10" s="11" t="s">
        <v>69</v>
      </c>
      <c r="C10" s="12" t="s">
        <v>70</v>
      </c>
      <c r="D10" s="13" t="s">
        <v>152</v>
      </c>
      <c r="E10" s="14" t="s">
        <v>153</v>
      </c>
      <c r="F10" s="12" t="s">
        <v>100</v>
      </c>
      <c r="G10" s="12" t="s">
        <v>154</v>
      </c>
      <c r="H10" s="12" t="s">
        <v>39</v>
      </c>
      <c r="I10" s="14" t="s">
        <v>155</v>
      </c>
      <c r="J10" s="12" t="s">
        <v>41</v>
      </c>
      <c r="K10" s="15" t="s">
        <v>156</v>
      </c>
      <c r="L10" s="12" t="s">
        <v>76</v>
      </c>
      <c r="M10" s="15" t="s">
        <v>157</v>
      </c>
      <c r="N10" s="12" t="s">
        <v>44</v>
      </c>
      <c r="O10" s="14" t="s">
        <v>62</v>
      </c>
      <c r="P10" s="16" t="str">
        <f aca="false">IF(AC10&gt;=Reference!$H$2, Reference!$G$2, IF(AC10&gt;=Reference!$H$3, Reference!$G$3, IF(AC10&gt;=Reference!$H$4, Reference!$G$4, IF(AC10&gt;=Reference!$H$5, Reference!$G$5, ""))))</f>
        <v>Severe</v>
      </c>
      <c r="Q10" s="16" t="str">
        <f aca="false">IF(F10="Physical", "Very Low", IF(F10="Local", "Low", IF(F10="Adjacent", "Medium", IF(F10="Network", "High", ""))))</f>
        <v>High</v>
      </c>
      <c r="R10" s="16" t="str">
        <f aca="false">IF(AE10&gt;=Reference!$D$2, Reference!$E$2, IF(AE10&gt;=Reference!$D$3, Reference!$E$3, IF(AE10&gt;=Reference!$D$4, Reference!$E$4, IF(AE10&gt;=Reference!$D$5, Reference!$E$5, ""))))</f>
        <v>Critical</v>
      </c>
      <c r="S10" s="17" t="s">
        <v>46</v>
      </c>
      <c r="T10" s="14" t="s">
        <v>158</v>
      </c>
      <c r="U10" s="14" t="s">
        <v>159</v>
      </c>
      <c r="V10" s="14" t="s">
        <v>160</v>
      </c>
      <c r="W10" s="12" t="s">
        <v>161</v>
      </c>
      <c r="X10" s="18" t="s">
        <v>162</v>
      </c>
      <c r="Y10" s="1" t="n">
        <f aca="false">IF(H10=Reference!$A$12, Reference!$C$12, IF(H10=Reference!$A$11, Reference!$C$11, IF(H10=Reference!$A$10, Reference!$C$10, IF(H10=Reference!$A$9, Reference!$C$9, 0))))</f>
        <v>7</v>
      </c>
      <c r="Z10" s="1" t="n">
        <f aca="false">IF(J10=Reference!$A$20, Reference!$C$20, IF(J10=Reference!$A$19, Reference!$C$19, IF(J10=Reference!$A$18, Reference!$C$18, IF(J10=Reference!$A$17, Reference!$C$17, 0))))</f>
        <v>4</v>
      </c>
      <c r="AA10" s="1" t="n">
        <f aca="false">IF(L10=Reference!$A$28, Reference!$C$28, IF(L10=Reference!$A$27, Reference!$C$27, IF(L10=Reference!$A$26, Reference!$C$26, IF(L10=Reference!$A$25, Reference!$C$25, 0))))</f>
        <v>10</v>
      </c>
      <c r="AB10" s="1" t="n">
        <f aca="false">IF(N10=Reference!$A$36, Reference!$C$36, IF(N10=Reference!$A$35, Reference!$C$35, IF(N10=Reference!$A$34, Reference!$C$34, IF(N10=Reference!$A$33, Reference!$C$33, 0))))</f>
        <v>1</v>
      </c>
      <c r="AC10" s="1" t="n">
        <f aca="false">(Reference!$B$2*Y10 + Reference!$B$3*AA10 + Reference!$B$4*Z10 + Reference!$B$5 * AB10)/4</f>
        <v>11.8125</v>
      </c>
      <c r="AD10" s="1" t="n">
        <f aca="false">IF(Q10=Reference!$C$41, Reference!$D$41, IF(Q10=Reference!$C$42, Reference!$D$42, IF(Q10=Reference!$C$43, Reference!$D$43, IF(Q10=Reference!$C$44, Reference!$D$44, 0))))</f>
        <v>10</v>
      </c>
      <c r="AE10" s="1" t="n">
        <f aca="false">1 + (AC10 * AD10)</f>
        <v>119.125</v>
      </c>
      <c r="AF10" s="12" t="s">
        <v>163</v>
      </c>
    </row>
    <row r="11" customFormat="false" ht="150" hidden="false" customHeight="true" outlineLevel="0" collapsed="false">
      <c r="A11" s="10" t="s">
        <v>164</v>
      </c>
      <c r="B11" s="11" t="s">
        <v>33</v>
      </c>
      <c r="C11" s="12" t="s">
        <v>34</v>
      </c>
      <c r="D11" s="13" t="s">
        <v>165</v>
      </c>
      <c r="E11" s="14" t="s">
        <v>166</v>
      </c>
      <c r="F11" s="12" t="s">
        <v>100</v>
      </c>
      <c r="G11" s="12" t="s">
        <v>167</v>
      </c>
      <c r="H11" s="12" t="s">
        <v>41</v>
      </c>
      <c r="I11" s="14" t="s">
        <v>168</v>
      </c>
      <c r="J11" s="12" t="s">
        <v>41</v>
      </c>
      <c r="K11" s="15" t="s">
        <v>169</v>
      </c>
      <c r="L11" s="12" t="s">
        <v>41</v>
      </c>
      <c r="M11" s="15" t="s">
        <v>170</v>
      </c>
      <c r="N11" s="12" t="s">
        <v>41</v>
      </c>
      <c r="O11" s="14" t="s">
        <v>171</v>
      </c>
      <c r="P11" s="16" t="str">
        <f aca="false">IF(AC11&gt;=Reference!$H$2, Reference!$G$2, IF(AC11&gt;=Reference!$H$3, Reference!$G$3, IF(AC11&gt;=Reference!$H$4, Reference!$G$4, IF(AC11&gt;=Reference!$H$5, Reference!$G$5, ""))))</f>
        <v>Major</v>
      </c>
      <c r="Q11" s="16" t="str">
        <f aca="false">IF(F11="Physical", "Very Low", IF(F11="Local", "Low", IF(F11="Adjacent", "Medium", IF(F11="Network", "High", ""))))</f>
        <v>High</v>
      </c>
      <c r="R11" s="16" t="str">
        <f aca="false">IF(AE11&gt;=Reference!$D$2, Reference!$E$2, IF(AE11&gt;=Reference!$D$3, Reference!$E$3, IF(AE11&gt;=Reference!$D$4, Reference!$E$4, IF(AE11&gt;=Reference!$D$5, Reference!$E$5, ""))))</f>
        <v>High</v>
      </c>
      <c r="S11" s="17" t="s">
        <v>46</v>
      </c>
      <c r="T11" s="14" t="s">
        <v>172</v>
      </c>
      <c r="U11" s="14" t="s">
        <v>173</v>
      </c>
      <c r="V11" s="14" t="s">
        <v>174</v>
      </c>
      <c r="W11" s="12" t="s">
        <v>175</v>
      </c>
      <c r="X11" s="18" t="s">
        <v>176</v>
      </c>
      <c r="Y11" s="1" t="n">
        <f aca="false">IF(H11=Reference!$A$12, Reference!$C$12, IF(H11=Reference!$A$11, Reference!$C$11, IF(H11=Reference!$A$10, Reference!$C$10, IF(H11=Reference!$A$9, Reference!$C$9, 0))))</f>
        <v>4</v>
      </c>
      <c r="Z11" s="1" t="n">
        <f aca="false">IF(J11=Reference!$A$20, Reference!$C$20, IF(J11=Reference!$A$19, Reference!$C$19, IF(J11=Reference!$A$18, Reference!$C$18, IF(J11=Reference!$A$17, Reference!$C$17, 0))))</f>
        <v>4</v>
      </c>
      <c r="AA11" s="1" t="n">
        <f aca="false">IF(L11=Reference!$A$28, Reference!$C$28, IF(L11=Reference!$A$27, Reference!$C$27, IF(L11=Reference!$A$26, Reference!$C$26, IF(L11=Reference!$A$25, Reference!$C$25, 0))))</f>
        <v>4</v>
      </c>
      <c r="AB11" s="1" t="n">
        <f aca="false">IF(N11=Reference!$A$36, Reference!$C$36, IF(N11=Reference!$A$35, Reference!$C$35, IF(N11=Reference!$A$34, Reference!$C$34, IF(N11=Reference!$A$33, Reference!$C$33, 0))))</f>
        <v>4</v>
      </c>
      <c r="AC11" s="1" t="n">
        <f aca="false">(Reference!$B$2*Y11 + Reference!$B$3*AA11 + Reference!$B$4*Z11 + Reference!$B$5 * AB11)/4</f>
        <v>6.75</v>
      </c>
      <c r="AD11" s="1" t="n">
        <f aca="false">IF(Q11=Reference!$C$41, Reference!$D$41, IF(Q11=Reference!$C$42, Reference!$D$42, IF(Q11=Reference!$C$43, Reference!$D$43, IF(Q11=Reference!$C$44, Reference!$D$44, 0))))</f>
        <v>10</v>
      </c>
      <c r="AE11" s="1" t="n">
        <f aca="false">1 + (AC11 * AD11)</f>
        <v>68.5</v>
      </c>
      <c r="AF11" s="12" t="s">
        <v>177</v>
      </c>
    </row>
    <row r="12" customFormat="false" ht="150" hidden="false" customHeight="true" outlineLevel="0" collapsed="false">
      <c r="A12" s="10" t="s">
        <v>178</v>
      </c>
      <c r="B12" s="11" t="s">
        <v>69</v>
      </c>
      <c r="C12" s="12" t="s">
        <v>70</v>
      </c>
      <c r="D12" s="13" t="s">
        <v>179</v>
      </c>
      <c r="E12" s="14" t="s">
        <v>180</v>
      </c>
      <c r="F12" s="12" t="s">
        <v>100</v>
      </c>
      <c r="G12" s="12" t="s">
        <v>181</v>
      </c>
      <c r="H12" s="12" t="s">
        <v>39</v>
      </c>
      <c r="I12" s="14" t="s">
        <v>182</v>
      </c>
      <c r="J12" s="12" t="s">
        <v>41</v>
      </c>
      <c r="K12" s="15" t="s">
        <v>183</v>
      </c>
      <c r="L12" s="12" t="s">
        <v>76</v>
      </c>
      <c r="M12" s="15" t="s">
        <v>184</v>
      </c>
      <c r="N12" s="12" t="s">
        <v>44</v>
      </c>
      <c r="O12" s="14" t="s">
        <v>62</v>
      </c>
      <c r="P12" s="16" t="str">
        <f aca="false">IF(AC12&gt;=Reference!$H$2, Reference!$G$2, IF(AC12&gt;=Reference!$H$3, Reference!$G$3, IF(AC12&gt;=Reference!$H$4, Reference!$G$4, IF(AC12&gt;=Reference!$H$5, Reference!$G$5, ""))))</f>
        <v>Severe</v>
      </c>
      <c r="Q12" s="16" t="str">
        <f aca="false">IF(F12="Physical", "Very Low", IF(F12="Local", "Low", IF(F12="Adjacent", "Medium", IF(F12="Network", "High", ""))))</f>
        <v>High</v>
      </c>
      <c r="R12" s="16" t="str">
        <f aca="false">IF(AE12&gt;=Reference!$D$2, Reference!$E$2, IF(AE12&gt;=Reference!$D$3, Reference!$E$3, IF(AE12&gt;=Reference!$D$4, Reference!$E$4, IF(AE12&gt;=Reference!$D$5, Reference!$E$5, ""))))</f>
        <v>Critical</v>
      </c>
      <c r="S12" s="17" t="s">
        <v>46</v>
      </c>
      <c r="T12" s="14" t="s">
        <v>185</v>
      </c>
      <c r="U12" s="14" t="s">
        <v>186</v>
      </c>
      <c r="V12" s="14" t="s">
        <v>187</v>
      </c>
      <c r="W12" s="12" t="s">
        <v>82</v>
      </c>
      <c r="X12" s="18" t="s">
        <v>188</v>
      </c>
      <c r="Y12" s="1" t="n">
        <f aca="false">IF(H12=Reference!$A$12, Reference!$C$12, IF(H12=Reference!$A$11, Reference!$C$11, IF(H12=Reference!$A$10, Reference!$C$10, IF(H12=Reference!$A$9, Reference!$C$9, 0))))</f>
        <v>7</v>
      </c>
      <c r="Z12" s="1" t="n">
        <f aca="false">IF(J12=Reference!$A$20, Reference!$C$20, IF(J12=Reference!$A$19, Reference!$C$19, IF(J12=Reference!$A$18, Reference!$C$18, IF(J12=Reference!$A$17, Reference!$C$17, 0))))</f>
        <v>4</v>
      </c>
      <c r="AA12" s="1" t="n">
        <f aca="false">IF(L12=Reference!$A$28, Reference!$C$28, IF(L12=Reference!$A$27, Reference!$C$27, IF(L12=Reference!$A$26, Reference!$C$26, IF(L12=Reference!$A$25, Reference!$C$25, 0))))</f>
        <v>10</v>
      </c>
      <c r="AB12" s="1" t="n">
        <f aca="false">IF(N12=Reference!$A$36, Reference!$C$36, IF(N12=Reference!$A$35, Reference!$C$35, IF(N12=Reference!$A$34, Reference!$C$34, IF(N12=Reference!$A$33, Reference!$C$33, 0))))</f>
        <v>1</v>
      </c>
      <c r="AC12" s="1" t="n">
        <f aca="false">(Reference!$B$2*Y12 + Reference!$B$3*AA12 + Reference!$B$4*Z12 + Reference!$B$5 * AB12)/4</f>
        <v>11.8125</v>
      </c>
      <c r="AD12" s="1" t="n">
        <f aca="false">IF(Q12=Reference!$C$41, Reference!$D$41, IF(Q12=Reference!$C$42, Reference!$D$42, IF(Q12=Reference!$C$43, Reference!$D$43, IF(Q12=Reference!$C$44, Reference!$D$44, 0))))</f>
        <v>10</v>
      </c>
      <c r="AE12" s="1" t="n">
        <f aca="false">1 + (AC12 * AD12)</f>
        <v>119.125</v>
      </c>
      <c r="AF12" s="12" t="s">
        <v>189</v>
      </c>
    </row>
    <row r="13" customFormat="false" ht="150" hidden="false" customHeight="true" outlineLevel="0" collapsed="false">
      <c r="A13" s="10" t="s">
        <v>190</v>
      </c>
      <c r="B13" s="11" t="s">
        <v>53</v>
      </c>
      <c r="C13" s="12" t="s">
        <v>54</v>
      </c>
      <c r="D13" s="13" t="s">
        <v>191</v>
      </c>
      <c r="E13" s="14" t="s">
        <v>192</v>
      </c>
      <c r="F13" s="12" t="s">
        <v>193</v>
      </c>
      <c r="G13" s="12" t="s">
        <v>194</v>
      </c>
      <c r="H13" s="12" t="s">
        <v>39</v>
      </c>
      <c r="I13" s="14" t="s">
        <v>195</v>
      </c>
      <c r="J13" s="12" t="s">
        <v>41</v>
      </c>
      <c r="K13" s="15" t="s">
        <v>196</v>
      </c>
      <c r="L13" s="12" t="s">
        <v>39</v>
      </c>
      <c r="M13" s="15" t="s">
        <v>197</v>
      </c>
      <c r="N13" s="12" t="s">
        <v>44</v>
      </c>
      <c r="O13" s="14" t="s">
        <v>198</v>
      </c>
      <c r="P13" s="16" t="str">
        <f aca="false">IF(AC13&gt;=Reference!$H$2, Reference!$G$2, IF(AC13&gt;=Reference!$H$3, Reference!$G$3, IF(AC13&gt;=Reference!$H$4, Reference!$G$4, IF(AC13&gt;=Reference!$H$5, Reference!$G$5, ""))))</f>
        <v>Severe</v>
      </c>
      <c r="Q13" s="16" t="str">
        <f aca="false">IF(F13="Physical", "Very Low", IF(F13="Local", "Low", IF(F13="Adjacent", "Medium", IF(F13="Network", "High", ""))))</f>
        <v>Low</v>
      </c>
      <c r="R13" s="16" t="str">
        <f aca="false">IF(AE13&gt;=Reference!$D$2, Reference!$E$2, IF(AE13&gt;=Reference!$D$3, Reference!$E$3, IF(AE13&gt;=Reference!$D$4, Reference!$E$4, IF(AE13&gt;=Reference!$D$5, Reference!$E$5, ""))))</f>
        <v>Medium</v>
      </c>
      <c r="S13" s="17" t="s">
        <v>46</v>
      </c>
      <c r="T13" s="14" t="s">
        <v>199</v>
      </c>
      <c r="U13" s="14" t="s">
        <v>200</v>
      </c>
      <c r="V13" s="14" t="s">
        <v>201</v>
      </c>
      <c r="W13" s="12" t="s">
        <v>66</v>
      </c>
      <c r="X13" s="18" t="s">
        <v>202</v>
      </c>
      <c r="Y13" s="1" t="n">
        <f aca="false">IF(H13=Reference!$A$12, Reference!$C$12, IF(H13=Reference!$A$11, Reference!$C$11, IF(H13=Reference!$A$10, Reference!$C$10, IF(H13=Reference!$A$9, Reference!$C$9, 0))))</f>
        <v>7</v>
      </c>
      <c r="Z13" s="1" t="n">
        <f aca="false">IF(J13=Reference!$A$20, Reference!$C$20, IF(J13=Reference!$A$19, Reference!$C$19, IF(J13=Reference!$A$18, Reference!$C$18, IF(J13=Reference!$A$17, Reference!$C$17, 0))))</f>
        <v>4</v>
      </c>
      <c r="AA13" s="1" t="n">
        <f aca="false">IF(L13=Reference!$A$28, Reference!$C$28, IF(L13=Reference!$A$27, Reference!$C$27, IF(L13=Reference!$A$26, Reference!$C$26, IF(L13=Reference!$A$25, Reference!$C$25, 0))))</f>
        <v>7</v>
      </c>
      <c r="AB13" s="1" t="n">
        <f aca="false">IF(N13=Reference!$A$36, Reference!$C$36, IF(N13=Reference!$A$35, Reference!$C$35, IF(N13=Reference!$A$34, Reference!$C$34, IF(N13=Reference!$A$33, Reference!$C$33, 0))))</f>
        <v>1</v>
      </c>
      <c r="AC13" s="1" t="n">
        <f aca="false">(Reference!$B$2*Y13 + Reference!$B$3*AA13 + Reference!$B$4*Z13 + Reference!$B$5 * AB13)/4</f>
        <v>11.0625</v>
      </c>
      <c r="AD13" s="1" t="n">
        <f aca="false">IF(Q13=Reference!$C$41, Reference!$D$41, IF(Q13=Reference!$C$42, Reference!$D$42, IF(Q13=Reference!$C$43, Reference!$D$43, IF(Q13=Reference!$C$44, Reference!$D$44, 0))))</f>
        <v>4</v>
      </c>
      <c r="AE13" s="1" t="n">
        <f aca="false">1 + (AC13 * AD13)</f>
        <v>45.25</v>
      </c>
      <c r="AF13" s="12" t="s">
        <v>203</v>
      </c>
    </row>
    <row r="14" customFormat="false" ht="150" hidden="false" customHeight="true" outlineLevel="0" collapsed="false">
      <c r="A14" s="10" t="s">
        <v>204</v>
      </c>
      <c r="B14" s="11" t="s">
        <v>53</v>
      </c>
      <c r="C14" s="12" t="s">
        <v>54</v>
      </c>
      <c r="D14" s="13" t="s">
        <v>205</v>
      </c>
      <c r="E14" s="14" t="s">
        <v>206</v>
      </c>
      <c r="F14" s="12" t="s">
        <v>193</v>
      </c>
      <c r="G14" s="12" t="s">
        <v>207</v>
      </c>
      <c r="H14" s="12" t="s">
        <v>39</v>
      </c>
      <c r="I14" s="14" t="s">
        <v>208</v>
      </c>
      <c r="J14" s="12" t="s">
        <v>41</v>
      </c>
      <c r="K14" s="15" t="s">
        <v>209</v>
      </c>
      <c r="L14" s="12" t="s">
        <v>39</v>
      </c>
      <c r="M14" s="15" t="s">
        <v>210</v>
      </c>
      <c r="N14" s="12" t="s">
        <v>44</v>
      </c>
      <c r="O14" s="14" t="s">
        <v>62</v>
      </c>
      <c r="P14" s="16" t="str">
        <f aca="false">IF(AC14&gt;=Reference!$H$2, Reference!$G$2, IF(AC14&gt;=Reference!$H$3, Reference!$G$3, IF(AC14&gt;=Reference!$H$4, Reference!$G$4, IF(AC14&gt;=Reference!$H$5, Reference!$G$5, ""))))</f>
        <v>Severe</v>
      </c>
      <c r="Q14" s="16" t="str">
        <f aca="false">IF(F14="Physical", "Very Low", IF(F14="Local", "Low", IF(F14="Adjacent", "Medium", IF(F14="Network", "High", ""))))</f>
        <v>Low</v>
      </c>
      <c r="R14" s="16" t="str">
        <f aca="false">IF(AE14&gt;=Reference!$D$2, Reference!$E$2, IF(AE14&gt;=Reference!$D$3, Reference!$E$3, IF(AE14&gt;=Reference!$D$4, Reference!$E$4, IF(AE14&gt;=Reference!$D$5, Reference!$E$5, ""))))</f>
        <v>Medium</v>
      </c>
      <c r="S14" s="17" t="s">
        <v>46</v>
      </c>
      <c r="T14" s="14" t="s">
        <v>211</v>
      </c>
      <c r="U14" s="14" t="s">
        <v>212</v>
      </c>
      <c r="V14" s="14" t="s">
        <v>213</v>
      </c>
      <c r="W14" s="12" t="s">
        <v>214</v>
      </c>
      <c r="X14" s="18" t="s">
        <v>215</v>
      </c>
      <c r="Y14" s="1" t="n">
        <f aca="false">IF(H14=Reference!$A$12, Reference!$C$12, IF(H14=Reference!$A$11, Reference!$C$11, IF(H14=Reference!$A$10, Reference!$C$10, IF(H14=Reference!$A$9, Reference!$C$9, 0))))</f>
        <v>7</v>
      </c>
      <c r="Z14" s="1" t="n">
        <f aca="false">IF(J14=Reference!$A$20, Reference!$C$20, IF(J14=Reference!$A$19, Reference!$C$19, IF(J14=Reference!$A$18, Reference!$C$18, IF(J14=Reference!$A$17, Reference!$C$17, 0))))</f>
        <v>4</v>
      </c>
      <c r="AA14" s="1" t="n">
        <f aca="false">IF(L14=Reference!$A$28, Reference!$C$28, IF(L14=Reference!$A$27, Reference!$C$27, IF(L14=Reference!$A$26, Reference!$C$26, IF(L14=Reference!$A$25, Reference!$C$25, 0))))</f>
        <v>7</v>
      </c>
      <c r="AB14" s="1" t="n">
        <f aca="false">IF(N14=Reference!$A$36, Reference!$C$36, IF(N14=Reference!$A$35, Reference!$C$35, IF(N14=Reference!$A$34, Reference!$C$34, IF(N14=Reference!$A$33, Reference!$C$33, 0))))</f>
        <v>1</v>
      </c>
      <c r="AC14" s="1" t="n">
        <f aca="false">(Reference!$B$2*Y14 + Reference!$B$3*AA14 + Reference!$B$4*Z14 + Reference!$B$5 * AB14)/4</f>
        <v>11.0625</v>
      </c>
      <c r="AD14" s="1" t="n">
        <f aca="false">IF(Q14=Reference!$C$41, Reference!$D$41, IF(Q14=Reference!$C$42, Reference!$D$42, IF(Q14=Reference!$C$43, Reference!$D$43, IF(Q14=Reference!$C$44, Reference!$D$44, 0))))</f>
        <v>4</v>
      </c>
      <c r="AE14" s="1" t="n">
        <f aca="false">1 + (AC14 * AD14)</f>
        <v>45.25</v>
      </c>
      <c r="AF14" s="12" t="s">
        <v>216</v>
      </c>
    </row>
    <row r="15" customFormat="false" ht="150" hidden="false" customHeight="true" outlineLevel="0" collapsed="false">
      <c r="A15" s="10" t="s">
        <v>217</v>
      </c>
      <c r="B15" s="11" t="s">
        <v>53</v>
      </c>
      <c r="C15" s="12" t="s">
        <v>54</v>
      </c>
      <c r="D15" s="13" t="s">
        <v>218</v>
      </c>
      <c r="E15" s="14" t="s">
        <v>219</v>
      </c>
      <c r="F15" s="12" t="s">
        <v>100</v>
      </c>
      <c r="G15" s="12" t="s">
        <v>220</v>
      </c>
      <c r="H15" s="12" t="s">
        <v>39</v>
      </c>
      <c r="I15" s="14" t="s">
        <v>221</v>
      </c>
      <c r="J15" s="12" t="s">
        <v>39</v>
      </c>
      <c r="K15" s="15" t="s">
        <v>222</v>
      </c>
      <c r="L15" s="12" t="s">
        <v>39</v>
      </c>
      <c r="M15" s="15" t="s">
        <v>223</v>
      </c>
      <c r="N15" s="12" t="s">
        <v>41</v>
      </c>
      <c r="O15" s="14" t="s">
        <v>224</v>
      </c>
      <c r="P15" s="16" t="str">
        <f aca="false">IF(AC15&gt;=Reference!$H$2, Reference!$G$2, IF(AC15&gt;=Reference!$H$3, Reference!$G$3, IF(AC15&gt;=Reference!$H$4, Reference!$G$4, IF(AC15&gt;=Reference!$H$5, Reference!$G$5, ""))))</f>
        <v>Severe</v>
      </c>
      <c r="Q15" s="16" t="str">
        <f aca="false">IF(F15="Physical", "Very Low", IF(F15="Local", "Low", IF(F15="Adjacent", "Medium", IF(F15="Network", "High", ""))))</f>
        <v>High</v>
      </c>
      <c r="R15" s="16" t="str">
        <f aca="false">IF(AE15&gt;=Reference!$D$2, Reference!$E$2, IF(AE15&gt;=Reference!$D$3, Reference!$E$3, IF(AE15&gt;=Reference!$D$4, Reference!$E$4, IF(AE15&gt;=Reference!$D$5, Reference!$E$5, ""))))</f>
        <v>Critical</v>
      </c>
      <c r="S15" s="17" t="s">
        <v>46</v>
      </c>
      <c r="T15" s="14" t="s">
        <v>225</v>
      </c>
      <c r="U15" s="14" t="s">
        <v>226</v>
      </c>
      <c r="V15" s="14" t="s">
        <v>227</v>
      </c>
      <c r="W15" s="12" t="s">
        <v>66</v>
      </c>
      <c r="X15" s="18" t="s">
        <v>228</v>
      </c>
      <c r="Y15" s="1" t="n">
        <f aca="false">IF(H15=Reference!$A$12, Reference!$C$12, IF(H15=Reference!$A$11, Reference!$C$11, IF(H15=Reference!$A$10, Reference!$C$10, IF(H15=Reference!$A$9, Reference!$C$9, 0))))</f>
        <v>7</v>
      </c>
      <c r="Z15" s="1" t="n">
        <f aca="false">IF(J15=Reference!$A$20, Reference!$C$20, IF(J15=Reference!$A$19, Reference!$C$19, IF(J15=Reference!$A$18, Reference!$C$18, IF(J15=Reference!$A$17, Reference!$C$17, 0))))</f>
        <v>7</v>
      </c>
      <c r="AA15" s="1" t="n">
        <f aca="false">IF(L15=Reference!$A$28, Reference!$C$28, IF(L15=Reference!$A$27, Reference!$C$27, IF(L15=Reference!$A$26, Reference!$C$26, IF(L15=Reference!$A$25, Reference!$C$25, 0))))</f>
        <v>7</v>
      </c>
      <c r="AB15" s="1" t="n">
        <f aca="false">IF(N15=Reference!$A$36, Reference!$C$36, IF(N15=Reference!$A$35, Reference!$C$35, IF(N15=Reference!$A$34, Reference!$C$34, IF(N15=Reference!$A$33, Reference!$C$33, 0))))</f>
        <v>4</v>
      </c>
      <c r="AC15" s="1" t="n">
        <f aca="false">(Reference!$B$2*Y15 + Reference!$B$3*AA15 + Reference!$B$4*Z15 + Reference!$B$5 * AB15)/4</f>
        <v>11.625</v>
      </c>
      <c r="AD15" s="1" t="n">
        <f aca="false">IF(Q15=Reference!$C$41, Reference!$D$41, IF(Q15=Reference!$C$42, Reference!$D$42, IF(Q15=Reference!$C$43, Reference!$D$43, IF(Q15=Reference!$C$44, Reference!$D$44, 0))))</f>
        <v>10</v>
      </c>
      <c r="AE15" s="1" t="n">
        <f aca="false">1 + (AC15 * AD15)</f>
        <v>117.25</v>
      </c>
      <c r="AF15" s="12" t="s">
        <v>229</v>
      </c>
    </row>
    <row r="16" customFormat="false" ht="150" hidden="false" customHeight="true" outlineLevel="0" collapsed="false">
      <c r="A16" s="10" t="s">
        <v>217</v>
      </c>
      <c r="B16" s="11" t="s">
        <v>125</v>
      </c>
      <c r="C16" s="12" t="s">
        <v>126</v>
      </c>
      <c r="D16" s="13" t="s">
        <v>230</v>
      </c>
      <c r="E16" s="14" t="s">
        <v>231</v>
      </c>
      <c r="F16" s="12" t="s">
        <v>100</v>
      </c>
      <c r="G16" s="12" t="s">
        <v>232</v>
      </c>
      <c r="H16" s="12" t="s">
        <v>44</v>
      </c>
      <c r="I16" s="14" t="s">
        <v>233</v>
      </c>
      <c r="J16" s="12" t="s">
        <v>41</v>
      </c>
      <c r="K16" s="15" t="s">
        <v>234</v>
      </c>
      <c r="L16" s="12" t="s">
        <v>44</v>
      </c>
      <c r="M16" s="15" t="s">
        <v>235</v>
      </c>
      <c r="N16" s="12" t="s">
        <v>76</v>
      </c>
      <c r="O16" s="14" t="s">
        <v>236</v>
      </c>
      <c r="P16" s="16" t="str">
        <f aca="false">IF(AC16&gt;=Reference!$H$2, Reference!$G$2, IF(AC16&gt;=Reference!$H$3, Reference!$G$3, IF(AC16&gt;=Reference!$H$4, Reference!$G$4, IF(AC16&gt;=Reference!$H$5, Reference!$G$5, ""))))</f>
        <v>Moderate</v>
      </c>
      <c r="Q16" s="16" t="str">
        <f aca="false">IF(F16="Physical", "Very Low", IF(F16="Local", "Low", IF(F16="Adjacent", "Medium", IF(F16="Network", "High", ""))))</f>
        <v>High</v>
      </c>
      <c r="R16" s="16" t="str">
        <f aca="false">IF(AE16&gt;=Reference!$D$2, Reference!$E$2, IF(AE16&gt;=Reference!$D$3, Reference!$E$3, IF(AE16&gt;=Reference!$D$4, Reference!$E$4, IF(AE16&gt;=Reference!$D$5, Reference!$E$5, ""))))</f>
        <v>Medium</v>
      </c>
      <c r="S16" s="17" t="s">
        <v>46</v>
      </c>
      <c r="T16" s="14" t="s">
        <v>237</v>
      </c>
      <c r="U16" s="14" t="s">
        <v>238</v>
      </c>
      <c r="V16" s="14" t="s">
        <v>239</v>
      </c>
      <c r="W16" s="12" t="s">
        <v>240</v>
      </c>
      <c r="X16" s="18" t="s">
        <v>241</v>
      </c>
      <c r="Y16" s="1" t="n">
        <f aca="false">IF(H16=Reference!$A$12, Reference!$C$12, IF(H16=Reference!$A$11, Reference!$C$11, IF(H16=Reference!$A$10, Reference!$C$10, IF(H16=Reference!$A$9, Reference!$C$9, 0))))</f>
        <v>1</v>
      </c>
      <c r="Z16" s="1" t="n">
        <f aca="false">IF(J16=Reference!$A$20, Reference!$C$20, IF(J16=Reference!$A$19, Reference!$C$19, IF(J16=Reference!$A$18, Reference!$C$18, IF(J16=Reference!$A$17, Reference!$C$17, 0))))</f>
        <v>4</v>
      </c>
      <c r="AA16" s="1" t="n">
        <f aca="false">IF(L16=Reference!$A$28, Reference!$C$28, IF(L16=Reference!$A$27, Reference!$C$27, IF(L16=Reference!$A$26, Reference!$C$26, IF(L16=Reference!$A$25, Reference!$C$25, 0))))</f>
        <v>1</v>
      </c>
      <c r="AB16" s="1" t="n">
        <f aca="false">IF(N16=Reference!$A$36, Reference!$C$36, IF(N16=Reference!$A$35, Reference!$C$35, IF(N16=Reference!$A$34, Reference!$C$34, IF(N16=Reference!$A$33, Reference!$C$33, 0))))</f>
        <v>10</v>
      </c>
      <c r="AC16" s="1" t="n">
        <f aca="false">(Reference!$B$2*Y16 + Reference!$B$3*AA16 + Reference!$B$4*Z16 + Reference!$B$5 * AB16)/4</f>
        <v>2.625</v>
      </c>
      <c r="AD16" s="1" t="n">
        <f aca="false">IF(Q16=Reference!$C$41, Reference!$D$41, IF(Q16=Reference!$C$42, Reference!$D$42, IF(Q16=Reference!$C$43, Reference!$D$43, IF(Q16=Reference!$C$44, Reference!$D$44, 0))))</f>
        <v>10</v>
      </c>
      <c r="AE16" s="1" t="n">
        <f aca="false">1 + (AC16 * AD16)</f>
        <v>27.25</v>
      </c>
      <c r="AF16" s="12" t="s">
        <v>242</v>
      </c>
    </row>
    <row r="17" customFormat="false" ht="150" hidden="false" customHeight="true" outlineLevel="0" collapsed="false">
      <c r="A17" s="10" t="s">
        <v>217</v>
      </c>
      <c r="B17" s="11" t="s">
        <v>69</v>
      </c>
      <c r="C17" s="12" t="s">
        <v>70</v>
      </c>
      <c r="D17" s="13" t="s">
        <v>243</v>
      </c>
      <c r="E17" s="14" t="s">
        <v>244</v>
      </c>
      <c r="F17" s="12" t="s">
        <v>100</v>
      </c>
      <c r="G17" s="12" t="s">
        <v>245</v>
      </c>
      <c r="H17" s="12" t="s">
        <v>41</v>
      </c>
      <c r="I17" s="14" t="s">
        <v>246</v>
      </c>
      <c r="J17" s="12" t="s">
        <v>41</v>
      </c>
      <c r="K17" s="15" t="s">
        <v>247</v>
      </c>
      <c r="L17" s="12" t="s">
        <v>76</v>
      </c>
      <c r="M17" s="15" t="s">
        <v>248</v>
      </c>
      <c r="N17" s="12" t="s">
        <v>44</v>
      </c>
      <c r="O17" s="14" t="s">
        <v>62</v>
      </c>
      <c r="P17" s="16" t="str">
        <f aca="false">IF(AC17&gt;=Reference!$H$2, Reference!$G$2, IF(AC17&gt;=Reference!$H$3, Reference!$G$3, IF(AC17&gt;=Reference!$H$4, Reference!$G$4, IF(AC17&gt;=Reference!$H$5, Reference!$G$5, ""))))</f>
        <v>Major</v>
      </c>
      <c r="Q17" s="16" t="str">
        <f aca="false">IF(F17="Physical", "Very Low", IF(F17="Local", "Low", IF(F17="Adjacent", "Medium", IF(F17="Network", "High", ""))))</f>
        <v>High</v>
      </c>
      <c r="R17" s="16" t="str">
        <f aca="false">IF(AE17&gt;=Reference!$D$2, Reference!$E$2, IF(AE17&gt;=Reference!$D$3, Reference!$E$3, IF(AE17&gt;=Reference!$D$4, Reference!$E$4, IF(AE17&gt;=Reference!$D$5, Reference!$E$5, ""))))</f>
        <v>High</v>
      </c>
      <c r="S17" s="17" t="s">
        <v>46</v>
      </c>
      <c r="T17" s="14" t="s">
        <v>249</v>
      </c>
      <c r="U17" s="14" t="s">
        <v>250</v>
      </c>
      <c r="V17" s="14" t="s">
        <v>251</v>
      </c>
      <c r="W17" s="12" t="s">
        <v>161</v>
      </c>
      <c r="X17" s="18" t="s">
        <v>252</v>
      </c>
      <c r="Y17" s="1" t="n">
        <f aca="false">IF(H17=Reference!$A$12, Reference!$C$12, IF(H17=Reference!$A$11, Reference!$C$11, IF(H17=Reference!$A$10, Reference!$C$10, IF(H17=Reference!$A$9, Reference!$C$9, 0))))</f>
        <v>4</v>
      </c>
      <c r="Z17" s="1" t="n">
        <f aca="false">IF(J17=Reference!$A$20, Reference!$C$20, IF(J17=Reference!$A$19, Reference!$C$19, IF(J17=Reference!$A$18, Reference!$C$18, IF(J17=Reference!$A$17, Reference!$C$17, 0))))</f>
        <v>4</v>
      </c>
      <c r="AA17" s="1" t="n">
        <f aca="false">IF(L17=Reference!$A$28, Reference!$C$28, IF(L17=Reference!$A$27, Reference!$C$27, IF(L17=Reference!$A$26, Reference!$C$26, IF(L17=Reference!$A$25, Reference!$C$25, 0))))</f>
        <v>10</v>
      </c>
      <c r="AB17" s="1" t="n">
        <f aca="false">IF(N17=Reference!$A$36, Reference!$C$36, IF(N17=Reference!$A$35, Reference!$C$35, IF(N17=Reference!$A$34, Reference!$C$34, IF(N17=Reference!$A$33, Reference!$C$33, 0))))</f>
        <v>1</v>
      </c>
      <c r="AC17" s="1" t="n">
        <f aca="false">(Reference!$B$2*Y17 + Reference!$B$3*AA17 + Reference!$B$4*Z17 + Reference!$B$5 * AB17)/4</f>
        <v>8.0625</v>
      </c>
      <c r="AD17" s="1" t="n">
        <f aca="false">IF(Q17=Reference!$C$41, Reference!$D$41, IF(Q17=Reference!$C$42, Reference!$D$42, IF(Q17=Reference!$C$43, Reference!$D$43, IF(Q17=Reference!$C$44, Reference!$D$44, 0))))</f>
        <v>10</v>
      </c>
      <c r="AE17" s="1" t="n">
        <f aca="false">1 + (AC17 * AD17)</f>
        <v>81.625</v>
      </c>
      <c r="AF17" s="12" t="s">
        <v>253</v>
      </c>
    </row>
    <row r="18" customFormat="false" ht="150" hidden="false" customHeight="true" outlineLevel="0" collapsed="false">
      <c r="A18" s="10" t="s">
        <v>254</v>
      </c>
      <c r="B18" s="11" t="s">
        <v>53</v>
      </c>
      <c r="C18" s="12" t="s">
        <v>54</v>
      </c>
      <c r="D18" s="13" t="s">
        <v>255</v>
      </c>
      <c r="E18" s="14" t="s">
        <v>256</v>
      </c>
      <c r="F18" s="12" t="s">
        <v>100</v>
      </c>
      <c r="G18" s="12" t="s">
        <v>257</v>
      </c>
      <c r="H18" s="12" t="s">
        <v>39</v>
      </c>
      <c r="I18" s="14" t="s">
        <v>258</v>
      </c>
      <c r="J18" s="12" t="s">
        <v>41</v>
      </c>
      <c r="K18" s="15" t="s">
        <v>259</v>
      </c>
      <c r="L18" s="12" t="s">
        <v>39</v>
      </c>
      <c r="M18" s="15" t="s">
        <v>260</v>
      </c>
      <c r="N18" s="12" t="s">
        <v>44</v>
      </c>
      <c r="O18" s="14" t="s">
        <v>261</v>
      </c>
      <c r="P18" s="16" t="str">
        <f aca="false">IF(AC18&gt;=Reference!$H$2, Reference!$G$2, IF(AC18&gt;=Reference!$H$3, Reference!$G$3, IF(AC18&gt;=Reference!$H$4, Reference!$G$4, IF(AC18&gt;=Reference!$H$5, Reference!$G$5, ""))))</f>
        <v>Severe</v>
      </c>
      <c r="Q18" s="16" t="str">
        <f aca="false">IF(F18="Physical", "Very Low", IF(F18="Local", "Low", IF(F18="Adjacent", "Medium", IF(F18="Network", "High", ""))))</f>
        <v>High</v>
      </c>
      <c r="R18" s="16" t="str">
        <f aca="false">IF(AE18&gt;=Reference!$D$2, Reference!$E$2, IF(AE18&gt;=Reference!$D$3, Reference!$E$3, IF(AE18&gt;=Reference!$D$4, Reference!$E$4, IF(AE18&gt;=Reference!$D$5, Reference!$E$5, ""))))</f>
        <v>Critical</v>
      </c>
      <c r="S18" s="17" t="s">
        <v>46</v>
      </c>
      <c r="T18" s="14" t="s">
        <v>262</v>
      </c>
      <c r="U18" s="14" t="s">
        <v>263</v>
      </c>
      <c r="V18" s="14" t="s">
        <v>264</v>
      </c>
      <c r="W18" s="12" t="s">
        <v>214</v>
      </c>
      <c r="X18" s="18" t="s">
        <v>265</v>
      </c>
      <c r="Y18" s="1" t="n">
        <f aca="false">IF(H18=Reference!$A$12, Reference!$C$12, IF(H18=Reference!$A$11, Reference!$C$11, IF(H18=Reference!$A$10, Reference!$C$10, IF(H18=Reference!$A$9, Reference!$C$9, 0))))</f>
        <v>7</v>
      </c>
      <c r="Z18" s="1" t="n">
        <f aca="false">IF(J18=Reference!$A$20, Reference!$C$20, IF(J18=Reference!$A$19, Reference!$C$19, IF(J18=Reference!$A$18, Reference!$C$18, IF(J18=Reference!$A$17, Reference!$C$17, 0))))</f>
        <v>4</v>
      </c>
      <c r="AA18" s="1" t="n">
        <f aca="false">IF(L18=Reference!$A$28, Reference!$C$28, IF(L18=Reference!$A$27, Reference!$C$27, IF(L18=Reference!$A$26, Reference!$C$26, IF(L18=Reference!$A$25, Reference!$C$25, 0))))</f>
        <v>7</v>
      </c>
      <c r="AB18" s="1" t="n">
        <f aca="false">IF(N18=Reference!$A$36, Reference!$C$36, IF(N18=Reference!$A$35, Reference!$C$35, IF(N18=Reference!$A$34, Reference!$C$34, IF(N18=Reference!$A$33, Reference!$C$33, 0))))</f>
        <v>1</v>
      </c>
      <c r="AC18" s="1" t="n">
        <f aca="false">(Reference!$B$2*Y18 + Reference!$B$3*AA18 + Reference!$B$4*Z18 + Reference!$B$5 * AB18)/4</f>
        <v>11.0625</v>
      </c>
      <c r="AD18" s="1" t="n">
        <f aca="false">IF(Q18=Reference!$C$41, Reference!$D$41, IF(Q18=Reference!$C$42, Reference!$D$42, IF(Q18=Reference!$C$43, Reference!$D$43, IF(Q18=Reference!$C$44, Reference!$D$44, 0))))</f>
        <v>10</v>
      </c>
      <c r="AE18" s="1" t="n">
        <f aca="false">1 + (AC18 * AD18)</f>
        <v>111.625</v>
      </c>
      <c r="AF18" s="12" t="s">
        <v>266</v>
      </c>
    </row>
    <row r="19" customFormat="false" ht="150" hidden="false" customHeight="true" outlineLevel="0" collapsed="false">
      <c r="A19" s="10" t="s">
        <v>267</v>
      </c>
      <c r="B19" s="11" t="s">
        <v>125</v>
      </c>
      <c r="C19" s="12" t="s">
        <v>126</v>
      </c>
      <c r="D19" s="13" t="s">
        <v>268</v>
      </c>
      <c r="E19" s="14" t="s">
        <v>269</v>
      </c>
      <c r="F19" s="12" t="s">
        <v>100</v>
      </c>
      <c r="G19" s="12" t="s">
        <v>270</v>
      </c>
      <c r="H19" s="12" t="s">
        <v>44</v>
      </c>
      <c r="I19" s="14" t="s">
        <v>233</v>
      </c>
      <c r="J19" s="12" t="s">
        <v>39</v>
      </c>
      <c r="K19" s="15" t="s">
        <v>271</v>
      </c>
      <c r="L19" s="12" t="s">
        <v>41</v>
      </c>
      <c r="M19" s="15" t="s">
        <v>272</v>
      </c>
      <c r="N19" s="12" t="s">
        <v>76</v>
      </c>
      <c r="O19" s="14" t="s">
        <v>273</v>
      </c>
      <c r="P19" s="16" t="str">
        <f aca="false">IF(AC19&gt;=Reference!$H$2, Reference!$G$2, IF(AC19&gt;=Reference!$H$3, Reference!$G$3, IF(AC19&gt;=Reference!$H$4, Reference!$G$4, IF(AC19&gt;=Reference!$H$5, Reference!$G$5, ""))))</f>
        <v>Moderate</v>
      </c>
      <c r="Q19" s="16" t="str">
        <f aca="false">IF(F19="Physical", "Very Low", IF(F19="Local", "Low", IF(F19="Adjacent", "Medium", IF(F19="Network", "High", ""))))</f>
        <v>High</v>
      </c>
      <c r="R19" s="16" t="str">
        <f aca="false">IF(AE19&gt;=Reference!$D$2, Reference!$E$2, IF(AE19&gt;=Reference!$D$3, Reference!$E$3, IF(AE19&gt;=Reference!$D$4, Reference!$E$4, IF(AE19&gt;=Reference!$D$5, Reference!$E$5, ""))))</f>
        <v>Medium</v>
      </c>
      <c r="S19" s="17" t="s">
        <v>46</v>
      </c>
      <c r="T19" s="14" t="s">
        <v>274</v>
      </c>
      <c r="U19" s="14" t="s">
        <v>275</v>
      </c>
      <c r="V19" s="14" t="s">
        <v>276</v>
      </c>
      <c r="W19" s="12" t="s">
        <v>277</v>
      </c>
      <c r="X19" s="18" t="s">
        <v>278</v>
      </c>
      <c r="Y19" s="1" t="n">
        <f aca="false">IF(H19=Reference!$A$12, Reference!$C$12, IF(H19=Reference!$A$11, Reference!$C$11, IF(H19=Reference!$A$10, Reference!$C$10, IF(H19=Reference!$A$9, Reference!$C$9, 0))))</f>
        <v>1</v>
      </c>
      <c r="Z19" s="1" t="n">
        <f aca="false">IF(J19=Reference!$A$20, Reference!$C$20, IF(J19=Reference!$A$19, Reference!$C$19, IF(J19=Reference!$A$18, Reference!$C$18, IF(J19=Reference!$A$17, Reference!$C$17, 0))))</f>
        <v>7</v>
      </c>
      <c r="AA19" s="1" t="n">
        <f aca="false">IF(L19=Reference!$A$28, Reference!$C$28, IF(L19=Reference!$A$27, Reference!$C$27, IF(L19=Reference!$A$26, Reference!$C$26, IF(L19=Reference!$A$25, Reference!$C$25, 0))))</f>
        <v>4</v>
      </c>
      <c r="AB19" s="1" t="n">
        <f aca="false">IF(N19=Reference!$A$36, Reference!$C$36, IF(N19=Reference!$A$35, Reference!$C$35, IF(N19=Reference!$A$34, Reference!$C$34, IF(N19=Reference!$A$33, Reference!$C$33, 0))))</f>
        <v>10</v>
      </c>
      <c r="AC19" s="1" t="n">
        <f aca="false">(Reference!$B$2*Y19 + Reference!$B$3*AA19 + Reference!$B$4*Z19 + Reference!$B$5 * AB19)/4</f>
        <v>3.75</v>
      </c>
      <c r="AD19" s="1" t="n">
        <f aca="false">IF(Q19=Reference!$C$41, Reference!$D$41, IF(Q19=Reference!$C$42, Reference!$D$42, IF(Q19=Reference!$C$43, Reference!$D$43, IF(Q19=Reference!$C$44, Reference!$D$44, 0))))</f>
        <v>10</v>
      </c>
      <c r="AE19" s="1" t="n">
        <f aca="false">1 + (AC19 * AD19)</f>
        <v>38.5</v>
      </c>
      <c r="AF19" s="12" t="s">
        <v>279</v>
      </c>
    </row>
    <row r="20" customFormat="false" ht="150" hidden="false" customHeight="true" outlineLevel="0" collapsed="false">
      <c r="A20" s="10" t="s">
        <v>280</v>
      </c>
      <c r="B20" s="11" t="s">
        <v>69</v>
      </c>
      <c r="C20" s="12" t="s">
        <v>70</v>
      </c>
      <c r="D20" s="13" t="s">
        <v>281</v>
      </c>
      <c r="E20" s="14" t="s">
        <v>282</v>
      </c>
      <c r="F20" s="12" t="s">
        <v>100</v>
      </c>
      <c r="G20" s="12" t="s">
        <v>283</v>
      </c>
      <c r="H20" s="12" t="s">
        <v>41</v>
      </c>
      <c r="I20" s="14" t="s">
        <v>284</v>
      </c>
      <c r="J20" s="12" t="s">
        <v>41</v>
      </c>
      <c r="K20" s="15" t="s">
        <v>285</v>
      </c>
      <c r="L20" s="12" t="s">
        <v>76</v>
      </c>
      <c r="M20" s="15" t="s">
        <v>286</v>
      </c>
      <c r="N20" s="12" t="s">
        <v>44</v>
      </c>
      <c r="O20" s="14" t="s">
        <v>62</v>
      </c>
      <c r="P20" s="16" t="str">
        <f aca="false">IF(AC20&gt;=Reference!$H$2, Reference!$G$2, IF(AC20&gt;=Reference!$H$3, Reference!$G$3, IF(AC20&gt;=Reference!$H$4, Reference!$G$4, IF(AC20&gt;=Reference!$H$5, Reference!$G$5, ""))))</f>
        <v>Major</v>
      </c>
      <c r="Q20" s="16" t="str">
        <f aca="false">IF(F20="Physical", "Very Low", IF(F20="Local", "Low", IF(F20="Adjacent", "Medium", IF(F20="Network", "High", ""))))</f>
        <v>High</v>
      </c>
      <c r="R20" s="16" t="str">
        <f aca="false">IF(AE20&gt;=Reference!$D$2, Reference!$E$2, IF(AE20&gt;=Reference!$D$3, Reference!$E$3, IF(AE20&gt;=Reference!$D$4, Reference!$E$4, IF(AE20&gt;=Reference!$D$5, Reference!$E$5, ""))))</f>
        <v>High</v>
      </c>
      <c r="S20" s="17" t="s">
        <v>46</v>
      </c>
      <c r="T20" s="14" t="s">
        <v>287</v>
      </c>
      <c r="U20" s="14" t="s">
        <v>288</v>
      </c>
      <c r="V20" s="14" t="s">
        <v>289</v>
      </c>
      <c r="W20" s="12" t="s">
        <v>290</v>
      </c>
      <c r="X20" s="18" t="s">
        <v>291</v>
      </c>
      <c r="Y20" s="1" t="n">
        <f aca="false">IF(H20=Reference!$A$12, Reference!$C$12, IF(H20=Reference!$A$11, Reference!$C$11, IF(H20=Reference!$A$10, Reference!$C$10, IF(H20=Reference!$A$9, Reference!$C$9, 0))))</f>
        <v>4</v>
      </c>
      <c r="Z20" s="1" t="n">
        <f aca="false">IF(J20=Reference!$A$20, Reference!$C$20, IF(J20=Reference!$A$19, Reference!$C$19, IF(J20=Reference!$A$18, Reference!$C$18, IF(J20=Reference!$A$17, Reference!$C$17, 0))))</f>
        <v>4</v>
      </c>
      <c r="AA20" s="1" t="n">
        <f aca="false">IF(L20=Reference!$A$28, Reference!$C$28, IF(L20=Reference!$A$27, Reference!$C$27, IF(L20=Reference!$A$26, Reference!$C$26, IF(L20=Reference!$A$25, Reference!$C$25, 0))))</f>
        <v>10</v>
      </c>
      <c r="AB20" s="1" t="n">
        <f aca="false">IF(N20=Reference!$A$36, Reference!$C$36, IF(N20=Reference!$A$35, Reference!$C$35, IF(N20=Reference!$A$34, Reference!$C$34, IF(N20=Reference!$A$33, Reference!$C$33, 0))))</f>
        <v>1</v>
      </c>
      <c r="AC20" s="1" t="n">
        <f aca="false">(Reference!$B$2*Y20 + Reference!$B$3*AA20 + Reference!$B$4*Z20 + Reference!$B$5 * AB20)/4</f>
        <v>8.0625</v>
      </c>
      <c r="AD20" s="1" t="n">
        <f aca="false">IF(Q20=Reference!$C$41, Reference!$D$41, IF(Q20=Reference!$C$42, Reference!$D$42, IF(Q20=Reference!$C$43, Reference!$D$43, IF(Q20=Reference!$C$44, Reference!$D$44, 0))))</f>
        <v>10</v>
      </c>
      <c r="AE20" s="1" t="n">
        <f aca="false">1 + (AC20 * AD20)</f>
        <v>81.625</v>
      </c>
      <c r="AF20" s="12" t="s">
        <v>292</v>
      </c>
    </row>
    <row r="21" customFormat="false" ht="150" hidden="false" customHeight="true" outlineLevel="0" collapsed="false">
      <c r="A21" s="10" t="s">
        <v>293</v>
      </c>
      <c r="B21" s="11" t="s">
        <v>33</v>
      </c>
      <c r="C21" s="12" t="s">
        <v>34</v>
      </c>
      <c r="D21" s="13" t="s">
        <v>294</v>
      </c>
      <c r="E21" s="14" t="s">
        <v>295</v>
      </c>
      <c r="F21" s="12" t="s">
        <v>100</v>
      </c>
      <c r="G21" s="12" t="s">
        <v>296</v>
      </c>
      <c r="H21" s="12" t="s">
        <v>76</v>
      </c>
      <c r="I21" s="14" t="s">
        <v>297</v>
      </c>
      <c r="J21" s="12" t="s">
        <v>76</v>
      </c>
      <c r="K21" s="15" t="s">
        <v>298</v>
      </c>
      <c r="L21" s="12" t="s">
        <v>76</v>
      </c>
      <c r="M21" s="15" t="s">
        <v>299</v>
      </c>
      <c r="N21" s="12" t="s">
        <v>39</v>
      </c>
      <c r="O21" s="14" t="s">
        <v>300</v>
      </c>
      <c r="P21" s="16" t="str">
        <f aca="false">IF(AC21&gt;=Reference!$H$2, Reference!$G$2, IF(AC21&gt;=Reference!$H$3, Reference!$G$3, IF(AC21&gt;=Reference!$H$4, Reference!$G$4, IF(AC21&gt;=Reference!$H$5, Reference!$G$5, ""))))</f>
        <v>Severe</v>
      </c>
      <c r="Q21" s="16" t="str">
        <f aca="false">IF(F21="Physical", "Very Low", IF(F21="Local", "Low", IF(F21="Adjacent", "Medium", IF(F21="Network", "High", ""))))</f>
        <v>High</v>
      </c>
      <c r="R21" s="16" t="str">
        <f aca="false">IF(AE21&gt;=Reference!$D$2, Reference!$E$2, IF(AE21&gt;=Reference!$D$3, Reference!$E$3, IF(AE21&gt;=Reference!$D$4, Reference!$E$4, IF(AE21&gt;=Reference!$D$5, Reference!$E$5, ""))))</f>
        <v>Critical</v>
      </c>
      <c r="S21" s="17" t="s">
        <v>46</v>
      </c>
      <c r="T21" s="14" t="s">
        <v>301</v>
      </c>
      <c r="U21" s="14" t="s">
        <v>302</v>
      </c>
      <c r="V21" s="14" t="s">
        <v>303</v>
      </c>
      <c r="W21" s="12" t="s">
        <v>109</v>
      </c>
      <c r="X21" s="18" t="s">
        <v>304</v>
      </c>
      <c r="Y21" s="1" t="n">
        <f aca="false">IF(H21=Reference!$A$12, Reference!$C$12, IF(H21=Reference!$A$11, Reference!$C$11, IF(H21=Reference!$A$10, Reference!$C$10, IF(H21=Reference!$A$9, Reference!$C$9, 0))))</f>
        <v>10</v>
      </c>
      <c r="Z21" s="1" t="n">
        <f aca="false">IF(J21=Reference!$A$20, Reference!$C$20, IF(J21=Reference!$A$19, Reference!$C$19, IF(J21=Reference!$A$18, Reference!$C$18, IF(J21=Reference!$A$17, Reference!$C$17, 0))))</f>
        <v>10</v>
      </c>
      <c r="AA21" s="1" t="n">
        <f aca="false">IF(L21=Reference!$A$28, Reference!$C$28, IF(L21=Reference!$A$27, Reference!$C$27, IF(L21=Reference!$A$26, Reference!$C$26, IF(L21=Reference!$A$25, Reference!$C$25, 0))))</f>
        <v>10</v>
      </c>
      <c r="AB21" s="1" t="n">
        <f aca="false">IF(N21=Reference!$A$36, Reference!$C$36, IF(N21=Reference!$A$35, Reference!$C$35, IF(N21=Reference!$A$34, Reference!$C$34, IF(N21=Reference!$A$33, Reference!$C$33, 0))))</f>
        <v>7</v>
      </c>
      <c r="AC21" s="1" t="n">
        <f aca="false">(Reference!$B$2*Y21 + Reference!$B$3*AA21 + Reference!$B$4*Z21 + Reference!$B$5 * AB21)/4</f>
        <v>16.6875</v>
      </c>
      <c r="AD21" s="1" t="n">
        <f aca="false">IF(Q21=Reference!$C$41, Reference!$D$41, IF(Q21=Reference!$C$42, Reference!$D$42, IF(Q21=Reference!$C$43, Reference!$D$43, IF(Q21=Reference!$C$44, Reference!$D$44, 0))))</f>
        <v>10</v>
      </c>
      <c r="AE21" s="1" t="n">
        <f aca="false">1 + (AC21 * AD21)</f>
        <v>167.875</v>
      </c>
      <c r="AF21" s="12" t="s">
        <v>305</v>
      </c>
    </row>
    <row r="22" customFormat="false" ht="150" hidden="false" customHeight="true" outlineLevel="0" collapsed="false">
      <c r="A22" s="10" t="s">
        <v>306</v>
      </c>
      <c r="B22" s="11" t="s">
        <v>307</v>
      </c>
      <c r="C22" s="12" t="s">
        <v>308</v>
      </c>
      <c r="D22" s="13" t="s">
        <v>309</v>
      </c>
      <c r="E22" s="14" t="s">
        <v>310</v>
      </c>
      <c r="F22" s="12" t="s">
        <v>100</v>
      </c>
      <c r="G22" s="12" t="s">
        <v>311</v>
      </c>
      <c r="H22" s="12" t="s">
        <v>44</v>
      </c>
      <c r="I22" s="14" t="s">
        <v>312</v>
      </c>
      <c r="J22" s="12" t="s">
        <v>39</v>
      </c>
      <c r="K22" s="15" t="s">
        <v>313</v>
      </c>
      <c r="L22" s="12" t="s">
        <v>41</v>
      </c>
      <c r="M22" s="15" t="s">
        <v>314</v>
      </c>
      <c r="N22" s="12" t="s">
        <v>44</v>
      </c>
      <c r="O22" s="14" t="s">
        <v>315</v>
      </c>
      <c r="P22" s="16" t="str">
        <f aca="false">IF(AC22&gt;=Reference!$H$2, Reference!$G$2, IF(AC22&gt;=Reference!$H$3, Reference!$G$3, IF(AC22&gt;=Reference!$H$4, Reference!$G$4, IF(AC22&gt;=Reference!$H$5, Reference!$G$5, ""))))</f>
        <v>Moderate</v>
      </c>
      <c r="Q22" s="16" t="str">
        <f aca="false">IF(F22="Physical", "Very Low", IF(F22="Local", "Low", IF(F22="Adjacent", "Medium", IF(F22="Network", "High", ""))))</f>
        <v>High</v>
      </c>
      <c r="R22" s="16" t="str">
        <f aca="false">IF(AE22&gt;=Reference!$D$2, Reference!$E$2, IF(AE22&gt;=Reference!$D$3, Reference!$E$3, IF(AE22&gt;=Reference!$D$4, Reference!$E$4, IF(AE22&gt;=Reference!$D$5, Reference!$E$5, ""))))</f>
        <v>Medium</v>
      </c>
      <c r="S22" s="17" t="s">
        <v>46</v>
      </c>
      <c r="T22" s="14" t="s">
        <v>316</v>
      </c>
      <c r="U22" s="14" t="s">
        <v>317</v>
      </c>
      <c r="V22" s="14" t="s">
        <v>318</v>
      </c>
      <c r="W22" s="12" t="s">
        <v>319</v>
      </c>
      <c r="X22" s="18" t="s">
        <v>320</v>
      </c>
      <c r="Y22" s="1" t="n">
        <f aca="false">IF(H22=Reference!$A$12, Reference!$C$12, IF(H22=Reference!$A$11, Reference!$C$11, IF(H22=Reference!$A$10, Reference!$C$10, IF(H22=Reference!$A$9, Reference!$C$9, 0))))</f>
        <v>1</v>
      </c>
      <c r="Z22" s="1" t="n">
        <f aca="false">IF(J22=Reference!$A$20, Reference!$C$20, IF(J22=Reference!$A$19, Reference!$C$19, IF(J22=Reference!$A$18, Reference!$C$18, IF(J22=Reference!$A$17, Reference!$C$17, 0))))</f>
        <v>7</v>
      </c>
      <c r="AA22" s="1" t="n">
        <f aca="false">IF(L22=Reference!$A$28, Reference!$C$28, IF(L22=Reference!$A$27, Reference!$C$27, IF(L22=Reference!$A$26, Reference!$C$26, IF(L22=Reference!$A$25, Reference!$C$25, 0))))</f>
        <v>4</v>
      </c>
      <c r="AB22" s="1" t="n">
        <f aca="false">IF(N22=Reference!$A$36, Reference!$C$36, IF(N22=Reference!$A$35, Reference!$C$35, IF(N22=Reference!$A$34, Reference!$C$34, IF(N22=Reference!$A$33, Reference!$C$33, 0))))</f>
        <v>1</v>
      </c>
      <c r="AC22" s="1" t="n">
        <f aca="false">(Reference!$B$2*Y22 + Reference!$B$3*AA22 + Reference!$B$4*Z22 + Reference!$B$5 * AB22)/4</f>
        <v>3.1875</v>
      </c>
      <c r="AD22" s="1" t="n">
        <f aca="false">IF(Q22=Reference!$C$41, Reference!$D$41, IF(Q22=Reference!$C$42, Reference!$D$42, IF(Q22=Reference!$C$43, Reference!$D$43, IF(Q22=Reference!$C$44, Reference!$D$44, 0))))</f>
        <v>10</v>
      </c>
      <c r="AE22" s="1" t="n">
        <f aca="false">1 + (AC22 * AD22)</f>
        <v>32.875</v>
      </c>
      <c r="AF22" s="12" t="s">
        <v>321</v>
      </c>
    </row>
    <row r="23" customFormat="false" ht="150" hidden="false" customHeight="true" outlineLevel="0" collapsed="false">
      <c r="A23" s="10" t="s">
        <v>322</v>
      </c>
      <c r="B23" s="11" t="s">
        <v>323</v>
      </c>
      <c r="C23" s="12" t="s">
        <v>324</v>
      </c>
      <c r="D23" s="13" t="s">
        <v>325</v>
      </c>
      <c r="E23" s="14" t="s">
        <v>326</v>
      </c>
      <c r="F23" s="12" t="s">
        <v>100</v>
      </c>
      <c r="G23" s="12" t="s">
        <v>327</v>
      </c>
      <c r="H23" s="12" t="s">
        <v>76</v>
      </c>
      <c r="I23" s="14" t="s">
        <v>328</v>
      </c>
      <c r="J23" s="12" t="s">
        <v>76</v>
      </c>
      <c r="K23" s="15" t="s">
        <v>329</v>
      </c>
      <c r="L23" s="12" t="s">
        <v>76</v>
      </c>
      <c r="M23" s="15" t="s">
        <v>330</v>
      </c>
      <c r="N23" s="12" t="s">
        <v>39</v>
      </c>
      <c r="O23" s="14" t="s">
        <v>331</v>
      </c>
      <c r="P23" s="16" t="str">
        <f aca="false">IF(AC23&gt;=Reference!$H$2, Reference!$G$2, IF(AC23&gt;=Reference!$H$3, Reference!$G$3, IF(AC23&gt;=Reference!$H$4, Reference!$G$4, IF(AC23&gt;=Reference!$H$5, Reference!$G$5, ""))))</f>
        <v>Severe</v>
      </c>
      <c r="Q23" s="16" t="str">
        <f aca="false">IF(F23="Physical", "Very Low", IF(F23="Local", "Low", IF(F23="Adjacent", "Medium", IF(F23="Network", "High", ""))))</f>
        <v>High</v>
      </c>
      <c r="R23" s="16" t="str">
        <f aca="false">IF(AE23&gt;=Reference!$D$2, Reference!$E$2, IF(AE23&gt;=Reference!$D$3, Reference!$E$3, IF(AE23&gt;=Reference!$D$4, Reference!$E$4, IF(AE23&gt;=Reference!$D$5, Reference!$E$5, ""))))</f>
        <v>Critical</v>
      </c>
      <c r="S23" s="17" t="s">
        <v>46</v>
      </c>
      <c r="T23" s="14" t="s">
        <v>332</v>
      </c>
      <c r="U23" s="14" t="s">
        <v>333</v>
      </c>
      <c r="V23" s="14" t="s">
        <v>334</v>
      </c>
      <c r="W23" s="12" t="s">
        <v>335</v>
      </c>
      <c r="X23" s="18" t="s">
        <v>336</v>
      </c>
      <c r="Y23" s="1" t="n">
        <f aca="false">IF(H23=Reference!$A$12, Reference!$C$12, IF(H23=Reference!$A$11, Reference!$C$11, IF(H23=Reference!$A$10, Reference!$C$10, IF(H23=Reference!$A$9, Reference!$C$9, 0))))</f>
        <v>10</v>
      </c>
      <c r="Z23" s="1" t="n">
        <f aca="false">IF(J23=Reference!$A$20, Reference!$C$20, IF(J23=Reference!$A$19, Reference!$C$19, IF(J23=Reference!$A$18, Reference!$C$18, IF(J23=Reference!$A$17, Reference!$C$17, 0))))</f>
        <v>10</v>
      </c>
      <c r="AA23" s="1" t="n">
        <f aca="false">IF(L23=Reference!$A$28, Reference!$C$28, IF(L23=Reference!$A$27, Reference!$C$27, IF(L23=Reference!$A$26, Reference!$C$26, IF(L23=Reference!$A$25, Reference!$C$25, 0))))</f>
        <v>10</v>
      </c>
      <c r="AB23" s="1" t="n">
        <f aca="false">IF(N23=Reference!$A$36, Reference!$C$36, IF(N23=Reference!$A$35, Reference!$C$35, IF(N23=Reference!$A$34, Reference!$C$34, IF(N23=Reference!$A$33, Reference!$C$33, 0))))</f>
        <v>7</v>
      </c>
      <c r="AC23" s="1" t="n">
        <f aca="false">(Reference!$B$2*Y23 + Reference!$B$3*AA23 + Reference!$B$4*Z23 + Reference!$B$5 * AB23)/4</f>
        <v>16.6875</v>
      </c>
      <c r="AD23" s="1" t="n">
        <f aca="false">IF(Q23=Reference!$C$41, Reference!$D$41, IF(Q23=Reference!$C$42, Reference!$D$42, IF(Q23=Reference!$C$43, Reference!$D$43, IF(Q23=Reference!$C$44, Reference!$D$44, 0))))</f>
        <v>10</v>
      </c>
      <c r="AE23" s="1" t="n">
        <f aca="false">1 + (AC23 * AD23)</f>
        <v>167.875</v>
      </c>
      <c r="AF23" s="12" t="s">
        <v>337</v>
      </c>
    </row>
  </sheetData>
  <autoFilter ref="A1:X23"/>
  <dataValidations count="8">
    <dataValidation allowBlank="true" errorStyle="stop" operator="between" showDropDown="false" showErrorMessage="false" showInputMessage="false" sqref="B2:B23" type="list">
      <formula1>"Spoofing,Tampering,Repudiation,Information disclosure,Denial of service,Elevation of privilege"</formula1>
      <formula2>0</formula2>
    </dataValidation>
    <dataValidation allowBlank="true" errorStyle="stop" operator="between" showDropDown="false" showErrorMessage="false" showInputMessage="false" sqref="C2:C23" type="list">
      <formula1>"Confidentiality,Integrity,Availability,Authenticity,Non-repudiation,Accountability,Authorization"</formula1>
      <formula2>0</formula2>
    </dataValidation>
    <dataValidation allowBlank="true" errorStyle="stop" operator="between" showDropDown="false" showErrorMessage="false" showInputMessage="false" sqref="F2:F23" type="list">
      <formula1>"Physical,Local,Adjacent,Network"</formula1>
      <formula2>0</formula2>
    </dataValidation>
    <dataValidation allowBlank="true" errorStyle="stop" operator="between" showDropDown="false" showErrorMessage="false" showInputMessage="false" sqref="H2:H23" type="list">
      <formula1>"Negligible,Moderate,Major,Severe"</formula1>
      <formula2>0</formula2>
    </dataValidation>
    <dataValidation allowBlank="true" errorStyle="stop" operator="between" showDropDown="false" showErrorMessage="false" showInputMessage="false" sqref="J2:J23" type="list">
      <formula1>"Negligible,Moderate,Major,Severe"</formula1>
      <formula2>0</formula2>
    </dataValidation>
    <dataValidation allowBlank="true" errorStyle="stop" operator="between" showDropDown="false" showErrorMessage="false" showInputMessage="false" sqref="L2:L23" type="list">
      <formula1>"Negligible,Moderate,Major,Severe"</formula1>
      <formula2>0</formula2>
    </dataValidation>
    <dataValidation allowBlank="true" errorStyle="stop" operator="between" showDropDown="false" showErrorMessage="false" showInputMessage="false" sqref="N2:N23" type="list">
      <formula1>"Negligible,Moderate,Major,Severe"</formula1>
      <formula2>0</formula2>
    </dataValidation>
    <dataValidation allowBlank="true" errorStyle="stop" operator="between" showDropDown="false" showErrorMessage="false" showInputMessage="false" sqref="S2:S23" type="list">
      <formula1>"Avoidance,Mitigation,Acceptance,Transfer"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14"/>
    <col collapsed="false" customWidth="true" hidden="false" outlineLevel="0" max="2" min="2" style="1" width="41.71"/>
    <col collapsed="false" customWidth="true" hidden="false" outlineLevel="0" max="3" min="3" style="1" width="17.29"/>
    <col collapsed="false" customWidth="true" hidden="false" outlineLevel="0" max="4" min="4" style="1" width="39.14"/>
    <col collapsed="false" customWidth="true" hidden="false" outlineLevel="0" max="5" min="5" style="1" width="44"/>
    <col collapsed="false" customWidth="true" hidden="false" outlineLevel="0" max="6" min="6" style="1" width="21"/>
    <col collapsed="false" customWidth="true" hidden="false" outlineLevel="0" max="7" min="7" style="1" width="40.14"/>
    <col collapsed="false" customWidth="true" hidden="false" outlineLevel="0" max="8" min="8" style="1" width="21.29"/>
    <col collapsed="false" customWidth="true" hidden="false" outlineLevel="0" max="9" min="9" style="1" width="57.42"/>
    <col collapsed="false" customWidth="true" hidden="false" outlineLevel="0" max="10" min="10" style="1" width="20.29"/>
    <col collapsed="false" customWidth="true" hidden="false" outlineLevel="0" max="11" min="11" style="1" width="33"/>
    <col collapsed="false" customWidth="true" hidden="false" outlineLevel="0" max="12" min="12" style="1" width="20.85"/>
    <col collapsed="false" customWidth="true" hidden="false" outlineLevel="0" max="13" min="13" style="1" width="21.29"/>
    <col collapsed="false" customWidth="true" hidden="false" outlineLevel="0" max="14" min="14" style="1" width="16.84"/>
    <col collapsed="false" customWidth="true" hidden="false" outlineLevel="0" max="15" min="15" style="1" width="42.71"/>
    <col collapsed="false" customWidth="true" hidden="false" outlineLevel="0" max="16" min="16" style="1" width="15.42"/>
    <col collapsed="false" customWidth="true" hidden="false" outlineLevel="0" max="17" min="17" style="1" width="22.29"/>
    <col collapsed="false" customWidth="true" hidden="false" outlineLevel="0" max="18" min="18" style="1" width="21.29"/>
    <col collapsed="false" customWidth="true" hidden="false" outlineLevel="0" max="19" min="19" style="1" width="21.43"/>
    <col collapsed="false" customWidth="true" hidden="false" outlineLevel="0" max="20" min="20" style="1" width="38.71"/>
    <col collapsed="false" customWidth="true" hidden="false" outlineLevel="0" max="21" min="21" style="1" width="22.42"/>
    <col collapsed="false" customWidth="true" hidden="false" outlineLevel="0" max="22" min="22" style="1" width="47.71"/>
    <col collapsed="false" customWidth="true" hidden="false" outlineLevel="0" max="23" min="23" style="1" width="35"/>
    <col collapsed="false" customWidth="true" hidden="false" outlineLevel="0" max="24" min="24" style="1" width="18"/>
    <col collapsed="false" customWidth="true" hidden="false" outlineLevel="0" max="32" min="32" style="1" width="70"/>
  </cols>
  <sheetData>
    <row r="1" customFormat="false" ht="32.25" hidden="false" customHeight="true" outlineLevel="0" collapsed="false">
      <c r="A1" s="2" t="s">
        <v>0</v>
      </c>
      <c r="B1" s="2" t="s">
        <v>1</v>
      </c>
      <c r="C1" s="3" t="s">
        <v>2</v>
      </c>
      <c r="D1" s="4" t="s">
        <v>3</v>
      </c>
      <c r="E1" s="5" t="s">
        <v>4</v>
      </c>
      <c r="F1" s="6" t="s">
        <v>5</v>
      </c>
      <c r="G1" s="6" t="s">
        <v>6</v>
      </c>
      <c r="H1" s="6" t="s">
        <v>7</v>
      </c>
      <c r="I1" s="6" t="s">
        <v>8</v>
      </c>
      <c r="J1" s="6" t="s">
        <v>9</v>
      </c>
      <c r="K1" s="6" t="s">
        <v>10</v>
      </c>
      <c r="L1" s="6" t="s">
        <v>11</v>
      </c>
      <c r="M1" s="6" t="s">
        <v>12</v>
      </c>
      <c r="N1" s="7" t="s">
        <v>13</v>
      </c>
      <c r="O1" s="6" t="s">
        <v>14</v>
      </c>
      <c r="P1" s="8" t="s">
        <v>15</v>
      </c>
      <c r="Q1" s="8" t="s">
        <v>16</v>
      </c>
      <c r="R1" s="8" t="s">
        <v>17</v>
      </c>
      <c r="S1" s="6" t="s">
        <v>18</v>
      </c>
      <c r="T1" s="6" t="s">
        <v>19</v>
      </c>
      <c r="U1" s="6" t="s">
        <v>20</v>
      </c>
      <c r="V1" s="6" t="s">
        <v>21</v>
      </c>
      <c r="W1" s="6" t="s">
        <v>22</v>
      </c>
      <c r="X1" s="2" t="s">
        <v>23</v>
      </c>
      <c r="Y1" s="9" t="s">
        <v>24</v>
      </c>
      <c r="Z1" s="9" t="s">
        <v>25</v>
      </c>
      <c r="AA1" s="9" t="s">
        <v>26</v>
      </c>
      <c r="AB1" s="9" t="s">
        <v>27</v>
      </c>
      <c r="AC1" s="9" t="s">
        <v>28</v>
      </c>
      <c r="AD1" s="9" t="s">
        <v>29</v>
      </c>
      <c r="AE1" s="9" t="s">
        <v>30</v>
      </c>
      <c r="AF1" s="2" t="s">
        <v>31</v>
      </c>
    </row>
    <row r="2" customFormat="false" ht="150" hidden="false" customHeight="true" outlineLevel="0" collapsed="false">
      <c r="A2" s="10" t="s">
        <v>97</v>
      </c>
      <c r="B2" s="11" t="s">
        <v>33</v>
      </c>
      <c r="C2" s="12" t="s">
        <v>34</v>
      </c>
      <c r="D2" s="13" t="s">
        <v>98</v>
      </c>
      <c r="E2" s="14" t="s">
        <v>99</v>
      </c>
      <c r="F2" s="12" t="s">
        <v>100</v>
      </c>
      <c r="G2" s="12" t="s">
        <v>101</v>
      </c>
      <c r="H2" s="12" t="s">
        <v>39</v>
      </c>
      <c r="I2" s="14" t="s">
        <v>102</v>
      </c>
      <c r="J2" s="12" t="s">
        <v>39</v>
      </c>
      <c r="K2" s="15" t="s">
        <v>103</v>
      </c>
      <c r="L2" s="12" t="s">
        <v>39</v>
      </c>
      <c r="M2" s="15" t="s">
        <v>104</v>
      </c>
      <c r="N2" s="12" t="s">
        <v>44</v>
      </c>
      <c r="O2" s="14" t="s">
        <v>105</v>
      </c>
      <c r="P2" s="16" t="str">
        <f aca="false">IF(AC2&gt;=Reference!$H$2, Reference!$G$2, IF(AC2&gt;=Reference!$H$3, Reference!$G$3, IF(AC2&gt;=Reference!$H$4, Reference!$G$4, IF(AC2&gt;=Reference!$H$5, Reference!$G$5, ""))))</f>
        <v>Severe</v>
      </c>
      <c r="Q2" s="16" t="str">
        <f aca="false">IF(F2="Physical", "Very Low", IF(F2="Local", "Low", IF(F2="Adjacent", "Medium", IF(F2="Network", "High", ""))))</f>
        <v>High</v>
      </c>
      <c r="R2" s="16" t="str">
        <f aca="false">IF(AE2&gt;=Reference!$D$2, Reference!$E$2, IF(AE2&gt;=Reference!$D$3, Reference!$E$3, IF(AE2&gt;=Reference!$D$4, Reference!$E$4, IF(AE2&gt;=Reference!$D$5, Reference!$E$5, ""))))</f>
        <v>Critical</v>
      </c>
      <c r="S2" s="17" t="s">
        <v>46</v>
      </c>
      <c r="T2" s="14" t="s">
        <v>106</v>
      </c>
      <c r="U2" s="14" t="s">
        <v>107</v>
      </c>
      <c r="V2" s="14" t="s">
        <v>108</v>
      </c>
      <c r="W2" s="12" t="s">
        <v>109</v>
      </c>
      <c r="X2" s="18" t="str">
        <f aca="false">IFERROR(INDEX(Mapping!$F$2:$F$44,MATCH(ROW(),Mapping!$A$2:$A$44,0)),"")</f>
        <v>T115</v>
      </c>
      <c r="Y2" s="1" t="n">
        <f aca="false">IF(H2=Reference!$A$12, Reference!$C$12, IF(H2=Reference!$A$11, Reference!$C$11, IF(H2=Reference!$A$10, Reference!$C$10, IF(H2=Reference!$A$9, Reference!$C$9, 0))))</f>
        <v>7</v>
      </c>
      <c r="Z2" s="1" t="n">
        <f aca="false">IF(J2=Reference!$A$20, Reference!$C$20, IF(J2=Reference!$A$19, Reference!$C$19, IF(J2=Reference!$A$18, Reference!$C$18, IF(J2=Reference!$A$17, Reference!$C$17, 0))))</f>
        <v>7</v>
      </c>
      <c r="AA2" s="1" t="n">
        <f aca="false">IF(L2=Reference!$A$28, Reference!$C$28, IF(L2=Reference!$A$27, Reference!$C$27, IF(L2=Reference!$A$26, Reference!$C$26, IF(L2=Reference!$A$25, Reference!$C$25, 0))))</f>
        <v>7</v>
      </c>
      <c r="AB2" s="1" t="n">
        <f aca="false">IF(N2=Reference!$A$36, Reference!$C$36, IF(N2=Reference!$A$35, Reference!$C$35, IF(N2=Reference!$A$34, Reference!$C$34, IF(N2=Reference!$A$33, Reference!$C$33, 0))))</f>
        <v>1</v>
      </c>
      <c r="AC2" s="1" t="n">
        <f aca="false">(Reference!$B$2*Y2 + Reference!$B$3*AA2 + Reference!$B$4*Z2 + Reference!$B$5 * AB2)/4</f>
        <v>11.4375</v>
      </c>
      <c r="AD2" s="1" t="n">
        <f aca="false">IF(Q2=Reference!$C$41, Reference!$D$41, IF(Q2=Reference!$C$42, Reference!$D$42, IF(Q2=Reference!$C$43, Reference!$D$43, IF(Q2=Reference!$C$44, Reference!$D$44, 0))))</f>
        <v>10</v>
      </c>
      <c r="AE2" s="1" t="n">
        <f aca="false">1 + (AC2 * AD2)</f>
        <v>115.375</v>
      </c>
      <c r="AF2" s="12" t="s">
        <v>338</v>
      </c>
    </row>
    <row r="3" customFormat="false" ht="150" hidden="false" customHeight="true" outlineLevel="0" collapsed="false">
      <c r="A3" s="10" t="s">
        <v>339</v>
      </c>
      <c r="B3" s="11" t="s">
        <v>33</v>
      </c>
      <c r="C3" s="12" t="s">
        <v>34</v>
      </c>
      <c r="D3" s="13" t="s">
        <v>340</v>
      </c>
      <c r="E3" s="14" t="s">
        <v>341</v>
      </c>
      <c r="F3" s="12" t="s">
        <v>37</v>
      </c>
      <c r="G3" s="12" t="s">
        <v>342</v>
      </c>
      <c r="H3" s="12" t="s">
        <v>39</v>
      </c>
      <c r="I3" s="14" t="s">
        <v>343</v>
      </c>
      <c r="J3" s="12" t="s">
        <v>39</v>
      </c>
      <c r="K3" s="15" t="s">
        <v>344</v>
      </c>
      <c r="L3" s="12" t="s">
        <v>39</v>
      </c>
      <c r="M3" s="15" t="s">
        <v>345</v>
      </c>
      <c r="N3" s="12" t="s">
        <v>44</v>
      </c>
      <c r="O3" s="14" t="s">
        <v>346</v>
      </c>
      <c r="P3" s="16" t="str">
        <f aca="false">IF(AC3&gt;=Reference!$H$2, Reference!$G$2, IF(AC3&gt;=Reference!$H$3, Reference!$G$3, IF(AC3&gt;=Reference!$H$4, Reference!$G$4, IF(AC3&gt;=Reference!$H$5, Reference!$G$5, ""))))</f>
        <v>Severe</v>
      </c>
      <c r="Q3" s="16" t="str">
        <f aca="false">IF(F3="Physical", "Very Low", IF(F3="Local", "Low", IF(F3="Adjacent", "Medium", IF(F3="Network", "High", ""))))</f>
        <v>Medium</v>
      </c>
      <c r="R3" s="16" t="str">
        <f aca="false">IF(AE3&gt;=Reference!$D$2, Reference!$E$2, IF(AE3&gt;=Reference!$D$3, Reference!$E$3, IF(AE3&gt;=Reference!$D$4, Reference!$E$4, IF(AE3&gt;=Reference!$D$5, Reference!$E$5, ""))))</f>
        <v>High</v>
      </c>
      <c r="S3" s="17" t="s">
        <v>46</v>
      </c>
      <c r="T3" s="14" t="s">
        <v>347</v>
      </c>
      <c r="U3" s="14" t="s">
        <v>348</v>
      </c>
      <c r="V3" s="14" t="s">
        <v>349</v>
      </c>
      <c r="W3" s="12" t="s">
        <v>109</v>
      </c>
      <c r="X3" s="18" t="str">
        <f aca="false">IFERROR(INDEX(Mapping!$F$2:$F$44,MATCH(ROW(),Mapping!$A$2:$A$44,0)),"")</f>
        <v>T110</v>
      </c>
      <c r="Y3" s="1" t="n">
        <f aca="false">IF(H3=Reference!$A$12, Reference!$C$12, IF(H3=Reference!$A$11, Reference!$C$11, IF(H3=Reference!$A$10, Reference!$C$10, IF(H3=Reference!$A$9, Reference!$C$9, 0))))</f>
        <v>7</v>
      </c>
      <c r="Z3" s="1" t="n">
        <f aca="false">IF(J3=Reference!$A$20, Reference!$C$20, IF(J3=Reference!$A$19, Reference!$C$19, IF(J3=Reference!$A$18, Reference!$C$18, IF(J3=Reference!$A$17, Reference!$C$17, 0))))</f>
        <v>7</v>
      </c>
      <c r="AA3" s="1" t="n">
        <f aca="false">IF(L3=Reference!$A$28, Reference!$C$28, IF(L3=Reference!$A$27, Reference!$C$27, IF(L3=Reference!$A$26, Reference!$C$26, IF(L3=Reference!$A$25, Reference!$C$25, 0))))</f>
        <v>7</v>
      </c>
      <c r="AB3" s="1" t="n">
        <f aca="false">IF(N3=Reference!$A$36, Reference!$C$36, IF(N3=Reference!$A$35, Reference!$C$35, IF(N3=Reference!$A$34, Reference!$C$34, IF(N3=Reference!$A$33, Reference!$C$33, 0))))</f>
        <v>1</v>
      </c>
      <c r="AC3" s="1" t="n">
        <f aca="false">(Reference!$B$2*Y3 + Reference!$B$3*AA3 + Reference!$B$4*Z3 + Reference!$B$5 * AB3)/4</f>
        <v>11.4375</v>
      </c>
      <c r="AD3" s="1" t="n">
        <f aca="false">IF(Q3=Reference!$C$41, Reference!$D$41, IF(Q3=Reference!$C$42, Reference!$D$42, IF(Q3=Reference!$C$43, Reference!$D$43, IF(Q3=Reference!$C$44, Reference!$D$44, 0))))</f>
        <v>7</v>
      </c>
      <c r="AE3" s="1" t="n">
        <f aca="false">1 + (AC3 * AD3)</f>
        <v>81.0625</v>
      </c>
      <c r="AF3" s="12" t="s">
        <v>350</v>
      </c>
    </row>
    <row r="4" customFormat="false" ht="150" hidden="false" customHeight="true" outlineLevel="0" collapsed="false">
      <c r="A4" s="10" t="s">
        <v>351</v>
      </c>
      <c r="B4" s="11" t="s">
        <v>323</v>
      </c>
      <c r="C4" s="12" t="s">
        <v>324</v>
      </c>
      <c r="D4" s="13" t="s">
        <v>352</v>
      </c>
      <c r="E4" s="14" t="s">
        <v>353</v>
      </c>
      <c r="F4" s="12" t="s">
        <v>100</v>
      </c>
      <c r="G4" s="12" t="s">
        <v>354</v>
      </c>
      <c r="H4" s="12" t="s">
        <v>76</v>
      </c>
      <c r="I4" s="14" t="s">
        <v>355</v>
      </c>
      <c r="J4" s="12" t="s">
        <v>76</v>
      </c>
      <c r="K4" s="15" t="s">
        <v>356</v>
      </c>
      <c r="L4" s="12" t="s">
        <v>76</v>
      </c>
      <c r="M4" s="15" t="s">
        <v>357</v>
      </c>
      <c r="N4" s="12" t="s">
        <v>41</v>
      </c>
      <c r="O4" s="14" t="s">
        <v>358</v>
      </c>
      <c r="P4" s="16" t="str">
        <f aca="false">IF(AC4&gt;=Reference!$H$2, Reference!$G$2, IF(AC4&gt;=Reference!$H$3, Reference!$G$3, IF(AC4&gt;=Reference!$H$4, Reference!$G$4, IF(AC4&gt;=Reference!$H$5, Reference!$G$5, ""))))</f>
        <v>Severe</v>
      </c>
      <c r="Q4" s="16" t="str">
        <f aca="false">IF(F4="Physical", "Very Low", IF(F4="Local", "Low", IF(F4="Adjacent", "Medium", IF(F4="Network", "High", ""))))</f>
        <v>High</v>
      </c>
      <c r="R4" s="16" t="str">
        <f aca="false">IF(AE4&gt;=Reference!$D$2, Reference!$E$2, IF(AE4&gt;=Reference!$D$3, Reference!$E$3, IF(AE4&gt;=Reference!$D$4, Reference!$E$4, IF(AE4&gt;=Reference!$D$5, Reference!$E$5, ""))))</f>
        <v>Critical</v>
      </c>
      <c r="S4" s="17" t="s">
        <v>46</v>
      </c>
      <c r="T4" s="14" t="s">
        <v>359</v>
      </c>
      <c r="U4" s="14" t="s">
        <v>360</v>
      </c>
      <c r="V4" s="14" t="s">
        <v>361</v>
      </c>
      <c r="W4" s="12" t="s">
        <v>362</v>
      </c>
      <c r="X4" s="18" t="str">
        <f aca="false">IFERROR(INDEX(Mapping!$F$2:$F$44,MATCH(ROW(),Mapping!$A$2:$A$44,0)),"")</f>
        <v>T116</v>
      </c>
      <c r="Y4" s="1" t="n">
        <f aca="false">IF(H4=Reference!$A$12, Reference!$C$12, IF(H4=Reference!$A$11, Reference!$C$11, IF(H4=Reference!$A$10, Reference!$C$10, IF(H4=Reference!$A$9, Reference!$C$9, 0))))</f>
        <v>10</v>
      </c>
      <c r="Z4" s="1" t="n">
        <f aca="false">IF(J4=Reference!$A$20, Reference!$C$20, IF(J4=Reference!$A$19, Reference!$C$19, IF(J4=Reference!$A$18, Reference!$C$18, IF(J4=Reference!$A$17, Reference!$C$17, 0))))</f>
        <v>10</v>
      </c>
      <c r="AA4" s="1" t="n">
        <f aca="false">IF(L4=Reference!$A$28, Reference!$C$28, IF(L4=Reference!$A$27, Reference!$C$27, IF(L4=Reference!$A$26, Reference!$C$26, IF(L4=Reference!$A$25, Reference!$C$25, 0))))</f>
        <v>10</v>
      </c>
      <c r="AB4" s="1" t="n">
        <f aca="false">IF(N4=Reference!$A$36, Reference!$C$36, IF(N4=Reference!$A$35, Reference!$C$35, IF(N4=Reference!$A$34, Reference!$C$34, IF(N4=Reference!$A$33, Reference!$C$33, 0))))</f>
        <v>4</v>
      </c>
      <c r="AC4" s="1" t="n">
        <f aca="false">(Reference!$B$2*Y4 + Reference!$B$3*AA4 + Reference!$B$4*Z4 + Reference!$B$5 * AB4)/4</f>
        <v>16.5</v>
      </c>
      <c r="AD4" s="1" t="n">
        <f aca="false">IF(Q4=Reference!$C$41, Reference!$D$41, IF(Q4=Reference!$C$42, Reference!$D$42, IF(Q4=Reference!$C$43, Reference!$D$43, IF(Q4=Reference!$C$44, Reference!$D$44, 0))))</f>
        <v>10</v>
      </c>
      <c r="AE4" s="1" t="n">
        <f aca="false">1 + (AC4 * AD4)</f>
        <v>166</v>
      </c>
      <c r="AF4" s="12" t="s">
        <v>363</v>
      </c>
    </row>
    <row r="5" customFormat="false" ht="150" hidden="false" customHeight="true" outlineLevel="0" collapsed="false">
      <c r="A5" s="10" t="s">
        <v>293</v>
      </c>
      <c r="B5" s="11" t="s">
        <v>33</v>
      </c>
      <c r="C5" s="12" t="s">
        <v>34</v>
      </c>
      <c r="D5" s="13" t="s">
        <v>294</v>
      </c>
      <c r="E5" s="14" t="s">
        <v>295</v>
      </c>
      <c r="F5" s="12" t="s">
        <v>100</v>
      </c>
      <c r="G5" s="12" t="s">
        <v>296</v>
      </c>
      <c r="H5" s="12" t="s">
        <v>76</v>
      </c>
      <c r="I5" s="14" t="s">
        <v>297</v>
      </c>
      <c r="J5" s="12" t="s">
        <v>76</v>
      </c>
      <c r="K5" s="15" t="s">
        <v>298</v>
      </c>
      <c r="L5" s="12" t="s">
        <v>76</v>
      </c>
      <c r="M5" s="15" t="s">
        <v>299</v>
      </c>
      <c r="N5" s="12" t="s">
        <v>39</v>
      </c>
      <c r="O5" s="14" t="s">
        <v>300</v>
      </c>
      <c r="P5" s="16" t="str">
        <f aca="false">IF(AC5&gt;=Reference!$H$2, Reference!$G$2, IF(AC5&gt;=Reference!$H$3, Reference!$G$3, IF(AC5&gt;=Reference!$H$4, Reference!$G$4, IF(AC5&gt;=Reference!$H$5, Reference!$G$5, ""))))</f>
        <v>Severe</v>
      </c>
      <c r="Q5" s="16" t="str">
        <f aca="false">IF(F5="Physical", "Very Low", IF(F5="Local", "Low", IF(F5="Adjacent", "Medium", IF(F5="Network", "High", ""))))</f>
        <v>High</v>
      </c>
      <c r="R5" s="16" t="str">
        <f aca="false">IF(AE5&gt;=Reference!$D$2, Reference!$E$2, IF(AE5&gt;=Reference!$D$3, Reference!$E$3, IF(AE5&gt;=Reference!$D$4, Reference!$E$4, IF(AE5&gt;=Reference!$D$5, Reference!$E$5, ""))))</f>
        <v>Critical</v>
      </c>
      <c r="S5" s="17" t="s">
        <v>46</v>
      </c>
      <c r="T5" s="14" t="s">
        <v>301</v>
      </c>
      <c r="U5" s="14" t="s">
        <v>302</v>
      </c>
      <c r="V5" s="14" t="s">
        <v>303</v>
      </c>
      <c r="W5" s="12" t="s">
        <v>109</v>
      </c>
      <c r="X5" s="18" t="str">
        <f aca="false">IFERROR(INDEX(Mapping!$F$2:$F$44,MATCH(ROW(),Mapping!$A$2:$A$44,0)),"")</f>
        <v>T208</v>
      </c>
      <c r="Y5" s="1" t="n">
        <f aca="false">IF(H5=Reference!$A$12, Reference!$C$12, IF(H5=Reference!$A$11, Reference!$C$11, IF(H5=Reference!$A$10, Reference!$C$10, IF(H5=Reference!$A$9, Reference!$C$9, 0))))</f>
        <v>10</v>
      </c>
      <c r="Z5" s="1" t="n">
        <f aca="false">IF(J5=Reference!$A$20, Reference!$C$20, IF(J5=Reference!$A$19, Reference!$C$19, IF(J5=Reference!$A$18, Reference!$C$18, IF(J5=Reference!$A$17, Reference!$C$17, 0))))</f>
        <v>10</v>
      </c>
      <c r="AA5" s="1" t="n">
        <f aca="false">IF(L5=Reference!$A$28, Reference!$C$28, IF(L5=Reference!$A$27, Reference!$C$27, IF(L5=Reference!$A$26, Reference!$C$26, IF(L5=Reference!$A$25, Reference!$C$25, 0))))</f>
        <v>10</v>
      </c>
      <c r="AB5" s="1" t="n">
        <f aca="false">IF(N5=Reference!$A$36, Reference!$C$36, IF(N5=Reference!$A$35, Reference!$C$35, IF(N5=Reference!$A$34, Reference!$C$34, IF(N5=Reference!$A$33, Reference!$C$33, 0))))</f>
        <v>7</v>
      </c>
      <c r="AC5" s="1" t="n">
        <f aca="false">(Reference!$B$2*Y5 + Reference!$B$3*AA5 + Reference!$B$4*Z5 + Reference!$B$5 * AB5)/4</f>
        <v>16.6875</v>
      </c>
      <c r="AD5" s="1" t="n">
        <f aca="false">IF(Q5=Reference!$C$41, Reference!$D$41, IF(Q5=Reference!$C$42, Reference!$D$42, IF(Q5=Reference!$C$43, Reference!$D$43, IF(Q5=Reference!$C$44, Reference!$D$44, 0))))</f>
        <v>10</v>
      </c>
      <c r="AE5" s="1" t="n">
        <f aca="false">1 + (AC5 * AD5)</f>
        <v>167.875</v>
      </c>
      <c r="AF5" s="12" t="s">
        <v>364</v>
      </c>
    </row>
    <row r="6" customFormat="false" ht="150" hidden="false" customHeight="true" outlineLevel="0" collapsed="false">
      <c r="A6" s="10" t="s">
        <v>124</v>
      </c>
      <c r="B6" s="11" t="s">
        <v>125</v>
      </c>
      <c r="C6" s="12" t="s">
        <v>126</v>
      </c>
      <c r="D6" s="13" t="s">
        <v>127</v>
      </c>
      <c r="E6" s="14" t="s">
        <v>128</v>
      </c>
      <c r="F6" s="12" t="s">
        <v>57</v>
      </c>
      <c r="G6" s="12" t="s">
        <v>129</v>
      </c>
      <c r="H6" s="12" t="s">
        <v>39</v>
      </c>
      <c r="I6" s="14" t="s">
        <v>130</v>
      </c>
      <c r="J6" s="12" t="s">
        <v>39</v>
      </c>
      <c r="K6" s="15" t="s">
        <v>131</v>
      </c>
      <c r="L6" s="12" t="s">
        <v>39</v>
      </c>
      <c r="M6" s="15" t="s">
        <v>132</v>
      </c>
      <c r="N6" s="12" t="s">
        <v>44</v>
      </c>
      <c r="O6" s="14" t="s">
        <v>133</v>
      </c>
      <c r="P6" s="16" t="str">
        <f aca="false">IF(AC6&gt;=Reference!$H$2, Reference!$G$2, IF(AC6&gt;=Reference!$H$3, Reference!$G$3, IF(AC6&gt;=Reference!$H$4, Reference!$G$4, IF(AC6&gt;=Reference!$H$5, Reference!$G$5, ""))))</f>
        <v>Severe</v>
      </c>
      <c r="Q6" s="16" t="str">
        <f aca="false">IF(F6="Physical", "Very Low", IF(F6="Local", "Low", IF(F6="Adjacent", "Medium", IF(F6="Network", "High", ""))))</f>
        <v>Very Low</v>
      </c>
      <c r="R6" s="16" t="str">
        <f aca="false">IF(AE6&gt;=Reference!$D$2, Reference!$E$2, IF(AE6&gt;=Reference!$D$3, Reference!$E$3, IF(AE6&gt;=Reference!$D$4, Reference!$E$4, IF(AE6&gt;=Reference!$D$5, Reference!$E$5, ""))))</f>
        <v>Low</v>
      </c>
      <c r="S6" s="17" t="s">
        <v>46</v>
      </c>
      <c r="T6" s="14" t="s">
        <v>134</v>
      </c>
      <c r="U6" s="14" t="s">
        <v>135</v>
      </c>
      <c r="V6" s="14" t="s">
        <v>136</v>
      </c>
      <c r="W6" s="12" t="s">
        <v>137</v>
      </c>
      <c r="X6" s="18" t="str">
        <f aca="false">IFERROR(INDEX(Mapping!$F$2:$F$44,MATCH(ROW(),Mapping!$A$2:$A$44,0)),"")</f>
        <v>T112</v>
      </c>
      <c r="Y6" s="1" t="n">
        <f aca="false">IF(H6=Reference!$A$12, Reference!$C$12, IF(H6=Reference!$A$11, Reference!$C$11, IF(H6=Reference!$A$10, Reference!$C$10, IF(H6=Reference!$A$9, Reference!$C$9, 0))))</f>
        <v>7</v>
      </c>
      <c r="Z6" s="1" t="n">
        <f aca="false">IF(J6=Reference!$A$20, Reference!$C$20, IF(J6=Reference!$A$19, Reference!$C$19, IF(J6=Reference!$A$18, Reference!$C$18, IF(J6=Reference!$A$17, Reference!$C$17, 0))))</f>
        <v>7</v>
      </c>
      <c r="AA6" s="1" t="n">
        <f aca="false">IF(L6=Reference!$A$28, Reference!$C$28, IF(L6=Reference!$A$27, Reference!$C$27, IF(L6=Reference!$A$26, Reference!$C$26, IF(L6=Reference!$A$25, Reference!$C$25, 0))))</f>
        <v>7</v>
      </c>
      <c r="AB6" s="1" t="n">
        <f aca="false">IF(N6=Reference!$A$36, Reference!$C$36, IF(N6=Reference!$A$35, Reference!$C$35, IF(N6=Reference!$A$34, Reference!$C$34, IF(N6=Reference!$A$33, Reference!$C$33, 0))))</f>
        <v>1</v>
      </c>
      <c r="AC6" s="1" t="n">
        <f aca="false">(Reference!$B$2*Y6 + Reference!$B$3*AA6 + Reference!$B$4*Z6 + Reference!$B$5 * AB6)/4</f>
        <v>11.4375</v>
      </c>
      <c r="AD6" s="1" t="n">
        <f aca="false">IF(Q6=Reference!$C$41, Reference!$D$41, IF(Q6=Reference!$C$42, Reference!$D$42, IF(Q6=Reference!$C$43, Reference!$D$43, IF(Q6=Reference!$C$44, Reference!$D$44, 0))))</f>
        <v>1</v>
      </c>
      <c r="AE6" s="1" t="n">
        <f aca="false">1 + (AC6 * AD6)</f>
        <v>12.4375</v>
      </c>
      <c r="AF6" s="12" t="s">
        <v>365</v>
      </c>
    </row>
    <row r="7" customFormat="false" ht="150" hidden="false" customHeight="true" outlineLevel="0" collapsed="false">
      <c r="A7" s="10" t="s">
        <v>140</v>
      </c>
      <c r="B7" s="11" t="s">
        <v>33</v>
      </c>
      <c r="C7" s="12" t="s">
        <v>34</v>
      </c>
      <c r="D7" s="13" t="s">
        <v>366</v>
      </c>
      <c r="E7" s="14" t="s">
        <v>367</v>
      </c>
      <c r="F7" s="12" t="s">
        <v>100</v>
      </c>
      <c r="G7" s="12" t="s">
        <v>368</v>
      </c>
      <c r="H7" s="12" t="s">
        <v>41</v>
      </c>
      <c r="I7" s="14" t="s">
        <v>369</v>
      </c>
      <c r="J7" s="12" t="s">
        <v>41</v>
      </c>
      <c r="K7" s="15" t="s">
        <v>370</v>
      </c>
      <c r="L7" s="12" t="s">
        <v>39</v>
      </c>
      <c r="M7" s="15" t="s">
        <v>371</v>
      </c>
      <c r="N7" s="12" t="s">
        <v>44</v>
      </c>
      <c r="O7" s="14" t="s">
        <v>372</v>
      </c>
      <c r="P7" s="16" t="str">
        <f aca="false">IF(AC7&gt;=Reference!$H$2, Reference!$G$2, IF(AC7&gt;=Reference!$H$3, Reference!$G$3, IF(AC7&gt;=Reference!$H$4, Reference!$G$4, IF(AC7&gt;=Reference!$H$5, Reference!$G$5, ""))))</f>
        <v>Major</v>
      </c>
      <c r="Q7" s="16" t="str">
        <f aca="false">IF(F7="Physical", "Very Low", IF(F7="Local", "Low", IF(F7="Adjacent", "Medium", IF(F7="Network", "High", ""))))</f>
        <v>High</v>
      </c>
      <c r="R7" s="16" t="str">
        <f aca="false">IF(AE7&gt;=Reference!$D$2, Reference!$E$2, IF(AE7&gt;=Reference!$D$3, Reference!$E$3, IF(AE7&gt;=Reference!$D$4, Reference!$E$4, IF(AE7&gt;=Reference!$D$5, Reference!$E$5, ""))))</f>
        <v>High</v>
      </c>
      <c r="S7" s="17" t="s">
        <v>46</v>
      </c>
      <c r="T7" s="14" t="s">
        <v>373</v>
      </c>
      <c r="U7" s="14" t="s">
        <v>374</v>
      </c>
      <c r="V7" s="14" t="s">
        <v>375</v>
      </c>
      <c r="W7" s="12" t="s">
        <v>376</v>
      </c>
      <c r="X7" s="18" t="str">
        <f aca="false">IFERROR(INDEX(Mapping!$F$2:$F$44,MATCH(ROW(),Mapping!$A$2:$A$44,0)),"")</f>
        <v>T131</v>
      </c>
      <c r="Y7" s="1" t="n">
        <f aca="false">IF(H7=Reference!$A$12, Reference!$C$12, IF(H7=Reference!$A$11, Reference!$C$11, IF(H7=Reference!$A$10, Reference!$C$10, IF(H7=Reference!$A$9, Reference!$C$9, 0))))</f>
        <v>4</v>
      </c>
      <c r="Z7" s="1" t="n">
        <f aca="false">IF(J7=Reference!$A$20, Reference!$C$20, IF(J7=Reference!$A$19, Reference!$C$19, IF(J7=Reference!$A$18, Reference!$C$18, IF(J7=Reference!$A$17, Reference!$C$17, 0))))</f>
        <v>4</v>
      </c>
      <c r="AA7" s="1" t="n">
        <f aca="false">IF(L7=Reference!$A$28, Reference!$C$28, IF(L7=Reference!$A$27, Reference!$C$27, IF(L7=Reference!$A$26, Reference!$C$26, IF(L7=Reference!$A$25, Reference!$C$25, 0))))</f>
        <v>7</v>
      </c>
      <c r="AB7" s="1" t="n">
        <f aca="false">IF(N7=Reference!$A$36, Reference!$C$36, IF(N7=Reference!$A$35, Reference!$C$35, IF(N7=Reference!$A$34, Reference!$C$34, IF(N7=Reference!$A$33, Reference!$C$33, 0))))</f>
        <v>1</v>
      </c>
      <c r="AC7" s="1" t="n">
        <f aca="false">(Reference!$B$2*Y7 + Reference!$B$3*AA7 + Reference!$B$4*Z7 + Reference!$B$5 * AB7)/4</f>
        <v>7.3125</v>
      </c>
      <c r="AD7" s="1" t="n">
        <f aca="false">IF(Q7=Reference!$C$41, Reference!$D$41, IF(Q7=Reference!$C$42, Reference!$D$42, IF(Q7=Reference!$C$43, Reference!$D$43, IF(Q7=Reference!$C$44, Reference!$D$44, 0))))</f>
        <v>10</v>
      </c>
      <c r="AE7" s="1" t="n">
        <f aca="false">1 + (AC7 * AD7)</f>
        <v>74.125</v>
      </c>
      <c r="AF7" s="12" t="s">
        <v>377</v>
      </c>
    </row>
    <row r="8" customFormat="false" ht="150" hidden="false" customHeight="true" outlineLevel="0" collapsed="false">
      <c r="A8" s="10" t="s">
        <v>190</v>
      </c>
      <c r="B8" s="11" t="s">
        <v>53</v>
      </c>
      <c r="C8" s="12" t="s">
        <v>54</v>
      </c>
      <c r="D8" s="13" t="s">
        <v>191</v>
      </c>
      <c r="E8" s="14" t="s">
        <v>192</v>
      </c>
      <c r="F8" s="12" t="s">
        <v>193</v>
      </c>
      <c r="G8" s="12" t="s">
        <v>194</v>
      </c>
      <c r="H8" s="12" t="s">
        <v>39</v>
      </c>
      <c r="I8" s="14" t="s">
        <v>195</v>
      </c>
      <c r="J8" s="12" t="s">
        <v>41</v>
      </c>
      <c r="K8" s="15" t="s">
        <v>196</v>
      </c>
      <c r="L8" s="12" t="s">
        <v>39</v>
      </c>
      <c r="M8" s="15" t="s">
        <v>197</v>
      </c>
      <c r="N8" s="12" t="s">
        <v>44</v>
      </c>
      <c r="O8" s="14" t="s">
        <v>198</v>
      </c>
      <c r="P8" s="16" t="str">
        <f aca="false">IF(AC8&gt;=Reference!$H$2, Reference!$G$2, IF(AC8&gt;=Reference!$H$3, Reference!$G$3, IF(AC8&gt;=Reference!$H$4, Reference!$G$4, IF(AC8&gt;=Reference!$H$5, Reference!$G$5, ""))))</f>
        <v>Severe</v>
      </c>
      <c r="Q8" s="16" t="str">
        <f aca="false">IF(F8="Physical", "Very Low", IF(F8="Local", "Low", IF(F8="Adjacent", "Medium", IF(F8="Network", "High", ""))))</f>
        <v>Low</v>
      </c>
      <c r="R8" s="16" t="str">
        <f aca="false">IF(AE8&gt;=Reference!$D$2, Reference!$E$2, IF(AE8&gt;=Reference!$D$3, Reference!$E$3, IF(AE8&gt;=Reference!$D$4, Reference!$E$4, IF(AE8&gt;=Reference!$D$5, Reference!$E$5, ""))))</f>
        <v>Medium</v>
      </c>
      <c r="S8" s="17" t="s">
        <v>46</v>
      </c>
      <c r="T8" s="14" t="s">
        <v>199</v>
      </c>
      <c r="U8" s="14" t="s">
        <v>200</v>
      </c>
      <c r="V8" s="14" t="s">
        <v>201</v>
      </c>
      <c r="W8" s="12" t="s">
        <v>66</v>
      </c>
      <c r="X8" s="18" t="str">
        <f aca="false">IFERROR(INDEX(Mapping!$F$2:$F$44,MATCH(ROW(),Mapping!$A$2:$A$44,0)),"")</f>
        <v>T164</v>
      </c>
      <c r="Y8" s="1" t="n">
        <f aca="false">IF(H8=Reference!$A$12, Reference!$C$12, IF(H8=Reference!$A$11, Reference!$C$11, IF(H8=Reference!$A$10, Reference!$C$10, IF(H8=Reference!$A$9, Reference!$C$9, 0))))</f>
        <v>7</v>
      </c>
      <c r="Z8" s="1" t="n">
        <f aca="false">IF(J8=Reference!$A$20, Reference!$C$20, IF(J8=Reference!$A$19, Reference!$C$19, IF(J8=Reference!$A$18, Reference!$C$18, IF(J8=Reference!$A$17, Reference!$C$17, 0))))</f>
        <v>4</v>
      </c>
      <c r="AA8" s="1" t="n">
        <f aca="false">IF(L8=Reference!$A$28, Reference!$C$28, IF(L8=Reference!$A$27, Reference!$C$27, IF(L8=Reference!$A$26, Reference!$C$26, IF(L8=Reference!$A$25, Reference!$C$25, 0))))</f>
        <v>7</v>
      </c>
      <c r="AB8" s="1" t="n">
        <f aca="false">IF(N8=Reference!$A$36, Reference!$C$36, IF(N8=Reference!$A$35, Reference!$C$35, IF(N8=Reference!$A$34, Reference!$C$34, IF(N8=Reference!$A$33, Reference!$C$33, 0))))</f>
        <v>1</v>
      </c>
      <c r="AC8" s="1" t="n">
        <f aca="false">(Reference!$B$2*Y8 + Reference!$B$3*AA8 + Reference!$B$4*Z8 + Reference!$B$5 * AB8)/4</f>
        <v>11.0625</v>
      </c>
      <c r="AD8" s="1" t="n">
        <f aca="false">IF(Q8=Reference!$C$41, Reference!$D$41, IF(Q8=Reference!$C$42, Reference!$D$42, IF(Q8=Reference!$C$43, Reference!$D$43, IF(Q8=Reference!$C$44, Reference!$D$44, 0))))</f>
        <v>4</v>
      </c>
      <c r="AE8" s="1" t="n">
        <f aca="false">1 + (AC8 * AD8)</f>
        <v>45.25</v>
      </c>
      <c r="AF8" s="12" t="s">
        <v>378</v>
      </c>
    </row>
    <row r="9" customFormat="false" ht="150" hidden="false" customHeight="true" outlineLevel="0" collapsed="false">
      <c r="A9" s="10" t="s">
        <v>379</v>
      </c>
      <c r="B9" s="11" t="s">
        <v>307</v>
      </c>
      <c r="C9" s="12" t="s">
        <v>308</v>
      </c>
      <c r="D9" s="13" t="s">
        <v>380</v>
      </c>
      <c r="E9" s="14" t="s">
        <v>381</v>
      </c>
      <c r="F9" s="12" t="s">
        <v>37</v>
      </c>
      <c r="G9" s="12" t="s">
        <v>382</v>
      </c>
      <c r="H9" s="12" t="s">
        <v>44</v>
      </c>
      <c r="I9" s="14" t="s">
        <v>383</v>
      </c>
      <c r="J9" s="12" t="s">
        <v>39</v>
      </c>
      <c r="K9" s="15" t="s">
        <v>384</v>
      </c>
      <c r="L9" s="12" t="s">
        <v>41</v>
      </c>
      <c r="M9" s="15" t="s">
        <v>385</v>
      </c>
      <c r="N9" s="12" t="s">
        <v>44</v>
      </c>
      <c r="O9" s="14" t="s">
        <v>386</v>
      </c>
      <c r="P9" s="16" t="str">
        <f aca="false">IF(AC9&gt;=Reference!$H$2, Reference!$G$2, IF(AC9&gt;=Reference!$H$3, Reference!$G$3, IF(AC9&gt;=Reference!$H$4, Reference!$G$4, IF(AC9&gt;=Reference!$H$5, Reference!$G$5, ""))))</f>
        <v>Moderate</v>
      </c>
      <c r="Q9" s="16" t="str">
        <f aca="false">IF(F9="Physical", "Very Low", IF(F9="Local", "Low", IF(F9="Adjacent", "Medium", IF(F9="Network", "High", ""))))</f>
        <v>Medium</v>
      </c>
      <c r="R9" s="16" t="str">
        <f aca="false">IF(AE9&gt;=Reference!$D$2, Reference!$E$2, IF(AE9&gt;=Reference!$D$3, Reference!$E$3, IF(AE9&gt;=Reference!$D$4, Reference!$E$4, IF(AE9&gt;=Reference!$D$5, Reference!$E$5, ""))))</f>
        <v>Medium</v>
      </c>
      <c r="S9" s="17" t="s">
        <v>46</v>
      </c>
      <c r="T9" s="14" t="s">
        <v>387</v>
      </c>
      <c r="U9" s="14" t="s">
        <v>388</v>
      </c>
      <c r="V9" s="14" t="s">
        <v>389</v>
      </c>
      <c r="W9" s="12" t="s">
        <v>390</v>
      </c>
      <c r="X9" s="18" t="str">
        <f aca="false">IFERROR(INDEX(Mapping!$F$2:$F$44,MATCH(ROW(),Mapping!$A$2:$A$44,0)),"")</f>
        <v>T117</v>
      </c>
      <c r="Y9" s="1" t="n">
        <f aca="false">IF(H9=Reference!$A$12, Reference!$C$12, IF(H9=Reference!$A$11, Reference!$C$11, IF(H9=Reference!$A$10, Reference!$C$10, IF(H9=Reference!$A$9, Reference!$C$9, 0))))</f>
        <v>1</v>
      </c>
      <c r="Z9" s="1" t="n">
        <f aca="false">IF(J9=Reference!$A$20, Reference!$C$20, IF(J9=Reference!$A$19, Reference!$C$19, IF(J9=Reference!$A$18, Reference!$C$18, IF(J9=Reference!$A$17, Reference!$C$17, 0))))</f>
        <v>7</v>
      </c>
      <c r="AA9" s="1" t="n">
        <f aca="false">IF(L9=Reference!$A$28, Reference!$C$28, IF(L9=Reference!$A$27, Reference!$C$27, IF(L9=Reference!$A$26, Reference!$C$26, IF(L9=Reference!$A$25, Reference!$C$25, 0))))</f>
        <v>4</v>
      </c>
      <c r="AB9" s="1" t="n">
        <f aca="false">IF(N9=Reference!$A$36, Reference!$C$36, IF(N9=Reference!$A$35, Reference!$C$35, IF(N9=Reference!$A$34, Reference!$C$34, IF(N9=Reference!$A$33, Reference!$C$33, 0))))</f>
        <v>1</v>
      </c>
      <c r="AC9" s="1" t="n">
        <f aca="false">(Reference!$B$2*Y9 + Reference!$B$3*AA9 + Reference!$B$4*Z9 + Reference!$B$5 * AB9)/4</f>
        <v>3.1875</v>
      </c>
      <c r="AD9" s="1" t="n">
        <f aca="false">IF(Q9=Reference!$C$41, Reference!$D$41, IF(Q9=Reference!$C$42, Reference!$D$42, IF(Q9=Reference!$C$43, Reference!$D$43, IF(Q9=Reference!$C$44, Reference!$D$44, 0))))</f>
        <v>7</v>
      </c>
      <c r="AE9" s="1" t="n">
        <f aca="false">1 + (AC9 * AD9)</f>
        <v>23.3125</v>
      </c>
      <c r="AF9" s="12" t="s">
        <v>391</v>
      </c>
    </row>
    <row r="10" customFormat="false" ht="150" hidden="false" customHeight="true" outlineLevel="0" collapsed="false">
      <c r="A10" s="10" t="s">
        <v>392</v>
      </c>
      <c r="B10" s="11" t="s">
        <v>33</v>
      </c>
      <c r="C10" s="12" t="s">
        <v>34</v>
      </c>
      <c r="D10" s="13" t="s">
        <v>393</v>
      </c>
      <c r="E10" s="14" t="s">
        <v>36</v>
      </c>
      <c r="F10" s="12" t="s">
        <v>37</v>
      </c>
      <c r="G10" s="12" t="s">
        <v>38</v>
      </c>
      <c r="H10" s="12" t="s">
        <v>39</v>
      </c>
      <c r="I10" s="14" t="s">
        <v>40</v>
      </c>
      <c r="J10" s="12" t="s">
        <v>41</v>
      </c>
      <c r="K10" s="15" t="s">
        <v>42</v>
      </c>
      <c r="L10" s="12" t="s">
        <v>39</v>
      </c>
      <c r="M10" s="15" t="s">
        <v>43</v>
      </c>
      <c r="N10" s="12" t="s">
        <v>44</v>
      </c>
      <c r="O10" s="14" t="s">
        <v>45</v>
      </c>
      <c r="P10" s="16" t="str">
        <f aca="false">IF(AC10&gt;=Reference!$H$2, Reference!$G$2, IF(AC10&gt;=Reference!$H$3, Reference!$G$3, IF(AC10&gt;=Reference!$H$4, Reference!$G$4, IF(AC10&gt;=Reference!$H$5, Reference!$G$5, ""))))</f>
        <v>Severe</v>
      </c>
      <c r="Q10" s="16" t="str">
        <f aca="false">IF(F10="Physical", "Very Low", IF(F10="Local", "Low", IF(F10="Adjacent", "Medium", IF(F10="Network", "High", ""))))</f>
        <v>Medium</v>
      </c>
      <c r="R10" s="16" t="str">
        <f aca="false">IF(AE10&gt;=Reference!$D$2, Reference!$E$2, IF(AE10&gt;=Reference!$D$3, Reference!$E$3, IF(AE10&gt;=Reference!$D$4, Reference!$E$4, IF(AE10&gt;=Reference!$D$5, Reference!$E$5, ""))))</f>
        <v>High</v>
      </c>
      <c r="S10" s="17" t="s">
        <v>46</v>
      </c>
      <c r="T10" s="14" t="s">
        <v>47</v>
      </c>
      <c r="U10" s="14" t="s">
        <v>48</v>
      </c>
      <c r="V10" s="14" t="s">
        <v>49</v>
      </c>
      <c r="W10" s="12" t="s">
        <v>50</v>
      </c>
      <c r="X10" s="18" t="str">
        <f aca="false">IFERROR(INDEX(Mapping!$F$2:$F$44,MATCH(ROW(),Mapping!$A$2:$A$44,0)),"")</f>
        <v>T011</v>
      </c>
      <c r="Y10" s="1" t="n">
        <f aca="false">IF(H10=Reference!$A$12, Reference!$C$12, IF(H10=Reference!$A$11, Reference!$C$11, IF(H10=Reference!$A$10, Reference!$C$10, IF(H10=Reference!$A$9, Reference!$C$9, 0))))</f>
        <v>7</v>
      </c>
      <c r="Z10" s="1" t="n">
        <f aca="false">IF(J10=Reference!$A$20, Reference!$C$20, IF(J10=Reference!$A$19, Reference!$C$19, IF(J10=Reference!$A$18, Reference!$C$18, IF(J10=Reference!$A$17, Reference!$C$17, 0))))</f>
        <v>4</v>
      </c>
      <c r="AA10" s="1" t="n">
        <f aca="false">IF(L10=Reference!$A$28, Reference!$C$28, IF(L10=Reference!$A$27, Reference!$C$27, IF(L10=Reference!$A$26, Reference!$C$26, IF(L10=Reference!$A$25, Reference!$C$25, 0))))</f>
        <v>7</v>
      </c>
      <c r="AB10" s="1" t="n">
        <f aca="false">IF(N10=Reference!$A$36, Reference!$C$36, IF(N10=Reference!$A$35, Reference!$C$35, IF(N10=Reference!$A$34, Reference!$C$34, IF(N10=Reference!$A$33, Reference!$C$33, 0))))</f>
        <v>1</v>
      </c>
      <c r="AC10" s="1" t="n">
        <f aca="false">(Reference!$B$2*Y10 + Reference!$B$3*AA10 + Reference!$B$4*Z10 + Reference!$B$5 * AB10)/4</f>
        <v>11.0625</v>
      </c>
      <c r="AD10" s="1" t="n">
        <f aca="false">IF(Q10=Reference!$C$41, Reference!$D$41, IF(Q10=Reference!$C$42, Reference!$D$42, IF(Q10=Reference!$C$43, Reference!$D$43, IF(Q10=Reference!$C$44, Reference!$D$44, 0))))</f>
        <v>7</v>
      </c>
      <c r="AE10" s="1" t="n">
        <f aca="false">1 + (AC10 * AD10)</f>
        <v>78.4375</v>
      </c>
      <c r="AF10" s="12" t="s">
        <v>394</v>
      </c>
    </row>
    <row r="11" customFormat="false" ht="150" hidden="false" customHeight="true" outlineLevel="0" collapsed="false">
      <c r="A11" s="10" t="s">
        <v>395</v>
      </c>
      <c r="B11" s="11" t="s">
        <v>33</v>
      </c>
      <c r="C11" s="12" t="s">
        <v>34</v>
      </c>
      <c r="D11" s="13" t="s">
        <v>396</v>
      </c>
      <c r="E11" s="14" t="s">
        <v>397</v>
      </c>
      <c r="F11" s="12" t="s">
        <v>57</v>
      </c>
      <c r="G11" s="12" t="s">
        <v>398</v>
      </c>
      <c r="H11" s="12" t="s">
        <v>39</v>
      </c>
      <c r="I11" s="14" t="s">
        <v>399</v>
      </c>
      <c r="J11" s="12" t="s">
        <v>41</v>
      </c>
      <c r="K11" s="15" t="s">
        <v>400</v>
      </c>
      <c r="L11" s="12" t="s">
        <v>39</v>
      </c>
      <c r="M11" s="15" t="s">
        <v>401</v>
      </c>
      <c r="N11" s="12" t="s">
        <v>44</v>
      </c>
      <c r="O11" s="14" t="s">
        <v>372</v>
      </c>
      <c r="P11" s="16" t="str">
        <f aca="false">IF(AC11&gt;=Reference!$H$2, Reference!$G$2, IF(AC11&gt;=Reference!$H$3, Reference!$G$3, IF(AC11&gt;=Reference!$H$4, Reference!$G$4, IF(AC11&gt;=Reference!$H$5, Reference!$G$5, ""))))</f>
        <v>Severe</v>
      </c>
      <c r="Q11" s="16" t="str">
        <f aca="false">IF(F11="Physical", "Very Low", IF(F11="Local", "Low", IF(F11="Adjacent", "Medium", IF(F11="Network", "High", ""))))</f>
        <v>Very Low</v>
      </c>
      <c r="R11" s="16" t="str">
        <f aca="false">IF(AE11&gt;=Reference!$D$2, Reference!$E$2, IF(AE11&gt;=Reference!$D$3, Reference!$E$3, IF(AE11&gt;=Reference!$D$4, Reference!$E$4, IF(AE11&gt;=Reference!$D$5, Reference!$E$5, ""))))</f>
        <v>Low</v>
      </c>
      <c r="S11" s="17" t="s">
        <v>46</v>
      </c>
      <c r="T11" s="14" t="s">
        <v>402</v>
      </c>
      <c r="U11" s="14" t="s">
        <v>403</v>
      </c>
      <c r="V11" s="14" t="s">
        <v>404</v>
      </c>
      <c r="W11" s="12" t="s">
        <v>66</v>
      </c>
      <c r="X11" s="18" t="str">
        <f aca="false">IFERROR(INDEX(Mapping!$F$2:$F$44,MATCH(ROW(),Mapping!$A$2:$A$44,0)),"")</f>
        <v>T016</v>
      </c>
      <c r="Y11" s="1" t="n">
        <f aca="false">IF(H11=Reference!$A$12, Reference!$C$12, IF(H11=Reference!$A$11, Reference!$C$11, IF(H11=Reference!$A$10, Reference!$C$10, IF(H11=Reference!$A$9, Reference!$C$9, 0))))</f>
        <v>7</v>
      </c>
      <c r="Z11" s="1" t="n">
        <f aca="false">IF(J11=Reference!$A$20, Reference!$C$20, IF(J11=Reference!$A$19, Reference!$C$19, IF(J11=Reference!$A$18, Reference!$C$18, IF(J11=Reference!$A$17, Reference!$C$17, 0))))</f>
        <v>4</v>
      </c>
      <c r="AA11" s="1" t="n">
        <f aca="false">IF(L11=Reference!$A$28, Reference!$C$28, IF(L11=Reference!$A$27, Reference!$C$27, IF(L11=Reference!$A$26, Reference!$C$26, IF(L11=Reference!$A$25, Reference!$C$25, 0))))</f>
        <v>7</v>
      </c>
      <c r="AB11" s="1" t="n">
        <f aca="false">IF(N11=Reference!$A$36, Reference!$C$36, IF(N11=Reference!$A$35, Reference!$C$35, IF(N11=Reference!$A$34, Reference!$C$34, IF(N11=Reference!$A$33, Reference!$C$33, 0))))</f>
        <v>1</v>
      </c>
      <c r="AC11" s="1" t="n">
        <f aca="false">(Reference!$B$2*Y11 + Reference!$B$3*AA11 + Reference!$B$4*Z11 + Reference!$B$5 * AB11)/4</f>
        <v>11.0625</v>
      </c>
      <c r="AD11" s="1" t="n">
        <f aca="false">IF(Q11=Reference!$C$41, Reference!$D$41, IF(Q11=Reference!$C$42, Reference!$D$42, IF(Q11=Reference!$C$43, Reference!$D$43, IF(Q11=Reference!$C$44, Reference!$D$44, 0))))</f>
        <v>1</v>
      </c>
      <c r="AE11" s="1" t="n">
        <f aca="false">1 + (AC11 * AD11)</f>
        <v>12.0625</v>
      </c>
      <c r="AF11" s="12" t="s">
        <v>405</v>
      </c>
    </row>
    <row r="12" customFormat="false" ht="150" hidden="false" customHeight="true" outlineLevel="0" collapsed="false">
      <c r="A12" s="10" t="s">
        <v>406</v>
      </c>
      <c r="B12" s="11" t="s">
        <v>33</v>
      </c>
      <c r="C12" s="12" t="s">
        <v>34</v>
      </c>
      <c r="D12" s="13" t="s">
        <v>407</v>
      </c>
      <c r="E12" s="14" t="s">
        <v>408</v>
      </c>
      <c r="F12" s="12" t="s">
        <v>57</v>
      </c>
      <c r="G12" s="12" t="s">
        <v>409</v>
      </c>
      <c r="H12" s="12" t="s">
        <v>39</v>
      </c>
      <c r="I12" s="14" t="s">
        <v>410</v>
      </c>
      <c r="J12" s="12" t="s">
        <v>41</v>
      </c>
      <c r="K12" s="15" t="s">
        <v>411</v>
      </c>
      <c r="L12" s="12" t="s">
        <v>39</v>
      </c>
      <c r="M12" s="15" t="s">
        <v>412</v>
      </c>
      <c r="N12" s="12" t="s">
        <v>44</v>
      </c>
      <c r="O12" s="14" t="s">
        <v>372</v>
      </c>
      <c r="P12" s="16" t="str">
        <f aca="false">IF(AC12&gt;=Reference!$H$2, Reference!$G$2, IF(AC12&gt;=Reference!$H$3, Reference!$G$3, IF(AC12&gt;=Reference!$H$4, Reference!$G$4, IF(AC12&gt;=Reference!$H$5, Reference!$G$5, ""))))</f>
        <v>Severe</v>
      </c>
      <c r="Q12" s="16" t="str">
        <f aca="false">IF(F12="Physical", "Very Low", IF(F12="Local", "Low", IF(F12="Adjacent", "Medium", IF(F12="Network", "High", ""))))</f>
        <v>Very Low</v>
      </c>
      <c r="R12" s="16" t="str">
        <f aca="false">IF(AE12&gt;=Reference!$D$2, Reference!$E$2, IF(AE12&gt;=Reference!$D$3, Reference!$E$3, IF(AE12&gt;=Reference!$D$4, Reference!$E$4, IF(AE12&gt;=Reference!$D$5, Reference!$E$5, ""))))</f>
        <v>Low</v>
      </c>
      <c r="S12" s="17" t="s">
        <v>46</v>
      </c>
      <c r="T12" s="14" t="s">
        <v>413</v>
      </c>
      <c r="U12" s="14" t="s">
        <v>414</v>
      </c>
      <c r="V12" s="14" t="s">
        <v>415</v>
      </c>
      <c r="W12" s="12" t="s">
        <v>66</v>
      </c>
      <c r="X12" s="18" t="str">
        <f aca="false">IFERROR(INDEX(Mapping!$F$2:$F$44,MATCH(ROW(),Mapping!$A$2:$A$44,0)),"")</f>
        <v>T031</v>
      </c>
      <c r="Y12" s="1" t="n">
        <f aca="false">IF(H12=Reference!$A$12, Reference!$C$12, IF(H12=Reference!$A$11, Reference!$C$11, IF(H12=Reference!$A$10, Reference!$C$10, IF(H12=Reference!$A$9, Reference!$C$9, 0))))</f>
        <v>7</v>
      </c>
      <c r="Z12" s="1" t="n">
        <f aca="false">IF(J12=Reference!$A$20, Reference!$C$20, IF(J12=Reference!$A$19, Reference!$C$19, IF(J12=Reference!$A$18, Reference!$C$18, IF(J12=Reference!$A$17, Reference!$C$17, 0))))</f>
        <v>4</v>
      </c>
      <c r="AA12" s="1" t="n">
        <f aca="false">IF(L12=Reference!$A$28, Reference!$C$28, IF(L12=Reference!$A$27, Reference!$C$27, IF(L12=Reference!$A$26, Reference!$C$26, IF(L12=Reference!$A$25, Reference!$C$25, 0))))</f>
        <v>7</v>
      </c>
      <c r="AB12" s="1" t="n">
        <f aca="false">IF(N12=Reference!$A$36, Reference!$C$36, IF(N12=Reference!$A$35, Reference!$C$35, IF(N12=Reference!$A$34, Reference!$C$34, IF(N12=Reference!$A$33, Reference!$C$33, 0))))</f>
        <v>1</v>
      </c>
      <c r="AC12" s="1" t="n">
        <f aca="false">(Reference!$B$2*Y12 + Reference!$B$3*AA12 + Reference!$B$4*Z12 + Reference!$B$5 * AB12)/4</f>
        <v>11.0625</v>
      </c>
      <c r="AD12" s="1" t="n">
        <f aca="false">IF(Q12=Reference!$C$41, Reference!$D$41, IF(Q12=Reference!$C$42, Reference!$D$42, IF(Q12=Reference!$C$43, Reference!$D$43, IF(Q12=Reference!$C$44, Reference!$D$44, 0))))</f>
        <v>1</v>
      </c>
      <c r="AE12" s="1" t="n">
        <f aca="false">1 + (AC12 * AD12)</f>
        <v>12.0625</v>
      </c>
      <c r="AF12" s="12" t="s">
        <v>416</v>
      </c>
    </row>
    <row r="13" customFormat="false" ht="150" hidden="false" customHeight="true" outlineLevel="0" collapsed="false">
      <c r="A13" s="10" t="s">
        <v>217</v>
      </c>
      <c r="B13" s="11" t="s">
        <v>33</v>
      </c>
      <c r="C13" s="12" t="s">
        <v>34</v>
      </c>
      <c r="D13" s="13" t="s">
        <v>417</v>
      </c>
      <c r="E13" s="14" t="s">
        <v>418</v>
      </c>
      <c r="F13" s="12" t="s">
        <v>100</v>
      </c>
      <c r="G13" s="12" t="s">
        <v>419</v>
      </c>
      <c r="H13" s="12" t="s">
        <v>39</v>
      </c>
      <c r="I13" s="14" t="s">
        <v>420</v>
      </c>
      <c r="J13" s="12" t="s">
        <v>39</v>
      </c>
      <c r="K13" s="15" t="s">
        <v>421</v>
      </c>
      <c r="L13" s="12" t="s">
        <v>39</v>
      </c>
      <c r="M13" s="15" t="s">
        <v>422</v>
      </c>
      <c r="N13" s="12" t="s">
        <v>39</v>
      </c>
      <c r="O13" s="14" t="s">
        <v>423</v>
      </c>
      <c r="P13" s="16" t="str">
        <f aca="false">IF(AC13&gt;=Reference!$H$2, Reference!$G$2, IF(AC13&gt;=Reference!$H$3, Reference!$G$3, IF(AC13&gt;=Reference!$H$4, Reference!$G$4, IF(AC13&gt;=Reference!$H$5, Reference!$G$5, ""))))</f>
        <v>Severe</v>
      </c>
      <c r="Q13" s="16" t="str">
        <f aca="false">IF(F13="Physical", "Very Low", IF(F13="Local", "Low", IF(F13="Adjacent", "Medium", IF(F13="Network", "High", ""))))</f>
        <v>High</v>
      </c>
      <c r="R13" s="16" t="str">
        <f aca="false">IF(AE13&gt;=Reference!$D$2, Reference!$E$2, IF(AE13&gt;=Reference!$D$3, Reference!$E$3, IF(AE13&gt;=Reference!$D$4, Reference!$E$4, IF(AE13&gt;=Reference!$D$5, Reference!$E$5, ""))))</f>
        <v>Critical</v>
      </c>
      <c r="S13" s="17" t="s">
        <v>46</v>
      </c>
      <c r="T13" s="14" t="s">
        <v>424</v>
      </c>
      <c r="U13" s="14" t="s">
        <v>425</v>
      </c>
      <c r="V13" s="14" t="s">
        <v>426</v>
      </c>
      <c r="W13" s="12" t="s">
        <v>427</v>
      </c>
      <c r="X13" s="18" t="str">
        <f aca="false">IFERROR(INDEX(Mapping!$F$2:$F$44,MATCH(ROW(),Mapping!$A$2:$A$44,0)),"")</f>
        <v>T190</v>
      </c>
      <c r="Y13" s="1" t="n">
        <f aca="false">IF(H13=Reference!$A$12, Reference!$C$12, IF(H13=Reference!$A$11, Reference!$C$11, IF(H13=Reference!$A$10, Reference!$C$10, IF(H13=Reference!$A$9, Reference!$C$9, 0))))</f>
        <v>7</v>
      </c>
      <c r="Z13" s="1" t="n">
        <f aca="false">IF(J13=Reference!$A$20, Reference!$C$20, IF(J13=Reference!$A$19, Reference!$C$19, IF(J13=Reference!$A$18, Reference!$C$18, IF(J13=Reference!$A$17, Reference!$C$17, 0))))</f>
        <v>7</v>
      </c>
      <c r="AA13" s="1" t="n">
        <f aca="false">IF(L13=Reference!$A$28, Reference!$C$28, IF(L13=Reference!$A$27, Reference!$C$27, IF(L13=Reference!$A$26, Reference!$C$26, IF(L13=Reference!$A$25, Reference!$C$25, 0))))</f>
        <v>7</v>
      </c>
      <c r="AB13" s="1" t="n">
        <f aca="false">IF(N13=Reference!$A$36, Reference!$C$36, IF(N13=Reference!$A$35, Reference!$C$35, IF(N13=Reference!$A$34, Reference!$C$34, IF(N13=Reference!$A$33, Reference!$C$33, 0))))</f>
        <v>7</v>
      </c>
      <c r="AC13" s="1" t="n">
        <f aca="false">(Reference!$B$2*Y13 + Reference!$B$3*AA13 + Reference!$B$4*Z13 + Reference!$B$5 * AB13)/4</f>
        <v>11.8125</v>
      </c>
      <c r="AD13" s="1" t="n">
        <f aca="false">IF(Q13=Reference!$C$41, Reference!$D$41, IF(Q13=Reference!$C$42, Reference!$D$42, IF(Q13=Reference!$C$43, Reference!$D$43, IF(Q13=Reference!$C$44, Reference!$D$44, 0))))</f>
        <v>10</v>
      </c>
      <c r="AE13" s="1" t="n">
        <f aca="false">1 + (AC13 * AD13)</f>
        <v>119.125</v>
      </c>
      <c r="AF13" s="12" t="s">
        <v>428</v>
      </c>
    </row>
    <row r="14" customFormat="false" ht="150" hidden="false" customHeight="true" outlineLevel="0" collapsed="false">
      <c r="A14" s="10" t="s">
        <v>267</v>
      </c>
      <c r="B14" s="11" t="s">
        <v>125</v>
      </c>
      <c r="C14" s="12" t="s">
        <v>126</v>
      </c>
      <c r="D14" s="13" t="s">
        <v>268</v>
      </c>
      <c r="E14" s="14" t="s">
        <v>269</v>
      </c>
      <c r="F14" s="12" t="s">
        <v>100</v>
      </c>
      <c r="G14" s="12" t="s">
        <v>270</v>
      </c>
      <c r="H14" s="12" t="s">
        <v>44</v>
      </c>
      <c r="I14" s="14" t="s">
        <v>233</v>
      </c>
      <c r="J14" s="12" t="s">
        <v>39</v>
      </c>
      <c r="K14" s="15" t="s">
        <v>271</v>
      </c>
      <c r="L14" s="12" t="s">
        <v>41</v>
      </c>
      <c r="M14" s="15" t="s">
        <v>272</v>
      </c>
      <c r="N14" s="12" t="s">
        <v>76</v>
      </c>
      <c r="O14" s="14" t="s">
        <v>273</v>
      </c>
      <c r="P14" s="16" t="str">
        <f aca="false">IF(AC14&gt;=Reference!$H$2, Reference!$G$2, IF(AC14&gt;=Reference!$H$3, Reference!$G$3, IF(AC14&gt;=Reference!$H$4, Reference!$G$4, IF(AC14&gt;=Reference!$H$5, Reference!$G$5, ""))))</f>
        <v>Moderate</v>
      </c>
      <c r="Q14" s="16" t="str">
        <f aca="false">IF(F14="Physical", "Very Low", IF(F14="Local", "Low", IF(F14="Adjacent", "Medium", IF(F14="Network", "High", ""))))</f>
        <v>High</v>
      </c>
      <c r="R14" s="16" t="str">
        <f aca="false">IF(AE14&gt;=Reference!$D$2, Reference!$E$2, IF(AE14&gt;=Reference!$D$3, Reference!$E$3, IF(AE14&gt;=Reference!$D$4, Reference!$E$4, IF(AE14&gt;=Reference!$D$5, Reference!$E$5, ""))))</f>
        <v>Medium</v>
      </c>
      <c r="S14" s="17" t="s">
        <v>46</v>
      </c>
      <c r="T14" s="14" t="s">
        <v>274</v>
      </c>
      <c r="U14" s="14" t="s">
        <v>275</v>
      </c>
      <c r="V14" s="14" t="s">
        <v>276</v>
      </c>
      <c r="W14" s="12" t="s">
        <v>277</v>
      </c>
      <c r="X14" s="18" t="str">
        <f aca="false">IFERROR(INDEX(Mapping!$F$2:$F$44,MATCH(ROW(),Mapping!$A$2:$A$44,0)),"")</f>
        <v>T187</v>
      </c>
      <c r="Y14" s="1" t="n">
        <f aca="false">IF(H14=Reference!$A$12, Reference!$C$12, IF(H14=Reference!$A$11, Reference!$C$11, IF(H14=Reference!$A$10, Reference!$C$10, IF(H14=Reference!$A$9, Reference!$C$9, 0))))</f>
        <v>1</v>
      </c>
      <c r="Z14" s="1" t="n">
        <f aca="false">IF(J14=Reference!$A$20, Reference!$C$20, IF(J14=Reference!$A$19, Reference!$C$19, IF(J14=Reference!$A$18, Reference!$C$18, IF(J14=Reference!$A$17, Reference!$C$17, 0))))</f>
        <v>7</v>
      </c>
      <c r="AA14" s="1" t="n">
        <f aca="false">IF(L14=Reference!$A$28, Reference!$C$28, IF(L14=Reference!$A$27, Reference!$C$27, IF(L14=Reference!$A$26, Reference!$C$26, IF(L14=Reference!$A$25, Reference!$C$25, 0))))</f>
        <v>4</v>
      </c>
      <c r="AB14" s="1" t="n">
        <f aca="false">IF(N14=Reference!$A$36, Reference!$C$36, IF(N14=Reference!$A$35, Reference!$C$35, IF(N14=Reference!$A$34, Reference!$C$34, IF(N14=Reference!$A$33, Reference!$C$33, 0))))</f>
        <v>10</v>
      </c>
      <c r="AC14" s="1" t="n">
        <f aca="false">(Reference!$B$2*Y14 + Reference!$B$3*AA14 + Reference!$B$4*Z14 + Reference!$B$5 * AB14)/4</f>
        <v>3.75</v>
      </c>
      <c r="AD14" s="1" t="n">
        <f aca="false">IF(Q14=Reference!$C$41, Reference!$D$41, IF(Q14=Reference!$C$42, Reference!$D$42, IF(Q14=Reference!$C$43, Reference!$D$43, IF(Q14=Reference!$C$44, Reference!$D$44, 0))))</f>
        <v>10</v>
      </c>
      <c r="AE14" s="1" t="n">
        <f aca="false">1 + (AC14 * AD14)</f>
        <v>38.5</v>
      </c>
      <c r="AF14" s="12" t="s">
        <v>429</v>
      </c>
    </row>
    <row r="15" customFormat="false" ht="150" hidden="false" customHeight="true" outlineLevel="0" collapsed="false">
      <c r="A15" s="10" t="s">
        <v>32</v>
      </c>
      <c r="B15" s="11" t="s">
        <v>69</v>
      </c>
      <c r="C15" s="12" t="s">
        <v>70</v>
      </c>
      <c r="D15" s="13" t="s">
        <v>71</v>
      </c>
      <c r="E15" s="14" t="s">
        <v>72</v>
      </c>
      <c r="F15" s="12" t="s">
        <v>57</v>
      </c>
      <c r="G15" s="12" t="s">
        <v>73</v>
      </c>
      <c r="H15" s="12" t="s">
        <v>39</v>
      </c>
      <c r="I15" s="14" t="s">
        <v>74</v>
      </c>
      <c r="J15" s="12" t="s">
        <v>41</v>
      </c>
      <c r="K15" s="15" t="s">
        <v>75</v>
      </c>
      <c r="L15" s="12" t="s">
        <v>76</v>
      </c>
      <c r="M15" s="15" t="s">
        <v>77</v>
      </c>
      <c r="N15" s="12" t="s">
        <v>44</v>
      </c>
      <c r="O15" s="14" t="s">
        <v>78</v>
      </c>
      <c r="P15" s="16" t="str">
        <f aca="false">IF(AC15&gt;=Reference!$H$2, Reference!$G$2, IF(AC15&gt;=Reference!$H$3, Reference!$G$3, IF(AC15&gt;=Reference!$H$4, Reference!$G$4, IF(AC15&gt;=Reference!$H$5, Reference!$G$5, ""))))</f>
        <v>Severe</v>
      </c>
      <c r="Q15" s="16" t="str">
        <f aca="false">IF(F15="Physical", "Very Low", IF(F15="Local", "Low", IF(F15="Adjacent", "Medium", IF(F15="Network", "High", ""))))</f>
        <v>Very Low</v>
      </c>
      <c r="R15" s="16" t="str">
        <f aca="false">IF(AE15&gt;=Reference!$D$2, Reference!$E$2, IF(AE15&gt;=Reference!$D$3, Reference!$E$3, IF(AE15&gt;=Reference!$D$4, Reference!$E$4, IF(AE15&gt;=Reference!$D$5, Reference!$E$5, ""))))</f>
        <v>Low</v>
      </c>
      <c r="S15" s="17" t="s">
        <v>46</v>
      </c>
      <c r="T15" s="14" t="s">
        <v>79</v>
      </c>
      <c r="U15" s="14" t="s">
        <v>80</v>
      </c>
      <c r="V15" s="14" t="s">
        <v>81</v>
      </c>
      <c r="W15" s="12" t="s">
        <v>82</v>
      </c>
      <c r="X15" s="18" t="str">
        <f aca="false">IFERROR(INDEX(Mapping!$F$2:$F$44,MATCH(ROW(),Mapping!$A$2:$A$44,0)),"")</f>
        <v>T003</v>
      </c>
      <c r="Y15" s="1" t="n">
        <f aca="false">IF(H15=Reference!$A$12, Reference!$C$12, IF(H15=Reference!$A$11, Reference!$C$11, IF(H15=Reference!$A$10, Reference!$C$10, IF(H15=Reference!$A$9, Reference!$C$9, 0))))</f>
        <v>7</v>
      </c>
      <c r="Z15" s="1" t="n">
        <f aca="false">IF(J15=Reference!$A$20, Reference!$C$20, IF(J15=Reference!$A$19, Reference!$C$19, IF(J15=Reference!$A$18, Reference!$C$18, IF(J15=Reference!$A$17, Reference!$C$17, 0))))</f>
        <v>4</v>
      </c>
      <c r="AA15" s="1" t="n">
        <f aca="false">IF(L15=Reference!$A$28, Reference!$C$28, IF(L15=Reference!$A$27, Reference!$C$27, IF(L15=Reference!$A$26, Reference!$C$26, IF(L15=Reference!$A$25, Reference!$C$25, 0))))</f>
        <v>10</v>
      </c>
      <c r="AB15" s="1" t="n">
        <f aca="false">IF(N15=Reference!$A$36, Reference!$C$36, IF(N15=Reference!$A$35, Reference!$C$35, IF(N15=Reference!$A$34, Reference!$C$34, IF(N15=Reference!$A$33, Reference!$C$33, 0))))</f>
        <v>1</v>
      </c>
      <c r="AC15" s="1" t="n">
        <f aca="false">(Reference!$B$2*Y15 + Reference!$B$3*AA15 + Reference!$B$4*Z15 + Reference!$B$5 * AB15)/4</f>
        <v>11.8125</v>
      </c>
      <c r="AD15" s="1" t="n">
        <f aca="false">IF(Q15=Reference!$C$41, Reference!$D$41, IF(Q15=Reference!$C$42, Reference!$D$42, IF(Q15=Reference!$C$43, Reference!$D$43, IF(Q15=Reference!$C$44, Reference!$D$44, 0))))</f>
        <v>1</v>
      </c>
      <c r="AE15" s="1" t="n">
        <f aca="false">1 + (AC15 * AD15)</f>
        <v>12.8125</v>
      </c>
      <c r="AF15" s="12" t="s">
        <v>430</v>
      </c>
    </row>
    <row r="16" customFormat="false" ht="150" hidden="false" customHeight="true" outlineLevel="0" collapsed="false">
      <c r="A16" s="10" t="s">
        <v>140</v>
      </c>
      <c r="B16" s="11" t="s">
        <v>69</v>
      </c>
      <c r="C16" s="12" t="s">
        <v>70</v>
      </c>
      <c r="D16" s="13" t="s">
        <v>152</v>
      </c>
      <c r="E16" s="14" t="s">
        <v>153</v>
      </c>
      <c r="F16" s="12" t="s">
        <v>100</v>
      </c>
      <c r="G16" s="12" t="s">
        <v>154</v>
      </c>
      <c r="H16" s="12" t="s">
        <v>39</v>
      </c>
      <c r="I16" s="14" t="s">
        <v>155</v>
      </c>
      <c r="J16" s="12" t="s">
        <v>41</v>
      </c>
      <c r="K16" s="15" t="s">
        <v>156</v>
      </c>
      <c r="L16" s="12" t="s">
        <v>76</v>
      </c>
      <c r="M16" s="15" t="s">
        <v>157</v>
      </c>
      <c r="N16" s="12" t="s">
        <v>44</v>
      </c>
      <c r="O16" s="14" t="s">
        <v>62</v>
      </c>
      <c r="P16" s="16" t="str">
        <f aca="false">IF(AC16&gt;=Reference!$H$2, Reference!$G$2, IF(AC16&gt;=Reference!$H$3, Reference!$G$3, IF(AC16&gt;=Reference!$H$4, Reference!$G$4, IF(AC16&gt;=Reference!$H$5, Reference!$G$5, ""))))</f>
        <v>Severe</v>
      </c>
      <c r="Q16" s="16" t="str">
        <f aca="false">IF(F16="Physical", "Very Low", IF(F16="Local", "Low", IF(F16="Adjacent", "Medium", IF(F16="Network", "High", ""))))</f>
        <v>High</v>
      </c>
      <c r="R16" s="16" t="str">
        <f aca="false">IF(AE16&gt;=Reference!$D$2, Reference!$E$2, IF(AE16&gt;=Reference!$D$3, Reference!$E$3, IF(AE16&gt;=Reference!$D$4, Reference!$E$4, IF(AE16&gt;=Reference!$D$5, Reference!$E$5, ""))))</f>
        <v>Critical</v>
      </c>
      <c r="S16" s="17" t="s">
        <v>46</v>
      </c>
      <c r="T16" s="14" t="s">
        <v>158</v>
      </c>
      <c r="U16" s="14" t="s">
        <v>159</v>
      </c>
      <c r="V16" s="14" t="s">
        <v>160</v>
      </c>
      <c r="W16" s="12" t="s">
        <v>161</v>
      </c>
      <c r="X16" s="18" t="str">
        <f aca="false">IFERROR(INDEX(Mapping!$F$2:$F$44,MATCH(ROW(),Mapping!$A$2:$A$44,0)),"")</f>
        <v>T132</v>
      </c>
      <c r="Y16" s="1" t="n">
        <f aca="false">IF(H16=Reference!$A$12, Reference!$C$12, IF(H16=Reference!$A$11, Reference!$C$11, IF(H16=Reference!$A$10, Reference!$C$10, IF(H16=Reference!$A$9, Reference!$C$9, 0))))</f>
        <v>7</v>
      </c>
      <c r="Z16" s="1" t="n">
        <f aca="false">IF(J16=Reference!$A$20, Reference!$C$20, IF(J16=Reference!$A$19, Reference!$C$19, IF(J16=Reference!$A$18, Reference!$C$18, IF(J16=Reference!$A$17, Reference!$C$17, 0))))</f>
        <v>4</v>
      </c>
      <c r="AA16" s="1" t="n">
        <f aca="false">IF(L16=Reference!$A$28, Reference!$C$28, IF(L16=Reference!$A$27, Reference!$C$27, IF(L16=Reference!$A$26, Reference!$C$26, IF(L16=Reference!$A$25, Reference!$C$25, 0))))</f>
        <v>10</v>
      </c>
      <c r="AB16" s="1" t="n">
        <f aca="false">IF(N16=Reference!$A$36, Reference!$C$36, IF(N16=Reference!$A$35, Reference!$C$35, IF(N16=Reference!$A$34, Reference!$C$34, IF(N16=Reference!$A$33, Reference!$C$33, 0))))</f>
        <v>1</v>
      </c>
      <c r="AC16" s="1" t="n">
        <f aca="false">(Reference!$B$2*Y16 + Reference!$B$3*AA16 + Reference!$B$4*Z16 + Reference!$B$5 * AB16)/4</f>
        <v>11.8125</v>
      </c>
      <c r="AD16" s="1" t="n">
        <f aca="false">IF(Q16=Reference!$C$41, Reference!$D$41, IF(Q16=Reference!$C$42, Reference!$D$42, IF(Q16=Reference!$C$43, Reference!$D$43, IF(Q16=Reference!$C$44, Reference!$D$44, 0))))</f>
        <v>10</v>
      </c>
      <c r="AE16" s="1" t="n">
        <f aca="false">1 + (AC16 * AD16)</f>
        <v>119.125</v>
      </c>
      <c r="AF16" s="12" t="s">
        <v>431</v>
      </c>
    </row>
    <row r="17" customFormat="false" ht="150" hidden="false" customHeight="true" outlineLevel="0" collapsed="false">
      <c r="A17" s="10" t="s">
        <v>280</v>
      </c>
      <c r="B17" s="11" t="s">
        <v>69</v>
      </c>
      <c r="C17" s="12" t="s">
        <v>70</v>
      </c>
      <c r="D17" s="13" t="s">
        <v>281</v>
      </c>
      <c r="E17" s="14" t="s">
        <v>282</v>
      </c>
      <c r="F17" s="12" t="s">
        <v>100</v>
      </c>
      <c r="G17" s="12" t="s">
        <v>283</v>
      </c>
      <c r="H17" s="12" t="s">
        <v>41</v>
      </c>
      <c r="I17" s="14" t="s">
        <v>284</v>
      </c>
      <c r="J17" s="12" t="s">
        <v>41</v>
      </c>
      <c r="K17" s="15" t="s">
        <v>285</v>
      </c>
      <c r="L17" s="12" t="s">
        <v>76</v>
      </c>
      <c r="M17" s="15" t="s">
        <v>286</v>
      </c>
      <c r="N17" s="12" t="s">
        <v>44</v>
      </c>
      <c r="O17" s="14" t="s">
        <v>62</v>
      </c>
      <c r="P17" s="16" t="str">
        <f aca="false">IF(AC17&gt;=Reference!$H$2, Reference!$G$2, IF(AC17&gt;=Reference!$H$3, Reference!$G$3, IF(AC17&gt;=Reference!$H$4, Reference!$G$4, IF(AC17&gt;=Reference!$H$5, Reference!$G$5, ""))))</f>
        <v>Major</v>
      </c>
      <c r="Q17" s="16" t="str">
        <f aca="false">IF(F17="Physical", "Very Low", IF(F17="Local", "Low", IF(F17="Adjacent", "Medium", IF(F17="Network", "High", ""))))</f>
        <v>High</v>
      </c>
      <c r="R17" s="16" t="str">
        <f aca="false">IF(AE17&gt;=Reference!$D$2, Reference!$E$2, IF(AE17&gt;=Reference!$D$3, Reference!$E$3, IF(AE17&gt;=Reference!$D$4, Reference!$E$4, IF(AE17&gt;=Reference!$D$5, Reference!$E$5, ""))))</f>
        <v>High</v>
      </c>
      <c r="S17" s="17" t="s">
        <v>46</v>
      </c>
      <c r="T17" s="14" t="s">
        <v>287</v>
      </c>
      <c r="U17" s="14" t="s">
        <v>288</v>
      </c>
      <c r="V17" s="14" t="s">
        <v>289</v>
      </c>
      <c r="W17" s="12" t="s">
        <v>290</v>
      </c>
      <c r="X17" s="18" t="str">
        <f aca="false">IFERROR(INDEX(Mapping!$F$2:$F$44,MATCH(ROW(),Mapping!$A$2:$A$44,0)),"")</f>
        <v>T189</v>
      </c>
      <c r="Y17" s="1" t="n">
        <f aca="false">IF(H17=Reference!$A$12, Reference!$C$12, IF(H17=Reference!$A$11, Reference!$C$11, IF(H17=Reference!$A$10, Reference!$C$10, IF(H17=Reference!$A$9, Reference!$C$9, 0))))</f>
        <v>4</v>
      </c>
      <c r="Z17" s="1" t="n">
        <f aca="false">IF(J17=Reference!$A$20, Reference!$C$20, IF(J17=Reference!$A$19, Reference!$C$19, IF(J17=Reference!$A$18, Reference!$C$18, IF(J17=Reference!$A$17, Reference!$C$17, 0))))</f>
        <v>4</v>
      </c>
      <c r="AA17" s="1" t="n">
        <f aca="false">IF(L17=Reference!$A$28, Reference!$C$28, IF(L17=Reference!$A$27, Reference!$C$27, IF(L17=Reference!$A$26, Reference!$C$26, IF(L17=Reference!$A$25, Reference!$C$25, 0))))</f>
        <v>10</v>
      </c>
      <c r="AB17" s="1" t="n">
        <f aca="false">IF(N17=Reference!$A$36, Reference!$C$36, IF(N17=Reference!$A$35, Reference!$C$35, IF(N17=Reference!$A$34, Reference!$C$34, IF(N17=Reference!$A$33, Reference!$C$33, 0))))</f>
        <v>1</v>
      </c>
      <c r="AC17" s="1" t="n">
        <f aca="false">(Reference!$B$2*Y17 + Reference!$B$3*AA17 + Reference!$B$4*Z17 + Reference!$B$5 * AB17)/4</f>
        <v>8.0625</v>
      </c>
      <c r="AD17" s="1" t="n">
        <f aca="false">IF(Q17=Reference!$C$41, Reference!$D$41, IF(Q17=Reference!$C$42, Reference!$D$42, IF(Q17=Reference!$C$43, Reference!$D$43, IF(Q17=Reference!$C$44, Reference!$D$44, 0))))</f>
        <v>10</v>
      </c>
      <c r="AE17" s="1" t="n">
        <f aca="false">1 + (AC17 * AD17)</f>
        <v>81.625</v>
      </c>
      <c r="AF17" s="12" t="s">
        <v>432</v>
      </c>
    </row>
    <row r="18" customFormat="false" ht="150" hidden="false" customHeight="true" outlineLevel="0" collapsed="false">
      <c r="A18" s="10" t="s">
        <v>433</v>
      </c>
      <c r="B18" s="11" t="s">
        <v>53</v>
      </c>
      <c r="C18" s="12" t="s">
        <v>54</v>
      </c>
      <c r="D18" s="13" t="s">
        <v>434</v>
      </c>
      <c r="E18" s="14" t="s">
        <v>435</v>
      </c>
      <c r="F18" s="12" t="s">
        <v>37</v>
      </c>
      <c r="G18" s="12" t="s">
        <v>88</v>
      </c>
      <c r="H18" s="12" t="s">
        <v>39</v>
      </c>
      <c r="I18" s="14" t="s">
        <v>436</v>
      </c>
      <c r="J18" s="12" t="s">
        <v>41</v>
      </c>
      <c r="K18" s="15" t="s">
        <v>437</v>
      </c>
      <c r="L18" s="12" t="s">
        <v>76</v>
      </c>
      <c r="M18" s="15" t="s">
        <v>438</v>
      </c>
      <c r="N18" s="12" t="s">
        <v>44</v>
      </c>
      <c r="O18" s="14" t="s">
        <v>62</v>
      </c>
      <c r="P18" s="16" t="str">
        <f aca="false">IF(AC18&gt;=Reference!$H$2, Reference!$G$2, IF(AC18&gt;=Reference!$H$3, Reference!$G$3, IF(AC18&gt;=Reference!$H$4, Reference!$G$4, IF(AC18&gt;=Reference!$H$5, Reference!$G$5, ""))))</f>
        <v>Severe</v>
      </c>
      <c r="Q18" s="16" t="str">
        <f aca="false">IF(F18="Physical", "Very Low", IF(F18="Local", "Low", IF(F18="Adjacent", "Medium", IF(F18="Network", "High", ""))))</f>
        <v>Medium</v>
      </c>
      <c r="R18" s="16" t="str">
        <f aca="false">IF(AE18&gt;=Reference!$D$2, Reference!$E$2, IF(AE18&gt;=Reference!$D$3, Reference!$E$3, IF(AE18&gt;=Reference!$D$4, Reference!$E$4, IF(AE18&gt;=Reference!$D$5, Reference!$E$5, ""))))</f>
        <v>High</v>
      </c>
      <c r="S18" s="17" t="s">
        <v>46</v>
      </c>
      <c r="T18" s="14" t="s">
        <v>439</v>
      </c>
      <c r="U18" s="14" t="s">
        <v>440</v>
      </c>
      <c r="V18" s="14" t="s">
        <v>441</v>
      </c>
      <c r="W18" s="12" t="s">
        <v>66</v>
      </c>
      <c r="X18" s="18" t="str">
        <f aca="false">IFERROR(INDEX(Mapping!$F$2:$F$44,MATCH(ROW(),Mapping!$A$2:$A$44,0)),"")</f>
        <v>T014</v>
      </c>
      <c r="Y18" s="1" t="n">
        <f aca="false">IF(H18=Reference!$A$12, Reference!$C$12, IF(H18=Reference!$A$11, Reference!$C$11, IF(H18=Reference!$A$10, Reference!$C$10, IF(H18=Reference!$A$9, Reference!$C$9, 0))))</f>
        <v>7</v>
      </c>
      <c r="Z18" s="1" t="n">
        <f aca="false">IF(J18=Reference!$A$20, Reference!$C$20, IF(J18=Reference!$A$19, Reference!$C$19, IF(J18=Reference!$A$18, Reference!$C$18, IF(J18=Reference!$A$17, Reference!$C$17, 0))))</f>
        <v>4</v>
      </c>
      <c r="AA18" s="1" t="n">
        <f aca="false">IF(L18=Reference!$A$28, Reference!$C$28, IF(L18=Reference!$A$27, Reference!$C$27, IF(L18=Reference!$A$26, Reference!$C$26, IF(L18=Reference!$A$25, Reference!$C$25, 0))))</f>
        <v>10</v>
      </c>
      <c r="AB18" s="1" t="n">
        <f aca="false">IF(N18=Reference!$A$36, Reference!$C$36, IF(N18=Reference!$A$35, Reference!$C$35, IF(N18=Reference!$A$34, Reference!$C$34, IF(N18=Reference!$A$33, Reference!$C$33, 0))))</f>
        <v>1</v>
      </c>
      <c r="AC18" s="1" t="n">
        <f aca="false">(Reference!$B$2*Y18 + Reference!$B$3*AA18 + Reference!$B$4*Z18 + Reference!$B$5 * AB18)/4</f>
        <v>11.8125</v>
      </c>
      <c r="AD18" s="1" t="n">
        <f aca="false">IF(Q18=Reference!$C$41, Reference!$D$41, IF(Q18=Reference!$C$42, Reference!$D$42, IF(Q18=Reference!$C$43, Reference!$D$43, IF(Q18=Reference!$C$44, Reference!$D$44, 0))))</f>
        <v>7</v>
      </c>
      <c r="AE18" s="1" t="n">
        <f aca="false">1 + (AC18 * AD18)</f>
        <v>83.6875</v>
      </c>
      <c r="AF18" s="12" t="s">
        <v>442</v>
      </c>
    </row>
    <row r="19" customFormat="false" ht="150" hidden="false" customHeight="true" outlineLevel="0" collapsed="false">
      <c r="A19" s="10" t="s">
        <v>443</v>
      </c>
      <c r="B19" s="11" t="s">
        <v>125</v>
      </c>
      <c r="C19" s="12" t="s">
        <v>126</v>
      </c>
      <c r="D19" s="13" t="s">
        <v>444</v>
      </c>
      <c r="E19" s="14" t="s">
        <v>445</v>
      </c>
      <c r="F19" s="12" t="s">
        <v>100</v>
      </c>
      <c r="G19" s="12" t="s">
        <v>446</v>
      </c>
      <c r="H19" s="12" t="s">
        <v>44</v>
      </c>
      <c r="I19" s="14" t="s">
        <v>447</v>
      </c>
      <c r="J19" s="12" t="s">
        <v>39</v>
      </c>
      <c r="K19" s="15" t="s">
        <v>448</v>
      </c>
      <c r="L19" s="12" t="s">
        <v>39</v>
      </c>
      <c r="M19" s="15" t="s">
        <v>449</v>
      </c>
      <c r="N19" s="12" t="s">
        <v>41</v>
      </c>
      <c r="O19" s="14" t="s">
        <v>450</v>
      </c>
      <c r="P19" s="16" t="str">
        <f aca="false">IF(AC19&gt;=Reference!$H$2, Reference!$G$2, IF(AC19&gt;=Reference!$H$3, Reference!$G$3, IF(AC19&gt;=Reference!$H$4, Reference!$G$4, IF(AC19&gt;=Reference!$H$5, Reference!$G$5, ""))))</f>
        <v>Moderate</v>
      </c>
      <c r="Q19" s="16" t="str">
        <f aca="false">IF(F19="Physical", "Very Low", IF(F19="Local", "Low", IF(F19="Adjacent", "Medium", IF(F19="Network", "High", ""))))</f>
        <v>High</v>
      </c>
      <c r="R19" s="16" t="str">
        <f aca="false">IF(AE19&gt;=Reference!$D$2, Reference!$E$2, IF(AE19&gt;=Reference!$D$3, Reference!$E$3, IF(AE19&gt;=Reference!$D$4, Reference!$E$4, IF(AE19&gt;=Reference!$D$5, Reference!$E$5, ""))))</f>
        <v>Medium</v>
      </c>
      <c r="S19" s="17" t="s">
        <v>46</v>
      </c>
      <c r="T19" s="14" t="s">
        <v>451</v>
      </c>
      <c r="U19" s="14" t="s">
        <v>452</v>
      </c>
      <c r="V19" s="14" t="s">
        <v>453</v>
      </c>
      <c r="W19" s="12" t="s">
        <v>454</v>
      </c>
      <c r="X19" s="18" t="str">
        <f aca="false">IFERROR(INDEX(Mapping!$F$2:$F$44,MATCH(ROW(),Mapping!$A$2:$A$44,0)),"")</f>
        <v>not in model</v>
      </c>
      <c r="Y19" s="1" t="n">
        <f aca="false">IF(H19=Reference!$A$12, Reference!$C$12, IF(H19=Reference!$A$11, Reference!$C$11, IF(H19=Reference!$A$10, Reference!$C$10, IF(H19=Reference!$A$9, Reference!$C$9, 0))))</f>
        <v>1</v>
      </c>
      <c r="Z19" s="1" t="n">
        <f aca="false">IF(J19=Reference!$A$20, Reference!$C$20, IF(J19=Reference!$A$19, Reference!$C$19, IF(J19=Reference!$A$18, Reference!$C$18, IF(J19=Reference!$A$17, Reference!$C$17, 0))))</f>
        <v>7</v>
      </c>
      <c r="AA19" s="1" t="n">
        <f aca="false">IF(L19=Reference!$A$28, Reference!$C$28, IF(L19=Reference!$A$27, Reference!$C$27, IF(L19=Reference!$A$26, Reference!$C$26, IF(L19=Reference!$A$25, Reference!$C$25, 0))))</f>
        <v>7</v>
      </c>
      <c r="AB19" s="1" t="n">
        <f aca="false">IF(N19=Reference!$A$36, Reference!$C$36, IF(N19=Reference!$A$35, Reference!$C$35, IF(N19=Reference!$A$34, Reference!$C$34, IF(N19=Reference!$A$33, Reference!$C$33, 0))))</f>
        <v>4</v>
      </c>
      <c r="AC19" s="1" t="n">
        <f aca="false">(Reference!$B$2*Y19 + Reference!$B$3*AA19 + Reference!$B$4*Z19 + Reference!$B$5 * AB19)/4</f>
        <v>4.125</v>
      </c>
      <c r="AD19" s="1" t="n">
        <f aca="false">IF(Q19=Reference!$C$41, Reference!$D$41, IF(Q19=Reference!$C$42, Reference!$D$42, IF(Q19=Reference!$C$43, Reference!$D$43, IF(Q19=Reference!$C$44, Reference!$D$44, 0))))</f>
        <v>10</v>
      </c>
      <c r="AE19" s="1" t="n">
        <f aca="false">1 + (AC19 * AD19)</f>
        <v>42.25</v>
      </c>
      <c r="AF19" s="12" t="s">
        <v>455</v>
      </c>
    </row>
    <row r="20" customFormat="false" ht="150" hidden="false" customHeight="true" outlineLevel="0" collapsed="false">
      <c r="A20" s="10" t="s">
        <v>456</v>
      </c>
      <c r="B20" s="11" t="s">
        <v>307</v>
      </c>
      <c r="C20" s="12" t="s">
        <v>457</v>
      </c>
      <c r="D20" s="13" t="s">
        <v>458</v>
      </c>
      <c r="E20" s="14" t="s">
        <v>459</v>
      </c>
      <c r="F20" s="12" t="s">
        <v>100</v>
      </c>
      <c r="G20" s="12" t="s">
        <v>460</v>
      </c>
      <c r="H20" s="12" t="s">
        <v>44</v>
      </c>
      <c r="I20" s="14" t="s">
        <v>312</v>
      </c>
      <c r="J20" s="12" t="s">
        <v>39</v>
      </c>
      <c r="K20" s="15" t="s">
        <v>461</v>
      </c>
      <c r="L20" s="12" t="s">
        <v>41</v>
      </c>
      <c r="M20" s="15" t="s">
        <v>462</v>
      </c>
      <c r="N20" s="12" t="s">
        <v>44</v>
      </c>
      <c r="O20" s="14" t="s">
        <v>463</v>
      </c>
      <c r="P20" s="16" t="str">
        <f aca="false">IF(AC20&gt;=Reference!$H$2, Reference!$G$2, IF(AC20&gt;=Reference!$H$3, Reference!$G$3, IF(AC20&gt;=Reference!$H$4, Reference!$G$4, IF(AC20&gt;=Reference!$H$5, Reference!$G$5, ""))))</f>
        <v>Moderate</v>
      </c>
      <c r="Q20" s="16" t="str">
        <f aca="false">IF(F20="Physical", "Very Low", IF(F20="Local", "Low", IF(F20="Adjacent", "Medium", IF(F20="Network", "High", ""))))</f>
        <v>High</v>
      </c>
      <c r="R20" s="16" t="str">
        <f aca="false">IF(AE20&gt;=Reference!$D$2, Reference!$E$2, IF(AE20&gt;=Reference!$D$3, Reference!$E$3, IF(AE20&gt;=Reference!$D$4, Reference!$E$4, IF(AE20&gt;=Reference!$D$5, Reference!$E$5, ""))))</f>
        <v>Medium</v>
      </c>
      <c r="S20" s="17" t="s">
        <v>46</v>
      </c>
      <c r="T20" s="14" t="s">
        <v>464</v>
      </c>
      <c r="U20" s="14" t="s">
        <v>465</v>
      </c>
      <c r="V20" s="14" t="s">
        <v>466</v>
      </c>
      <c r="W20" s="12" t="s">
        <v>390</v>
      </c>
      <c r="X20" s="18" t="str">
        <f aca="false">IFERROR(INDEX(Mapping!$F$2:$F$44,MATCH(ROW(),Mapping!$A$2:$A$44,0)),"")</f>
        <v>T033</v>
      </c>
      <c r="Y20" s="1" t="n">
        <f aca="false">IF(H20=Reference!$A$12, Reference!$C$12, IF(H20=Reference!$A$11, Reference!$C$11, IF(H20=Reference!$A$10, Reference!$C$10, IF(H20=Reference!$A$9, Reference!$C$9, 0))))</f>
        <v>1</v>
      </c>
      <c r="Z20" s="1" t="n">
        <f aca="false">IF(J20=Reference!$A$20, Reference!$C$20, IF(J20=Reference!$A$19, Reference!$C$19, IF(J20=Reference!$A$18, Reference!$C$18, IF(J20=Reference!$A$17, Reference!$C$17, 0))))</f>
        <v>7</v>
      </c>
      <c r="AA20" s="1" t="n">
        <f aca="false">IF(L20=Reference!$A$28, Reference!$C$28, IF(L20=Reference!$A$27, Reference!$C$27, IF(L20=Reference!$A$26, Reference!$C$26, IF(L20=Reference!$A$25, Reference!$C$25, 0))))</f>
        <v>4</v>
      </c>
      <c r="AB20" s="1" t="n">
        <f aca="false">IF(N20=Reference!$A$36, Reference!$C$36, IF(N20=Reference!$A$35, Reference!$C$35, IF(N20=Reference!$A$34, Reference!$C$34, IF(N20=Reference!$A$33, Reference!$C$33, 0))))</f>
        <v>1</v>
      </c>
      <c r="AC20" s="1" t="n">
        <f aca="false">(Reference!$B$2*Y20 + Reference!$B$3*AA20 + Reference!$B$4*Z20 + Reference!$B$5 * AB20)/4</f>
        <v>3.1875</v>
      </c>
      <c r="AD20" s="1" t="n">
        <f aca="false">IF(Q20=Reference!$C$41, Reference!$D$41, IF(Q20=Reference!$C$42, Reference!$D$42, IF(Q20=Reference!$C$43, Reference!$D$43, IF(Q20=Reference!$C$44, Reference!$D$44, 0))))</f>
        <v>10</v>
      </c>
      <c r="AE20" s="1" t="n">
        <f aca="false">1 + (AC20 * AD20)</f>
        <v>32.875</v>
      </c>
      <c r="AF20" s="12" t="s">
        <v>467</v>
      </c>
    </row>
    <row r="21" customFormat="false" ht="150" hidden="false" customHeight="true" outlineLevel="0" collapsed="false">
      <c r="A21" s="10" t="s">
        <v>468</v>
      </c>
      <c r="B21" s="11" t="s">
        <v>323</v>
      </c>
      <c r="C21" s="12" t="s">
        <v>324</v>
      </c>
      <c r="D21" s="13" t="s">
        <v>469</v>
      </c>
      <c r="E21" s="14" t="s">
        <v>470</v>
      </c>
      <c r="F21" s="12" t="s">
        <v>193</v>
      </c>
      <c r="G21" s="12" t="s">
        <v>471</v>
      </c>
      <c r="H21" s="12" t="s">
        <v>76</v>
      </c>
      <c r="I21" s="14" t="s">
        <v>472</v>
      </c>
      <c r="J21" s="12" t="s">
        <v>39</v>
      </c>
      <c r="K21" s="15" t="s">
        <v>473</v>
      </c>
      <c r="L21" s="12" t="s">
        <v>76</v>
      </c>
      <c r="M21" s="15" t="s">
        <v>474</v>
      </c>
      <c r="N21" s="12" t="s">
        <v>41</v>
      </c>
      <c r="O21" s="14" t="s">
        <v>475</v>
      </c>
      <c r="P21" s="16" t="str">
        <f aca="false">IF(AC21&gt;=Reference!$H$2, Reference!$G$2, IF(AC21&gt;=Reference!$H$3, Reference!$G$3, IF(AC21&gt;=Reference!$H$4, Reference!$G$4, IF(AC21&gt;=Reference!$H$5, Reference!$G$5, ""))))</f>
        <v>Severe</v>
      </c>
      <c r="Q21" s="16" t="str">
        <f aca="false">IF(F21="Physical", "Very Low", IF(F21="Local", "Low", IF(F21="Adjacent", "Medium", IF(F21="Network", "High", ""))))</f>
        <v>Low</v>
      </c>
      <c r="R21" s="16" t="str">
        <f aca="false">IF(AE21&gt;=Reference!$D$2, Reference!$E$2, IF(AE21&gt;=Reference!$D$3, Reference!$E$3, IF(AE21&gt;=Reference!$D$4, Reference!$E$4, IF(AE21&gt;=Reference!$D$5, Reference!$E$5, ""))))</f>
        <v>High</v>
      </c>
      <c r="S21" s="17" t="s">
        <v>46</v>
      </c>
      <c r="T21" s="14" t="s">
        <v>476</v>
      </c>
      <c r="U21" s="14" t="s">
        <v>477</v>
      </c>
      <c r="V21" s="14" t="s">
        <v>478</v>
      </c>
      <c r="W21" s="12" t="s">
        <v>479</v>
      </c>
      <c r="X21" s="18" t="str">
        <f aca="false">IFERROR(INDEX(Mapping!$F$2:$F$44,MATCH(ROW(),Mapping!$A$2:$A$44,0)),"")</f>
        <v>T167</v>
      </c>
      <c r="Y21" s="1" t="n">
        <f aca="false">IF(H21=Reference!$A$12, Reference!$C$12, IF(H21=Reference!$A$11, Reference!$C$11, IF(H21=Reference!$A$10, Reference!$C$10, IF(H21=Reference!$A$9, Reference!$C$9, 0))))</f>
        <v>10</v>
      </c>
      <c r="Z21" s="1" t="n">
        <f aca="false">IF(J21=Reference!$A$20, Reference!$C$20, IF(J21=Reference!$A$19, Reference!$C$19, IF(J21=Reference!$A$18, Reference!$C$18, IF(J21=Reference!$A$17, Reference!$C$17, 0))))</f>
        <v>7</v>
      </c>
      <c r="AA21" s="1" t="n">
        <f aca="false">IF(L21=Reference!$A$28, Reference!$C$28, IF(L21=Reference!$A$27, Reference!$C$27, IF(L21=Reference!$A$26, Reference!$C$26, IF(L21=Reference!$A$25, Reference!$C$25, 0))))</f>
        <v>10</v>
      </c>
      <c r="AB21" s="1" t="n">
        <f aca="false">IF(N21=Reference!$A$36, Reference!$C$36, IF(N21=Reference!$A$35, Reference!$C$35, IF(N21=Reference!$A$34, Reference!$C$34, IF(N21=Reference!$A$33, Reference!$C$33, 0))))</f>
        <v>4</v>
      </c>
      <c r="AC21" s="1" t="n">
        <f aca="false">(Reference!$B$2*Y21 + Reference!$B$3*AA21 + Reference!$B$4*Z21 + Reference!$B$5 * AB21)/4</f>
        <v>16.125</v>
      </c>
      <c r="AD21" s="1" t="n">
        <f aca="false">IF(Q21=Reference!$C$41, Reference!$D$41, IF(Q21=Reference!$C$42, Reference!$D$42, IF(Q21=Reference!$C$43, Reference!$D$43, IF(Q21=Reference!$C$44, Reference!$D$44, 0))))</f>
        <v>4</v>
      </c>
      <c r="AE21" s="1" t="n">
        <f aca="false">1 + (AC21 * AD21)</f>
        <v>65.5</v>
      </c>
      <c r="AF21" s="12" t="s">
        <v>480</v>
      </c>
    </row>
    <row r="22" customFormat="false" ht="150" hidden="false" customHeight="true" outlineLevel="0" collapsed="false">
      <c r="A22" s="10" t="s">
        <v>178</v>
      </c>
      <c r="B22" s="11" t="s">
        <v>69</v>
      </c>
      <c r="C22" s="12" t="s">
        <v>70</v>
      </c>
      <c r="D22" s="13" t="s">
        <v>179</v>
      </c>
      <c r="E22" s="14" t="s">
        <v>180</v>
      </c>
      <c r="F22" s="12" t="s">
        <v>100</v>
      </c>
      <c r="G22" s="12" t="s">
        <v>181</v>
      </c>
      <c r="H22" s="12" t="s">
        <v>39</v>
      </c>
      <c r="I22" s="14" t="s">
        <v>182</v>
      </c>
      <c r="J22" s="12" t="s">
        <v>41</v>
      </c>
      <c r="K22" s="15" t="s">
        <v>183</v>
      </c>
      <c r="L22" s="12" t="s">
        <v>76</v>
      </c>
      <c r="M22" s="15" t="s">
        <v>184</v>
      </c>
      <c r="N22" s="12" t="s">
        <v>44</v>
      </c>
      <c r="O22" s="14" t="s">
        <v>62</v>
      </c>
      <c r="P22" s="16" t="str">
        <f aca="false">IF(AC22&gt;=Reference!$H$2, Reference!$G$2, IF(AC22&gt;=Reference!$H$3, Reference!$G$3, IF(AC22&gt;=Reference!$H$4, Reference!$G$4, IF(AC22&gt;=Reference!$H$5, Reference!$G$5, ""))))</f>
        <v>Severe</v>
      </c>
      <c r="Q22" s="16" t="str">
        <f aca="false">IF(F22="Physical", "Very Low", IF(F22="Local", "Low", IF(F22="Adjacent", "Medium", IF(F22="Network", "High", ""))))</f>
        <v>High</v>
      </c>
      <c r="R22" s="16" t="str">
        <f aca="false">IF(AE22&gt;=Reference!$D$2, Reference!$E$2, IF(AE22&gt;=Reference!$D$3, Reference!$E$3, IF(AE22&gt;=Reference!$D$4, Reference!$E$4, IF(AE22&gt;=Reference!$D$5, Reference!$E$5, ""))))</f>
        <v>Critical</v>
      </c>
      <c r="S22" s="17" t="s">
        <v>46</v>
      </c>
      <c r="T22" s="14" t="s">
        <v>185</v>
      </c>
      <c r="U22" s="14" t="s">
        <v>186</v>
      </c>
      <c r="V22" s="14" t="s">
        <v>187</v>
      </c>
      <c r="W22" s="12" t="s">
        <v>82</v>
      </c>
      <c r="X22" s="18" t="str">
        <f aca="false">IFERROR(INDEX(Mapping!$F$2:$F$44,MATCH(ROW(),Mapping!$A$2:$A$44,0)),"")</f>
        <v>T141</v>
      </c>
      <c r="Y22" s="1" t="n">
        <f aca="false">IF(H22=Reference!$A$12, Reference!$C$12, IF(H22=Reference!$A$11, Reference!$C$11, IF(H22=Reference!$A$10, Reference!$C$10, IF(H22=Reference!$A$9, Reference!$C$9, 0))))</f>
        <v>7</v>
      </c>
      <c r="Z22" s="1" t="n">
        <f aca="false">IF(J22=Reference!$A$20, Reference!$C$20, IF(J22=Reference!$A$19, Reference!$C$19, IF(J22=Reference!$A$18, Reference!$C$18, IF(J22=Reference!$A$17, Reference!$C$17, 0))))</f>
        <v>4</v>
      </c>
      <c r="AA22" s="1" t="n">
        <f aca="false">IF(L22=Reference!$A$28, Reference!$C$28, IF(L22=Reference!$A$27, Reference!$C$27, IF(L22=Reference!$A$26, Reference!$C$26, IF(L22=Reference!$A$25, Reference!$C$25, 0))))</f>
        <v>10</v>
      </c>
      <c r="AB22" s="1" t="n">
        <f aca="false">IF(N22=Reference!$A$36, Reference!$C$36, IF(N22=Reference!$A$35, Reference!$C$35, IF(N22=Reference!$A$34, Reference!$C$34, IF(N22=Reference!$A$33, Reference!$C$33, 0))))</f>
        <v>1</v>
      </c>
      <c r="AC22" s="1" t="n">
        <f aca="false">(Reference!$B$2*Y22 + Reference!$B$3*AA22 + Reference!$B$4*Z22 + Reference!$B$5 * AB22)/4</f>
        <v>11.8125</v>
      </c>
      <c r="AD22" s="1" t="n">
        <f aca="false">IF(Q22=Reference!$C$41, Reference!$D$41, IF(Q22=Reference!$C$42, Reference!$D$42, IF(Q22=Reference!$C$43, Reference!$D$43, IF(Q22=Reference!$C$44, Reference!$D$44, 0))))</f>
        <v>10</v>
      </c>
      <c r="AE22" s="1" t="n">
        <f aca="false">1 + (AC22 * AD22)</f>
        <v>119.125</v>
      </c>
      <c r="AF22" s="12" t="s">
        <v>481</v>
      </c>
    </row>
    <row r="23" customFormat="false" ht="150" hidden="false" customHeight="true" outlineLevel="0" collapsed="false">
      <c r="A23" s="10" t="s">
        <v>482</v>
      </c>
      <c r="B23" s="11" t="s">
        <v>69</v>
      </c>
      <c r="C23" s="12" t="s">
        <v>70</v>
      </c>
      <c r="D23" s="13" t="s">
        <v>483</v>
      </c>
      <c r="E23" s="14" t="s">
        <v>484</v>
      </c>
      <c r="F23" s="12" t="s">
        <v>100</v>
      </c>
      <c r="G23" s="12" t="s">
        <v>485</v>
      </c>
      <c r="H23" s="12" t="s">
        <v>41</v>
      </c>
      <c r="I23" s="14" t="s">
        <v>486</v>
      </c>
      <c r="J23" s="12" t="s">
        <v>41</v>
      </c>
      <c r="K23" s="15" t="s">
        <v>487</v>
      </c>
      <c r="L23" s="12" t="s">
        <v>39</v>
      </c>
      <c r="M23" s="15" t="s">
        <v>488</v>
      </c>
      <c r="N23" s="12" t="s">
        <v>44</v>
      </c>
      <c r="O23" s="14" t="s">
        <v>62</v>
      </c>
      <c r="P23" s="16" t="str">
        <f aca="false">IF(AC23&gt;=Reference!$H$2, Reference!$G$2, IF(AC23&gt;=Reference!$H$3, Reference!$G$3, IF(AC23&gt;=Reference!$H$4, Reference!$G$4, IF(AC23&gt;=Reference!$H$5, Reference!$G$5, ""))))</f>
        <v>Major</v>
      </c>
      <c r="Q23" s="16" t="str">
        <f aca="false">IF(F23="Physical", "Very Low", IF(F23="Local", "Low", IF(F23="Adjacent", "Medium", IF(F23="Network", "High", ""))))</f>
        <v>High</v>
      </c>
      <c r="R23" s="16" t="str">
        <f aca="false">IF(AE23&gt;=Reference!$D$2, Reference!$E$2, IF(AE23&gt;=Reference!$D$3, Reference!$E$3, IF(AE23&gt;=Reference!$D$4, Reference!$E$4, IF(AE23&gt;=Reference!$D$5, Reference!$E$5, ""))))</f>
        <v>High</v>
      </c>
      <c r="S23" s="17" t="s">
        <v>46</v>
      </c>
      <c r="T23" s="14" t="s">
        <v>489</v>
      </c>
      <c r="U23" s="14" t="s">
        <v>490</v>
      </c>
      <c r="V23" s="14" t="s">
        <v>491</v>
      </c>
      <c r="W23" s="12" t="s">
        <v>82</v>
      </c>
      <c r="X23" s="18" t="str">
        <f aca="false">IFERROR(INDEX(Mapping!$F$2:$F$44,MATCH(ROW(),Mapping!$A$2:$A$44,0)),"")</f>
        <v>T180</v>
      </c>
      <c r="Y23" s="1" t="n">
        <f aca="false">IF(H23=Reference!$A$12, Reference!$C$12, IF(H23=Reference!$A$11, Reference!$C$11, IF(H23=Reference!$A$10, Reference!$C$10, IF(H23=Reference!$A$9, Reference!$C$9, 0))))</f>
        <v>4</v>
      </c>
      <c r="Z23" s="1" t="n">
        <f aca="false">IF(J23=Reference!$A$20, Reference!$C$20, IF(J23=Reference!$A$19, Reference!$C$19, IF(J23=Reference!$A$18, Reference!$C$18, IF(J23=Reference!$A$17, Reference!$C$17, 0))))</f>
        <v>4</v>
      </c>
      <c r="AA23" s="1" t="n">
        <f aca="false">IF(L23=Reference!$A$28, Reference!$C$28, IF(L23=Reference!$A$27, Reference!$C$27, IF(L23=Reference!$A$26, Reference!$C$26, IF(L23=Reference!$A$25, Reference!$C$25, 0))))</f>
        <v>7</v>
      </c>
      <c r="AB23" s="1" t="n">
        <f aca="false">IF(N23=Reference!$A$36, Reference!$C$36, IF(N23=Reference!$A$35, Reference!$C$35, IF(N23=Reference!$A$34, Reference!$C$34, IF(N23=Reference!$A$33, Reference!$C$33, 0))))</f>
        <v>1</v>
      </c>
      <c r="AC23" s="1" t="n">
        <f aca="false">(Reference!$B$2*Y23 + Reference!$B$3*AA23 + Reference!$B$4*Z23 + Reference!$B$5 * AB23)/4</f>
        <v>7.3125</v>
      </c>
      <c r="AD23" s="1" t="n">
        <f aca="false">IF(Q23=Reference!$C$41, Reference!$D$41, IF(Q23=Reference!$C$42, Reference!$D$42, IF(Q23=Reference!$C$43, Reference!$D$43, IF(Q23=Reference!$C$44, Reference!$D$44, 0))))</f>
        <v>10</v>
      </c>
      <c r="AE23" s="1" t="n">
        <f aca="false">1 + (AC23 * AD23)</f>
        <v>74.125</v>
      </c>
      <c r="AF23" s="12" t="s">
        <v>492</v>
      </c>
    </row>
    <row r="24" customFormat="false" ht="150" hidden="false" customHeight="true" outlineLevel="0" collapsed="false">
      <c r="A24" s="10" t="s">
        <v>32</v>
      </c>
      <c r="B24" s="11" t="s">
        <v>125</v>
      </c>
      <c r="C24" s="12" t="s">
        <v>126</v>
      </c>
      <c r="D24" s="13" t="s">
        <v>493</v>
      </c>
      <c r="E24" s="14" t="s">
        <v>494</v>
      </c>
      <c r="F24" s="12" t="s">
        <v>37</v>
      </c>
      <c r="G24" s="12" t="s">
        <v>495</v>
      </c>
      <c r="H24" s="12" t="s">
        <v>44</v>
      </c>
      <c r="I24" s="14" t="s">
        <v>233</v>
      </c>
      <c r="J24" s="12" t="s">
        <v>39</v>
      </c>
      <c r="K24" s="15" t="s">
        <v>496</v>
      </c>
      <c r="L24" s="12" t="s">
        <v>41</v>
      </c>
      <c r="M24" s="15" t="s">
        <v>497</v>
      </c>
      <c r="N24" s="12" t="s">
        <v>76</v>
      </c>
      <c r="O24" s="14" t="s">
        <v>498</v>
      </c>
      <c r="P24" s="16" t="str">
        <f aca="false">IF(AC24&gt;=Reference!$H$2, Reference!$G$2, IF(AC24&gt;=Reference!$H$3, Reference!$G$3, IF(AC24&gt;=Reference!$H$4, Reference!$G$4, IF(AC24&gt;=Reference!$H$5, Reference!$G$5, ""))))</f>
        <v>Moderate</v>
      </c>
      <c r="Q24" s="16" t="str">
        <f aca="false">IF(F24="Physical", "Very Low", IF(F24="Local", "Low", IF(F24="Adjacent", "Medium", IF(F24="Network", "High", ""))))</f>
        <v>Medium</v>
      </c>
      <c r="R24" s="16" t="str">
        <f aca="false">IF(AE24&gt;=Reference!$D$2, Reference!$E$2, IF(AE24&gt;=Reference!$D$3, Reference!$E$3, IF(AE24&gt;=Reference!$D$4, Reference!$E$4, IF(AE24&gt;=Reference!$D$5, Reference!$E$5, ""))))</f>
        <v>Medium</v>
      </c>
      <c r="S24" s="17" t="s">
        <v>46</v>
      </c>
      <c r="T24" s="14" t="s">
        <v>499</v>
      </c>
      <c r="U24" s="14" t="s">
        <v>500</v>
      </c>
      <c r="V24" s="14" t="s">
        <v>501</v>
      </c>
      <c r="W24" s="12" t="s">
        <v>240</v>
      </c>
      <c r="X24" s="18" t="str">
        <f aca="false">IFERROR(INDEX(Mapping!$F$2:$F$44,MATCH(ROW(),Mapping!$A$2:$A$44,0)),"")</f>
        <v>T001</v>
      </c>
      <c r="Y24" s="1" t="n">
        <f aca="false">IF(H24=Reference!$A$12, Reference!$C$12, IF(H24=Reference!$A$11, Reference!$C$11, IF(H24=Reference!$A$10, Reference!$C$10, IF(H24=Reference!$A$9, Reference!$C$9, 0))))</f>
        <v>1</v>
      </c>
      <c r="Z24" s="1" t="n">
        <f aca="false">IF(J24=Reference!$A$20, Reference!$C$20, IF(J24=Reference!$A$19, Reference!$C$19, IF(J24=Reference!$A$18, Reference!$C$18, IF(J24=Reference!$A$17, Reference!$C$17, 0))))</f>
        <v>7</v>
      </c>
      <c r="AA24" s="1" t="n">
        <f aca="false">IF(L24=Reference!$A$28, Reference!$C$28, IF(L24=Reference!$A$27, Reference!$C$27, IF(L24=Reference!$A$26, Reference!$C$26, IF(L24=Reference!$A$25, Reference!$C$25, 0))))</f>
        <v>4</v>
      </c>
      <c r="AB24" s="1" t="n">
        <f aca="false">IF(N24=Reference!$A$36, Reference!$C$36, IF(N24=Reference!$A$35, Reference!$C$35, IF(N24=Reference!$A$34, Reference!$C$34, IF(N24=Reference!$A$33, Reference!$C$33, 0))))</f>
        <v>10</v>
      </c>
      <c r="AC24" s="1" t="n">
        <f aca="false">(Reference!$B$2*Y24 + Reference!$B$3*AA24 + Reference!$B$4*Z24 + Reference!$B$5 * AB24)/4</f>
        <v>3.75</v>
      </c>
      <c r="AD24" s="1" t="n">
        <f aca="false">IF(Q24=Reference!$C$41, Reference!$D$41, IF(Q24=Reference!$C$42, Reference!$D$42, IF(Q24=Reference!$C$43, Reference!$D$43, IF(Q24=Reference!$C$44, Reference!$D$44, 0))))</f>
        <v>7</v>
      </c>
      <c r="AE24" s="1" t="n">
        <f aca="false">1 + (AC24 * AD24)</f>
        <v>27.25</v>
      </c>
      <c r="AF24" s="12" t="s">
        <v>502</v>
      </c>
    </row>
    <row r="25" customFormat="false" ht="150" hidden="false" customHeight="true" outlineLevel="0" collapsed="false">
      <c r="A25" s="10" t="s">
        <v>32</v>
      </c>
      <c r="B25" s="11" t="s">
        <v>53</v>
      </c>
      <c r="C25" s="12" t="s">
        <v>54</v>
      </c>
      <c r="D25" s="13" t="s">
        <v>55</v>
      </c>
      <c r="E25" s="14" t="s">
        <v>56</v>
      </c>
      <c r="F25" s="12" t="s">
        <v>57</v>
      </c>
      <c r="G25" s="12" t="s">
        <v>58</v>
      </c>
      <c r="H25" s="12" t="s">
        <v>39</v>
      </c>
      <c r="I25" s="14" t="s">
        <v>59</v>
      </c>
      <c r="J25" s="12" t="s">
        <v>41</v>
      </c>
      <c r="K25" s="15" t="s">
        <v>60</v>
      </c>
      <c r="L25" s="12" t="s">
        <v>39</v>
      </c>
      <c r="M25" s="15" t="s">
        <v>61</v>
      </c>
      <c r="N25" s="12" t="s">
        <v>44</v>
      </c>
      <c r="O25" s="14" t="s">
        <v>62</v>
      </c>
      <c r="P25" s="16" t="str">
        <f aca="false">IF(AC25&gt;=Reference!$H$2, Reference!$G$2, IF(AC25&gt;=Reference!$H$3, Reference!$G$3, IF(AC25&gt;=Reference!$H$4, Reference!$G$4, IF(AC25&gt;=Reference!$H$5, Reference!$G$5, ""))))</f>
        <v>Severe</v>
      </c>
      <c r="Q25" s="16" t="str">
        <f aca="false">IF(F25="Physical", "Very Low", IF(F25="Local", "Low", IF(F25="Adjacent", "Medium", IF(F25="Network", "High", ""))))</f>
        <v>Very Low</v>
      </c>
      <c r="R25" s="16" t="str">
        <f aca="false">IF(AE25&gt;=Reference!$D$2, Reference!$E$2, IF(AE25&gt;=Reference!$D$3, Reference!$E$3, IF(AE25&gt;=Reference!$D$4, Reference!$E$4, IF(AE25&gt;=Reference!$D$5, Reference!$E$5, ""))))</f>
        <v>Low</v>
      </c>
      <c r="S25" s="17" t="s">
        <v>46</v>
      </c>
      <c r="T25" s="14" t="s">
        <v>63</v>
      </c>
      <c r="U25" s="14" t="s">
        <v>64</v>
      </c>
      <c r="V25" s="14" t="s">
        <v>65</v>
      </c>
      <c r="W25" s="12" t="s">
        <v>66</v>
      </c>
      <c r="X25" s="18" t="str">
        <f aca="false">IFERROR(INDEX(Mapping!$F$2:$F$44,MATCH(ROW(),Mapping!$A$2:$A$44,0)),"")</f>
        <v>T002</v>
      </c>
      <c r="Y25" s="1" t="n">
        <f aca="false">IF(H25=Reference!$A$12, Reference!$C$12, IF(H25=Reference!$A$11, Reference!$C$11, IF(H25=Reference!$A$10, Reference!$C$10, IF(H25=Reference!$A$9, Reference!$C$9, 0))))</f>
        <v>7</v>
      </c>
      <c r="Z25" s="1" t="n">
        <f aca="false">IF(J25=Reference!$A$20, Reference!$C$20, IF(J25=Reference!$A$19, Reference!$C$19, IF(J25=Reference!$A$18, Reference!$C$18, IF(J25=Reference!$A$17, Reference!$C$17, 0))))</f>
        <v>4</v>
      </c>
      <c r="AA25" s="1" t="n">
        <f aca="false">IF(L25=Reference!$A$28, Reference!$C$28, IF(L25=Reference!$A$27, Reference!$C$27, IF(L25=Reference!$A$26, Reference!$C$26, IF(L25=Reference!$A$25, Reference!$C$25, 0))))</f>
        <v>7</v>
      </c>
      <c r="AB25" s="1" t="n">
        <f aca="false">IF(N25=Reference!$A$36, Reference!$C$36, IF(N25=Reference!$A$35, Reference!$C$35, IF(N25=Reference!$A$34, Reference!$C$34, IF(N25=Reference!$A$33, Reference!$C$33, 0))))</f>
        <v>1</v>
      </c>
      <c r="AC25" s="1" t="n">
        <f aca="false">(Reference!$B$2*Y25 + Reference!$B$3*AA25 + Reference!$B$4*Z25 + Reference!$B$5 * AB25)/4</f>
        <v>11.0625</v>
      </c>
      <c r="AD25" s="1" t="n">
        <f aca="false">IF(Q25=Reference!$C$41, Reference!$D$41, IF(Q25=Reference!$C$42, Reference!$D$42, IF(Q25=Reference!$C$43, Reference!$D$43, IF(Q25=Reference!$C$44, Reference!$D$44, 0))))</f>
        <v>1</v>
      </c>
      <c r="AE25" s="1" t="n">
        <f aca="false">1 + (AC25 * AD25)</f>
        <v>12.0625</v>
      </c>
      <c r="AF25" s="12" t="s">
        <v>503</v>
      </c>
    </row>
    <row r="26" customFormat="false" ht="150" hidden="false" customHeight="true" outlineLevel="0" collapsed="false">
      <c r="A26" s="10" t="s">
        <v>504</v>
      </c>
      <c r="B26" s="11" t="s">
        <v>69</v>
      </c>
      <c r="C26" s="12" t="s">
        <v>70</v>
      </c>
      <c r="D26" s="13" t="s">
        <v>505</v>
      </c>
      <c r="E26" s="14" t="s">
        <v>506</v>
      </c>
      <c r="F26" s="12" t="s">
        <v>37</v>
      </c>
      <c r="G26" s="12" t="s">
        <v>507</v>
      </c>
      <c r="H26" s="12" t="s">
        <v>39</v>
      </c>
      <c r="I26" s="14" t="s">
        <v>508</v>
      </c>
      <c r="J26" s="12" t="s">
        <v>41</v>
      </c>
      <c r="K26" s="15" t="s">
        <v>509</v>
      </c>
      <c r="L26" s="12" t="s">
        <v>76</v>
      </c>
      <c r="M26" s="15" t="s">
        <v>510</v>
      </c>
      <c r="N26" s="12" t="s">
        <v>44</v>
      </c>
      <c r="O26" s="14" t="s">
        <v>62</v>
      </c>
      <c r="P26" s="16" t="str">
        <f aca="false">IF(AC26&gt;=Reference!$H$2, Reference!$G$2, IF(AC26&gt;=Reference!$H$3, Reference!$G$3, IF(AC26&gt;=Reference!$H$4, Reference!$G$4, IF(AC26&gt;=Reference!$H$5, Reference!$G$5, ""))))</f>
        <v>Severe</v>
      </c>
      <c r="Q26" s="16" t="str">
        <f aca="false">IF(F26="Physical", "Very Low", IF(F26="Local", "Low", IF(F26="Adjacent", "Medium", IF(F26="Network", "High", ""))))</f>
        <v>Medium</v>
      </c>
      <c r="R26" s="16" t="str">
        <f aca="false">IF(AE26&gt;=Reference!$D$2, Reference!$E$2, IF(AE26&gt;=Reference!$D$3, Reference!$E$3, IF(AE26&gt;=Reference!$D$4, Reference!$E$4, IF(AE26&gt;=Reference!$D$5, Reference!$E$5, ""))))</f>
        <v>High</v>
      </c>
      <c r="S26" s="17" t="s">
        <v>46</v>
      </c>
      <c r="T26" s="14" t="s">
        <v>511</v>
      </c>
      <c r="U26" s="14" t="s">
        <v>512</v>
      </c>
      <c r="V26" s="14" t="s">
        <v>513</v>
      </c>
      <c r="W26" s="12" t="s">
        <v>161</v>
      </c>
      <c r="X26" s="18" t="str">
        <f aca="false">IFERROR(INDEX(Mapping!$F$2:$F$44,MATCH(ROW(),Mapping!$A$2:$A$44,0)),"")</f>
        <v>T015</v>
      </c>
      <c r="Y26" s="1" t="n">
        <f aca="false">IF(H26=Reference!$A$12, Reference!$C$12, IF(H26=Reference!$A$11, Reference!$C$11, IF(H26=Reference!$A$10, Reference!$C$10, IF(H26=Reference!$A$9, Reference!$C$9, 0))))</f>
        <v>7</v>
      </c>
      <c r="Z26" s="1" t="n">
        <f aca="false">IF(J26=Reference!$A$20, Reference!$C$20, IF(J26=Reference!$A$19, Reference!$C$19, IF(J26=Reference!$A$18, Reference!$C$18, IF(J26=Reference!$A$17, Reference!$C$17, 0))))</f>
        <v>4</v>
      </c>
      <c r="AA26" s="1" t="n">
        <f aca="false">IF(L26=Reference!$A$28, Reference!$C$28, IF(L26=Reference!$A$27, Reference!$C$27, IF(L26=Reference!$A$26, Reference!$C$26, IF(L26=Reference!$A$25, Reference!$C$25, 0))))</f>
        <v>10</v>
      </c>
      <c r="AB26" s="1" t="n">
        <f aca="false">IF(N26=Reference!$A$36, Reference!$C$36, IF(N26=Reference!$A$35, Reference!$C$35, IF(N26=Reference!$A$34, Reference!$C$34, IF(N26=Reference!$A$33, Reference!$C$33, 0))))</f>
        <v>1</v>
      </c>
      <c r="AC26" s="1" t="n">
        <f aca="false">(Reference!$B$2*Y26 + Reference!$B$3*AA26 + Reference!$B$4*Z26 + Reference!$B$5 * AB26)/4</f>
        <v>11.8125</v>
      </c>
      <c r="AD26" s="1" t="n">
        <f aca="false">IF(Q26=Reference!$C$41, Reference!$D$41, IF(Q26=Reference!$C$42, Reference!$D$42, IF(Q26=Reference!$C$43, Reference!$D$43, IF(Q26=Reference!$C$44, Reference!$D$44, 0))))</f>
        <v>7</v>
      </c>
      <c r="AE26" s="1" t="n">
        <f aca="false">1 + (AC26 * AD26)</f>
        <v>83.6875</v>
      </c>
      <c r="AF26" s="12" t="s">
        <v>514</v>
      </c>
    </row>
    <row r="27" customFormat="false" ht="150" hidden="false" customHeight="true" outlineLevel="0" collapsed="false">
      <c r="A27" s="10" t="s">
        <v>515</v>
      </c>
      <c r="B27" s="11" t="s">
        <v>69</v>
      </c>
      <c r="C27" s="12" t="s">
        <v>70</v>
      </c>
      <c r="D27" s="13" t="s">
        <v>516</v>
      </c>
      <c r="E27" s="14" t="s">
        <v>517</v>
      </c>
      <c r="F27" s="12" t="s">
        <v>57</v>
      </c>
      <c r="G27" s="12" t="s">
        <v>518</v>
      </c>
      <c r="H27" s="12" t="s">
        <v>41</v>
      </c>
      <c r="I27" s="14" t="s">
        <v>519</v>
      </c>
      <c r="J27" s="12" t="s">
        <v>41</v>
      </c>
      <c r="K27" s="15" t="s">
        <v>520</v>
      </c>
      <c r="L27" s="12" t="s">
        <v>76</v>
      </c>
      <c r="M27" s="15" t="s">
        <v>521</v>
      </c>
      <c r="N27" s="12" t="s">
        <v>44</v>
      </c>
      <c r="O27" s="14" t="s">
        <v>62</v>
      </c>
      <c r="P27" s="16" t="str">
        <f aca="false">IF(AC27&gt;=Reference!$H$2, Reference!$G$2, IF(AC27&gt;=Reference!$H$3, Reference!$G$3, IF(AC27&gt;=Reference!$H$4, Reference!$G$4, IF(AC27&gt;=Reference!$H$5, Reference!$G$5, ""))))</f>
        <v>Major</v>
      </c>
      <c r="Q27" s="16" t="str">
        <f aca="false">IF(F27="Physical", "Very Low", IF(F27="Local", "Low", IF(F27="Adjacent", "Medium", IF(F27="Network", "High", ""))))</f>
        <v>Very Low</v>
      </c>
      <c r="R27" s="16" t="str">
        <f aca="false">IF(AE27&gt;=Reference!$D$2, Reference!$E$2, IF(AE27&gt;=Reference!$D$3, Reference!$E$3, IF(AE27&gt;=Reference!$D$4, Reference!$E$4, IF(AE27&gt;=Reference!$D$5, Reference!$E$5, ""))))</f>
        <v>Low</v>
      </c>
      <c r="S27" s="17" t="s">
        <v>46</v>
      </c>
      <c r="T27" s="14" t="s">
        <v>522</v>
      </c>
      <c r="U27" s="14" t="s">
        <v>523</v>
      </c>
      <c r="V27" s="14" t="s">
        <v>524</v>
      </c>
      <c r="W27" s="12" t="s">
        <v>161</v>
      </c>
      <c r="X27" s="18" t="str">
        <f aca="false">IFERROR(INDEX(Mapping!$F$2:$F$44,MATCH(ROW(),Mapping!$A$2:$A$44,0)),"")</f>
        <v>T030</v>
      </c>
      <c r="Y27" s="1" t="n">
        <f aca="false">IF(H27=Reference!$A$12, Reference!$C$12, IF(H27=Reference!$A$11, Reference!$C$11, IF(H27=Reference!$A$10, Reference!$C$10, IF(H27=Reference!$A$9, Reference!$C$9, 0))))</f>
        <v>4</v>
      </c>
      <c r="Z27" s="1" t="n">
        <f aca="false">IF(J27=Reference!$A$20, Reference!$C$20, IF(J27=Reference!$A$19, Reference!$C$19, IF(J27=Reference!$A$18, Reference!$C$18, IF(J27=Reference!$A$17, Reference!$C$17, 0))))</f>
        <v>4</v>
      </c>
      <c r="AA27" s="1" t="n">
        <f aca="false">IF(L27=Reference!$A$28, Reference!$C$28, IF(L27=Reference!$A$27, Reference!$C$27, IF(L27=Reference!$A$26, Reference!$C$26, IF(L27=Reference!$A$25, Reference!$C$25, 0))))</f>
        <v>10</v>
      </c>
      <c r="AB27" s="1" t="n">
        <f aca="false">IF(N27=Reference!$A$36, Reference!$C$36, IF(N27=Reference!$A$35, Reference!$C$35, IF(N27=Reference!$A$34, Reference!$C$34, IF(N27=Reference!$A$33, Reference!$C$33, 0))))</f>
        <v>1</v>
      </c>
      <c r="AC27" s="1" t="n">
        <f aca="false">(Reference!$B$2*Y27 + Reference!$B$3*AA27 + Reference!$B$4*Z27 + Reference!$B$5 * AB27)/4</f>
        <v>8.0625</v>
      </c>
      <c r="AD27" s="1" t="n">
        <f aca="false">IF(Q27=Reference!$C$41, Reference!$D$41, IF(Q27=Reference!$C$42, Reference!$D$42, IF(Q27=Reference!$C$43, Reference!$D$43, IF(Q27=Reference!$C$44, Reference!$D$44, 0))))</f>
        <v>1</v>
      </c>
      <c r="AE27" s="1" t="n">
        <f aca="false">1 + (AC27 * AD27)</f>
        <v>9.0625</v>
      </c>
      <c r="AF27" s="12" t="s">
        <v>525</v>
      </c>
    </row>
    <row r="28" customFormat="false" ht="150" hidden="false" customHeight="true" outlineLevel="0" collapsed="false">
      <c r="A28" s="10" t="s">
        <v>526</v>
      </c>
      <c r="B28" s="11" t="s">
        <v>53</v>
      </c>
      <c r="C28" s="12" t="s">
        <v>54</v>
      </c>
      <c r="D28" s="13" t="s">
        <v>527</v>
      </c>
      <c r="E28" s="14" t="s">
        <v>528</v>
      </c>
      <c r="F28" s="12" t="s">
        <v>57</v>
      </c>
      <c r="G28" s="12" t="s">
        <v>529</v>
      </c>
      <c r="H28" s="12" t="s">
        <v>39</v>
      </c>
      <c r="I28" s="14" t="s">
        <v>530</v>
      </c>
      <c r="J28" s="12" t="s">
        <v>41</v>
      </c>
      <c r="K28" s="15" t="s">
        <v>531</v>
      </c>
      <c r="L28" s="12" t="s">
        <v>39</v>
      </c>
      <c r="M28" s="15" t="s">
        <v>532</v>
      </c>
      <c r="N28" s="12" t="s">
        <v>44</v>
      </c>
      <c r="O28" s="14" t="s">
        <v>62</v>
      </c>
      <c r="P28" s="16" t="str">
        <f aca="false">IF(AC28&gt;=Reference!$H$2, Reference!$G$2, IF(AC28&gt;=Reference!$H$3, Reference!$G$3, IF(AC28&gt;=Reference!$H$4, Reference!$G$4, IF(AC28&gt;=Reference!$H$5, Reference!$G$5, ""))))</f>
        <v>Severe</v>
      </c>
      <c r="Q28" s="16" t="str">
        <f aca="false">IF(F28="Physical", "Very Low", IF(F28="Local", "Low", IF(F28="Adjacent", "Medium", IF(F28="Network", "High", ""))))</f>
        <v>Very Low</v>
      </c>
      <c r="R28" s="16" t="str">
        <f aca="false">IF(AE28&gt;=Reference!$D$2, Reference!$E$2, IF(AE28&gt;=Reference!$D$3, Reference!$E$3, IF(AE28&gt;=Reference!$D$4, Reference!$E$4, IF(AE28&gt;=Reference!$D$5, Reference!$E$5, ""))))</f>
        <v>Low</v>
      </c>
      <c r="S28" s="17" t="s">
        <v>46</v>
      </c>
      <c r="T28" s="14" t="s">
        <v>533</v>
      </c>
      <c r="U28" s="14" t="s">
        <v>534</v>
      </c>
      <c r="V28" s="14" t="s">
        <v>535</v>
      </c>
      <c r="W28" s="12" t="s">
        <v>214</v>
      </c>
      <c r="X28" s="18" t="str">
        <f aca="false">IFERROR(INDEX(Mapping!$F$2:$F$44,MATCH(ROW(),Mapping!$A$2:$A$44,0)),"")</f>
        <v>T056</v>
      </c>
      <c r="Y28" s="1" t="n">
        <f aca="false">IF(H28=Reference!$A$12, Reference!$C$12, IF(H28=Reference!$A$11, Reference!$C$11, IF(H28=Reference!$A$10, Reference!$C$10, IF(H28=Reference!$A$9, Reference!$C$9, 0))))</f>
        <v>7</v>
      </c>
      <c r="Z28" s="1" t="n">
        <f aca="false">IF(J28=Reference!$A$20, Reference!$C$20, IF(J28=Reference!$A$19, Reference!$C$19, IF(J28=Reference!$A$18, Reference!$C$18, IF(J28=Reference!$A$17, Reference!$C$17, 0))))</f>
        <v>4</v>
      </c>
      <c r="AA28" s="1" t="n">
        <f aca="false">IF(L28=Reference!$A$28, Reference!$C$28, IF(L28=Reference!$A$27, Reference!$C$27, IF(L28=Reference!$A$26, Reference!$C$26, IF(L28=Reference!$A$25, Reference!$C$25, 0))))</f>
        <v>7</v>
      </c>
      <c r="AB28" s="1" t="n">
        <f aca="false">IF(N28=Reference!$A$36, Reference!$C$36, IF(N28=Reference!$A$35, Reference!$C$35, IF(N28=Reference!$A$34, Reference!$C$34, IF(N28=Reference!$A$33, Reference!$C$33, 0))))</f>
        <v>1</v>
      </c>
      <c r="AC28" s="1" t="n">
        <f aca="false">(Reference!$B$2*Y28 + Reference!$B$3*AA28 + Reference!$B$4*Z28 + Reference!$B$5 * AB28)/4</f>
        <v>11.0625</v>
      </c>
      <c r="AD28" s="1" t="n">
        <f aca="false">IF(Q28=Reference!$C$41, Reference!$D$41, IF(Q28=Reference!$C$42, Reference!$D$42, IF(Q28=Reference!$C$43, Reference!$D$43, IF(Q28=Reference!$C$44, Reference!$D$44, 0))))</f>
        <v>1</v>
      </c>
      <c r="AE28" s="1" t="n">
        <f aca="false">1 + (AC28 * AD28)</f>
        <v>12.0625</v>
      </c>
      <c r="AF28" s="12" t="s">
        <v>536</v>
      </c>
    </row>
    <row r="29" customFormat="false" ht="150" hidden="false" customHeight="true" outlineLevel="0" collapsed="false">
      <c r="A29" s="10" t="s">
        <v>537</v>
      </c>
      <c r="B29" s="11" t="s">
        <v>53</v>
      </c>
      <c r="C29" s="12" t="s">
        <v>54</v>
      </c>
      <c r="D29" s="13" t="s">
        <v>538</v>
      </c>
      <c r="E29" s="14" t="s">
        <v>539</v>
      </c>
      <c r="F29" s="12" t="s">
        <v>100</v>
      </c>
      <c r="G29" s="12" t="s">
        <v>540</v>
      </c>
      <c r="H29" s="12" t="s">
        <v>39</v>
      </c>
      <c r="I29" s="14" t="s">
        <v>541</v>
      </c>
      <c r="J29" s="12" t="s">
        <v>39</v>
      </c>
      <c r="K29" s="15" t="s">
        <v>542</v>
      </c>
      <c r="L29" s="12" t="s">
        <v>39</v>
      </c>
      <c r="M29" s="15" t="s">
        <v>543</v>
      </c>
      <c r="N29" s="12" t="s">
        <v>44</v>
      </c>
      <c r="O29" s="14" t="s">
        <v>62</v>
      </c>
      <c r="P29" s="16" t="str">
        <f aca="false">IF(AC29&gt;=Reference!$H$2, Reference!$G$2, IF(AC29&gt;=Reference!$H$3, Reference!$G$3, IF(AC29&gt;=Reference!$H$4, Reference!$G$4, IF(AC29&gt;=Reference!$H$5, Reference!$G$5, ""))))</f>
        <v>Severe</v>
      </c>
      <c r="Q29" s="16" t="str">
        <f aca="false">IF(F29="Physical", "Very Low", IF(F29="Local", "Low", IF(F29="Adjacent", "Medium", IF(F29="Network", "High", ""))))</f>
        <v>High</v>
      </c>
      <c r="R29" s="16" t="str">
        <f aca="false">IF(AE29&gt;=Reference!$D$2, Reference!$E$2, IF(AE29&gt;=Reference!$D$3, Reference!$E$3, IF(AE29&gt;=Reference!$D$4, Reference!$E$4, IF(AE29&gt;=Reference!$D$5, Reference!$E$5, ""))))</f>
        <v>Critical</v>
      </c>
      <c r="S29" s="17" t="s">
        <v>46</v>
      </c>
      <c r="T29" s="14" t="s">
        <v>544</v>
      </c>
      <c r="U29" s="14" t="s">
        <v>545</v>
      </c>
      <c r="V29" s="14" t="s">
        <v>546</v>
      </c>
      <c r="W29" s="12" t="s">
        <v>66</v>
      </c>
      <c r="X29" s="18" t="str">
        <f aca="false">IFERROR(INDEX(Mapping!$F$2:$F$44,MATCH(ROW(),Mapping!$A$2:$A$44,0)),"")</f>
        <v>T071</v>
      </c>
      <c r="Y29" s="1" t="n">
        <f aca="false">IF(H29=Reference!$A$12, Reference!$C$12, IF(H29=Reference!$A$11, Reference!$C$11, IF(H29=Reference!$A$10, Reference!$C$10, IF(H29=Reference!$A$9, Reference!$C$9, 0))))</f>
        <v>7</v>
      </c>
      <c r="Z29" s="1" t="n">
        <f aca="false">IF(J29=Reference!$A$20, Reference!$C$20, IF(J29=Reference!$A$19, Reference!$C$19, IF(J29=Reference!$A$18, Reference!$C$18, IF(J29=Reference!$A$17, Reference!$C$17, 0))))</f>
        <v>7</v>
      </c>
      <c r="AA29" s="1" t="n">
        <f aca="false">IF(L29=Reference!$A$28, Reference!$C$28, IF(L29=Reference!$A$27, Reference!$C$27, IF(L29=Reference!$A$26, Reference!$C$26, IF(L29=Reference!$A$25, Reference!$C$25, 0))))</f>
        <v>7</v>
      </c>
      <c r="AB29" s="1" t="n">
        <f aca="false">IF(N29=Reference!$A$36, Reference!$C$36, IF(N29=Reference!$A$35, Reference!$C$35, IF(N29=Reference!$A$34, Reference!$C$34, IF(N29=Reference!$A$33, Reference!$C$33, 0))))</f>
        <v>1</v>
      </c>
      <c r="AC29" s="1" t="n">
        <f aca="false">(Reference!$B$2*Y29 + Reference!$B$3*AA29 + Reference!$B$4*Z29 + Reference!$B$5 * AB29)/4</f>
        <v>11.4375</v>
      </c>
      <c r="AD29" s="1" t="n">
        <f aca="false">IF(Q29=Reference!$C$41, Reference!$D$41, IF(Q29=Reference!$C$42, Reference!$D$42, IF(Q29=Reference!$C$43, Reference!$D$43, IF(Q29=Reference!$C$44, Reference!$D$44, 0))))</f>
        <v>10</v>
      </c>
      <c r="AE29" s="1" t="n">
        <f aca="false">1 + (AC29 * AD29)</f>
        <v>115.375</v>
      </c>
      <c r="AF29" s="12" t="s">
        <v>547</v>
      </c>
    </row>
    <row r="30" customFormat="false" ht="150" hidden="false" customHeight="true" outlineLevel="0" collapsed="false">
      <c r="A30" s="10" t="s">
        <v>85</v>
      </c>
      <c r="B30" s="11" t="s">
        <v>53</v>
      </c>
      <c r="C30" s="12" t="s">
        <v>54</v>
      </c>
      <c r="D30" s="13" t="s">
        <v>86</v>
      </c>
      <c r="E30" s="14" t="s">
        <v>87</v>
      </c>
      <c r="F30" s="12" t="s">
        <v>37</v>
      </c>
      <c r="G30" s="12" t="s">
        <v>88</v>
      </c>
      <c r="H30" s="12" t="s">
        <v>39</v>
      </c>
      <c r="I30" s="14" t="s">
        <v>89</v>
      </c>
      <c r="J30" s="12" t="s">
        <v>39</v>
      </c>
      <c r="K30" s="15" t="s">
        <v>90</v>
      </c>
      <c r="L30" s="12" t="s">
        <v>76</v>
      </c>
      <c r="M30" s="15" t="s">
        <v>91</v>
      </c>
      <c r="N30" s="12" t="s">
        <v>44</v>
      </c>
      <c r="O30" s="14" t="s">
        <v>62</v>
      </c>
      <c r="P30" s="16" t="str">
        <f aca="false">IF(AC30&gt;=Reference!$H$2, Reference!$G$2, IF(AC30&gt;=Reference!$H$3, Reference!$G$3, IF(AC30&gt;=Reference!$H$4, Reference!$G$4, IF(AC30&gt;=Reference!$H$5, Reference!$G$5, ""))))</f>
        <v>Severe</v>
      </c>
      <c r="Q30" s="16" t="str">
        <f aca="false">IF(F30="Physical", "Very Low", IF(F30="Local", "Low", IF(F30="Adjacent", "Medium", IF(F30="Network", "High", ""))))</f>
        <v>Medium</v>
      </c>
      <c r="R30" s="16" t="str">
        <f aca="false">IF(AE30&gt;=Reference!$D$2, Reference!$E$2, IF(AE30&gt;=Reference!$D$3, Reference!$E$3, IF(AE30&gt;=Reference!$D$4, Reference!$E$4, IF(AE30&gt;=Reference!$D$5, Reference!$E$5, ""))))</f>
        <v>High</v>
      </c>
      <c r="S30" s="17" t="s">
        <v>46</v>
      </c>
      <c r="T30" s="14" t="s">
        <v>92</v>
      </c>
      <c r="U30" s="14" t="s">
        <v>93</v>
      </c>
      <c r="V30" s="14" t="s">
        <v>94</v>
      </c>
      <c r="W30" s="12" t="s">
        <v>66</v>
      </c>
      <c r="X30" s="18" t="str">
        <f aca="false">IFERROR(INDEX(Mapping!$F$2:$F$44,MATCH(ROW(),Mapping!$A$2:$A$44,0)),"")</f>
        <v>T098</v>
      </c>
      <c r="Y30" s="1" t="n">
        <f aca="false">IF(H30=Reference!$A$12, Reference!$C$12, IF(H30=Reference!$A$11, Reference!$C$11, IF(H30=Reference!$A$10, Reference!$C$10, IF(H30=Reference!$A$9, Reference!$C$9, 0))))</f>
        <v>7</v>
      </c>
      <c r="Z30" s="1" t="n">
        <f aca="false">IF(J30=Reference!$A$20, Reference!$C$20, IF(J30=Reference!$A$19, Reference!$C$19, IF(J30=Reference!$A$18, Reference!$C$18, IF(J30=Reference!$A$17, Reference!$C$17, 0))))</f>
        <v>7</v>
      </c>
      <c r="AA30" s="1" t="n">
        <f aca="false">IF(L30=Reference!$A$28, Reference!$C$28, IF(L30=Reference!$A$27, Reference!$C$27, IF(L30=Reference!$A$26, Reference!$C$26, IF(L30=Reference!$A$25, Reference!$C$25, 0))))</f>
        <v>10</v>
      </c>
      <c r="AB30" s="1" t="n">
        <f aca="false">IF(N30=Reference!$A$36, Reference!$C$36, IF(N30=Reference!$A$35, Reference!$C$35, IF(N30=Reference!$A$34, Reference!$C$34, IF(N30=Reference!$A$33, Reference!$C$33, 0))))</f>
        <v>1</v>
      </c>
      <c r="AC30" s="1" t="n">
        <f aca="false">(Reference!$B$2*Y30 + Reference!$B$3*AA30 + Reference!$B$4*Z30 + Reference!$B$5 * AB30)/4</f>
        <v>12.1875</v>
      </c>
      <c r="AD30" s="1" t="n">
        <f aca="false">IF(Q30=Reference!$C$41, Reference!$D$41, IF(Q30=Reference!$C$42, Reference!$D$42, IF(Q30=Reference!$C$43, Reference!$D$43, IF(Q30=Reference!$C$44, Reference!$D$44, 0))))</f>
        <v>7</v>
      </c>
      <c r="AE30" s="1" t="n">
        <f aca="false">1 + (AC30 * AD30)</f>
        <v>86.3125</v>
      </c>
      <c r="AF30" s="12" t="s">
        <v>548</v>
      </c>
    </row>
    <row r="31" customFormat="false" ht="150" hidden="false" customHeight="true" outlineLevel="0" collapsed="false">
      <c r="A31" s="10" t="s">
        <v>549</v>
      </c>
      <c r="B31" s="11" t="s">
        <v>307</v>
      </c>
      <c r="C31" s="12" t="s">
        <v>457</v>
      </c>
      <c r="D31" s="13" t="s">
        <v>550</v>
      </c>
      <c r="E31" s="14" t="s">
        <v>551</v>
      </c>
      <c r="F31" s="12" t="s">
        <v>37</v>
      </c>
      <c r="G31" s="12" t="s">
        <v>552</v>
      </c>
      <c r="H31" s="12" t="s">
        <v>44</v>
      </c>
      <c r="I31" s="14" t="s">
        <v>312</v>
      </c>
      <c r="J31" s="12" t="s">
        <v>39</v>
      </c>
      <c r="K31" s="15" t="s">
        <v>553</v>
      </c>
      <c r="L31" s="12" t="s">
        <v>41</v>
      </c>
      <c r="M31" s="15" t="s">
        <v>462</v>
      </c>
      <c r="N31" s="12" t="s">
        <v>44</v>
      </c>
      <c r="O31" s="14" t="s">
        <v>554</v>
      </c>
      <c r="P31" s="16" t="str">
        <f aca="false">IF(AC31&gt;=Reference!$H$2, Reference!$G$2, IF(AC31&gt;=Reference!$H$3, Reference!$G$3, IF(AC31&gt;=Reference!$H$4, Reference!$G$4, IF(AC31&gt;=Reference!$H$5, Reference!$G$5, ""))))</f>
        <v>Moderate</v>
      </c>
      <c r="Q31" s="16" t="str">
        <f aca="false">IF(F31="Physical", "Very Low", IF(F31="Local", "Low", IF(F31="Adjacent", "Medium", IF(F31="Network", "High", ""))))</f>
        <v>Medium</v>
      </c>
      <c r="R31" s="16" t="str">
        <f aca="false">IF(AE31&gt;=Reference!$D$2, Reference!$E$2, IF(AE31&gt;=Reference!$D$3, Reference!$E$3, IF(AE31&gt;=Reference!$D$4, Reference!$E$4, IF(AE31&gt;=Reference!$D$5, Reference!$E$5, ""))))</f>
        <v>Medium</v>
      </c>
      <c r="S31" s="17" t="s">
        <v>46</v>
      </c>
      <c r="T31" s="14" t="s">
        <v>555</v>
      </c>
      <c r="U31" s="14" t="s">
        <v>556</v>
      </c>
      <c r="V31" s="14" t="s">
        <v>557</v>
      </c>
      <c r="W31" s="12" t="s">
        <v>319</v>
      </c>
      <c r="X31" s="18" t="str">
        <f aca="false">IFERROR(INDEX(Mapping!$F$2:$F$44,MATCH(ROW(),Mapping!$A$2:$A$44,0)),"")</f>
        <v>T102</v>
      </c>
      <c r="Y31" s="1" t="n">
        <f aca="false">IF(H31=Reference!$A$12, Reference!$C$12, IF(H31=Reference!$A$11, Reference!$C$11, IF(H31=Reference!$A$10, Reference!$C$10, IF(H31=Reference!$A$9, Reference!$C$9, 0))))</f>
        <v>1</v>
      </c>
      <c r="Z31" s="1" t="n">
        <f aca="false">IF(J31=Reference!$A$20, Reference!$C$20, IF(J31=Reference!$A$19, Reference!$C$19, IF(J31=Reference!$A$18, Reference!$C$18, IF(J31=Reference!$A$17, Reference!$C$17, 0))))</f>
        <v>7</v>
      </c>
      <c r="AA31" s="1" t="n">
        <f aca="false">IF(L31=Reference!$A$28, Reference!$C$28, IF(L31=Reference!$A$27, Reference!$C$27, IF(L31=Reference!$A$26, Reference!$C$26, IF(L31=Reference!$A$25, Reference!$C$25, 0))))</f>
        <v>4</v>
      </c>
      <c r="AB31" s="1" t="n">
        <f aca="false">IF(N31=Reference!$A$36, Reference!$C$36, IF(N31=Reference!$A$35, Reference!$C$35, IF(N31=Reference!$A$34, Reference!$C$34, IF(N31=Reference!$A$33, Reference!$C$33, 0))))</f>
        <v>1</v>
      </c>
      <c r="AC31" s="1" t="n">
        <f aca="false">(Reference!$B$2*Y31 + Reference!$B$3*AA31 + Reference!$B$4*Z31 + Reference!$B$5 * AB31)/4</f>
        <v>3.1875</v>
      </c>
      <c r="AD31" s="1" t="n">
        <f aca="false">IF(Q31=Reference!$C$41, Reference!$D$41, IF(Q31=Reference!$C$42, Reference!$D$42, IF(Q31=Reference!$C$43, Reference!$D$43, IF(Q31=Reference!$C$44, Reference!$D$44, 0))))</f>
        <v>7</v>
      </c>
      <c r="AE31" s="1" t="n">
        <f aca="false">1 + (AC31 * AD31)</f>
        <v>23.3125</v>
      </c>
      <c r="AF31" s="12" t="s">
        <v>558</v>
      </c>
    </row>
    <row r="32" customFormat="false" ht="150" hidden="false" customHeight="true" outlineLevel="0" collapsed="false">
      <c r="A32" s="10" t="s">
        <v>559</v>
      </c>
      <c r="B32" s="11" t="s">
        <v>69</v>
      </c>
      <c r="C32" s="12" t="s">
        <v>70</v>
      </c>
      <c r="D32" s="13" t="s">
        <v>560</v>
      </c>
      <c r="E32" s="14" t="s">
        <v>561</v>
      </c>
      <c r="F32" s="12" t="s">
        <v>100</v>
      </c>
      <c r="G32" s="12" t="s">
        <v>562</v>
      </c>
      <c r="H32" s="12" t="s">
        <v>39</v>
      </c>
      <c r="I32" s="14" t="s">
        <v>563</v>
      </c>
      <c r="J32" s="12" t="s">
        <v>41</v>
      </c>
      <c r="K32" s="15" t="s">
        <v>564</v>
      </c>
      <c r="L32" s="12" t="s">
        <v>76</v>
      </c>
      <c r="M32" s="15" t="s">
        <v>565</v>
      </c>
      <c r="N32" s="12" t="s">
        <v>44</v>
      </c>
      <c r="O32" s="14" t="s">
        <v>62</v>
      </c>
      <c r="P32" s="16" t="str">
        <f aca="false">IF(AC32&gt;=Reference!$H$2, Reference!$G$2, IF(AC32&gt;=Reference!$H$3, Reference!$G$3, IF(AC32&gt;=Reference!$H$4, Reference!$G$4, IF(AC32&gt;=Reference!$H$5, Reference!$G$5, ""))))</f>
        <v>Severe</v>
      </c>
      <c r="Q32" s="16" t="str">
        <f aca="false">IF(F32="Physical", "Very Low", IF(F32="Local", "Low", IF(F32="Adjacent", "Medium", IF(F32="Network", "High", ""))))</f>
        <v>High</v>
      </c>
      <c r="R32" s="16" t="str">
        <f aca="false">IF(AE32&gt;=Reference!$D$2, Reference!$E$2, IF(AE32&gt;=Reference!$D$3, Reference!$E$3, IF(AE32&gt;=Reference!$D$4, Reference!$E$4, IF(AE32&gt;=Reference!$D$5, Reference!$E$5, ""))))</f>
        <v>Critical</v>
      </c>
      <c r="S32" s="17" t="s">
        <v>46</v>
      </c>
      <c r="T32" s="14" t="s">
        <v>566</v>
      </c>
      <c r="U32" s="14" t="s">
        <v>567</v>
      </c>
      <c r="V32" s="14" t="s">
        <v>568</v>
      </c>
      <c r="W32" s="12" t="s">
        <v>161</v>
      </c>
      <c r="X32" s="18" t="str">
        <f aca="false">IFERROR(INDEX(Mapping!$F$2:$F$44,MATCH(ROW(),Mapping!$A$2:$A$44,0)),"")</f>
        <v>T114</v>
      </c>
      <c r="Y32" s="1" t="n">
        <f aca="false">IF(H32=Reference!$A$12, Reference!$C$12, IF(H32=Reference!$A$11, Reference!$C$11, IF(H32=Reference!$A$10, Reference!$C$10, IF(H32=Reference!$A$9, Reference!$C$9, 0))))</f>
        <v>7</v>
      </c>
      <c r="Z32" s="1" t="n">
        <f aca="false">IF(J32=Reference!$A$20, Reference!$C$20, IF(J32=Reference!$A$19, Reference!$C$19, IF(J32=Reference!$A$18, Reference!$C$18, IF(J32=Reference!$A$17, Reference!$C$17, 0))))</f>
        <v>4</v>
      </c>
      <c r="AA32" s="1" t="n">
        <f aca="false">IF(L32=Reference!$A$28, Reference!$C$28, IF(L32=Reference!$A$27, Reference!$C$27, IF(L32=Reference!$A$26, Reference!$C$26, IF(L32=Reference!$A$25, Reference!$C$25, 0))))</f>
        <v>10</v>
      </c>
      <c r="AB32" s="1" t="n">
        <f aca="false">IF(N32=Reference!$A$36, Reference!$C$36, IF(N32=Reference!$A$35, Reference!$C$35, IF(N32=Reference!$A$34, Reference!$C$34, IF(N32=Reference!$A$33, Reference!$C$33, 0))))</f>
        <v>1</v>
      </c>
      <c r="AC32" s="1" t="n">
        <f aca="false">(Reference!$B$2*Y32 + Reference!$B$3*AA32 + Reference!$B$4*Z32 + Reference!$B$5 * AB32)/4</f>
        <v>11.8125</v>
      </c>
      <c r="AD32" s="1" t="n">
        <f aca="false">IF(Q32=Reference!$C$41, Reference!$D$41, IF(Q32=Reference!$C$42, Reference!$D$42, IF(Q32=Reference!$C$43, Reference!$D$43, IF(Q32=Reference!$C$44, Reference!$D$44, 0))))</f>
        <v>10</v>
      </c>
      <c r="AE32" s="1" t="n">
        <f aca="false">1 + (AC32 * AD32)</f>
        <v>119.125</v>
      </c>
      <c r="AF32" s="12" t="s">
        <v>569</v>
      </c>
    </row>
    <row r="33" customFormat="false" ht="150" hidden="false" customHeight="true" outlineLevel="0" collapsed="false">
      <c r="A33" s="10" t="s">
        <v>570</v>
      </c>
      <c r="B33" s="11" t="s">
        <v>53</v>
      </c>
      <c r="C33" s="12" t="s">
        <v>54</v>
      </c>
      <c r="D33" s="13" t="s">
        <v>571</v>
      </c>
      <c r="E33" s="14" t="s">
        <v>572</v>
      </c>
      <c r="F33" s="12" t="s">
        <v>100</v>
      </c>
      <c r="G33" s="12" t="s">
        <v>220</v>
      </c>
      <c r="H33" s="12" t="s">
        <v>41</v>
      </c>
      <c r="I33" s="14" t="s">
        <v>573</v>
      </c>
      <c r="J33" s="12" t="s">
        <v>39</v>
      </c>
      <c r="K33" s="15" t="s">
        <v>574</v>
      </c>
      <c r="L33" s="12" t="s">
        <v>39</v>
      </c>
      <c r="M33" s="15" t="s">
        <v>575</v>
      </c>
      <c r="N33" s="12" t="s">
        <v>41</v>
      </c>
      <c r="O33" s="14" t="s">
        <v>576</v>
      </c>
      <c r="P33" s="16" t="str">
        <f aca="false">IF(AC33&gt;=Reference!$H$2, Reference!$G$2, IF(AC33&gt;=Reference!$H$3, Reference!$G$3, IF(AC33&gt;=Reference!$H$4, Reference!$G$4, IF(AC33&gt;=Reference!$H$5, Reference!$G$5, ""))))</f>
        <v>Major</v>
      </c>
      <c r="Q33" s="16" t="str">
        <f aca="false">IF(F33="Physical", "Very Low", IF(F33="Local", "Low", IF(F33="Adjacent", "Medium", IF(F33="Network", "High", ""))))</f>
        <v>High</v>
      </c>
      <c r="R33" s="16" t="str">
        <f aca="false">IF(AE33&gt;=Reference!$D$2, Reference!$E$2, IF(AE33&gt;=Reference!$D$3, Reference!$E$3, IF(AE33&gt;=Reference!$D$4, Reference!$E$4, IF(AE33&gt;=Reference!$D$5, Reference!$E$5, ""))))</f>
        <v>High</v>
      </c>
      <c r="S33" s="17" t="s">
        <v>46</v>
      </c>
      <c r="T33" s="14" t="s">
        <v>577</v>
      </c>
      <c r="U33" s="14" t="s">
        <v>578</v>
      </c>
      <c r="V33" s="14" t="s">
        <v>579</v>
      </c>
      <c r="W33" s="12" t="s">
        <v>66</v>
      </c>
      <c r="X33" s="18" t="str">
        <f aca="false">IFERROR(INDEX(Mapping!$F$2:$F$44,MATCH(ROW(),Mapping!$A$2:$A$44,0)),"")</f>
        <v>T137</v>
      </c>
      <c r="Y33" s="1" t="n">
        <f aca="false">IF(H33=Reference!$A$12, Reference!$C$12, IF(H33=Reference!$A$11, Reference!$C$11, IF(H33=Reference!$A$10, Reference!$C$10, IF(H33=Reference!$A$9, Reference!$C$9, 0))))</f>
        <v>4</v>
      </c>
      <c r="Z33" s="1" t="n">
        <f aca="false">IF(J33=Reference!$A$20, Reference!$C$20, IF(J33=Reference!$A$19, Reference!$C$19, IF(J33=Reference!$A$18, Reference!$C$18, IF(J33=Reference!$A$17, Reference!$C$17, 0))))</f>
        <v>7</v>
      </c>
      <c r="AA33" s="1" t="n">
        <f aca="false">IF(L33=Reference!$A$28, Reference!$C$28, IF(L33=Reference!$A$27, Reference!$C$27, IF(L33=Reference!$A$26, Reference!$C$26, IF(L33=Reference!$A$25, Reference!$C$25, 0))))</f>
        <v>7</v>
      </c>
      <c r="AB33" s="1" t="n">
        <f aca="false">IF(N33=Reference!$A$36, Reference!$C$36, IF(N33=Reference!$A$35, Reference!$C$35, IF(N33=Reference!$A$34, Reference!$C$34, IF(N33=Reference!$A$33, Reference!$C$33, 0))))</f>
        <v>4</v>
      </c>
      <c r="AC33" s="1" t="n">
        <f aca="false">(Reference!$B$2*Y33 + Reference!$B$3*AA33 + Reference!$B$4*Z33 + Reference!$B$5 * AB33)/4</f>
        <v>7.875</v>
      </c>
      <c r="AD33" s="1" t="n">
        <f aca="false">IF(Q33=Reference!$C$41, Reference!$D$41, IF(Q33=Reference!$C$42, Reference!$D$42, IF(Q33=Reference!$C$43, Reference!$D$43, IF(Q33=Reference!$C$44, Reference!$D$44, 0))))</f>
        <v>10</v>
      </c>
      <c r="AE33" s="1" t="n">
        <f aca="false">1 + (AC33 * AD33)</f>
        <v>79.75</v>
      </c>
      <c r="AF33" s="12" t="s">
        <v>580</v>
      </c>
    </row>
    <row r="34" customFormat="false" ht="150" hidden="false" customHeight="true" outlineLevel="0" collapsed="false">
      <c r="A34" s="10" t="s">
        <v>322</v>
      </c>
      <c r="B34" s="11" t="s">
        <v>323</v>
      </c>
      <c r="C34" s="12" t="s">
        <v>324</v>
      </c>
      <c r="D34" s="13" t="s">
        <v>325</v>
      </c>
      <c r="E34" s="14" t="s">
        <v>326</v>
      </c>
      <c r="F34" s="12" t="s">
        <v>100</v>
      </c>
      <c r="G34" s="12" t="s">
        <v>327</v>
      </c>
      <c r="H34" s="12" t="s">
        <v>76</v>
      </c>
      <c r="I34" s="14" t="s">
        <v>328</v>
      </c>
      <c r="J34" s="12" t="s">
        <v>76</v>
      </c>
      <c r="K34" s="15" t="s">
        <v>329</v>
      </c>
      <c r="L34" s="12" t="s">
        <v>76</v>
      </c>
      <c r="M34" s="15" t="s">
        <v>330</v>
      </c>
      <c r="N34" s="12" t="s">
        <v>39</v>
      </c>
      <c r="O34" s="14" t="s">
        <v>331</v>
      </c>
      <c r="P34" s="16" t="str">
        <f aca="false">IF(AC34&gt;=Reference!$H$2, Reference!$G$2, IF(AC34&gt;=Reference!$H$3, Reference!$G$3, IF(AC34&gt;=Reference!$H$4, Reference!$G$4, IF(AC34&gt;=Reference!$H$5, Reference!$G$5, ""))))</f>
        <v>Severe</v>
      </c>
      <c r="Q34" s="16" t="str">
        <f aca="false">IF(F34="Physical", "Very Low", IF(F34="Local", "Low", IF(F34="Adjacent", "Medium", IF(F34="Network", "High", ""))))</f>
        <v>High</v>
      </c>
      <c r="R34" s="16" t="str">
        <f aca="false">IF(AE34&gt;=Reference!$D$2, Reference!$E$2, IF(AE34&gt;=Reference!$D$3, Reference!$E$3, IF(AE34&gt;=Reference!$D$4, Reference!$E$4, IF(AE34&gt;=Reference!$D$5, Reference!$E$5, ""))))</f>
        <v>Critical</v>
      </c>
      <c r="S34" s="17" t="s">
        <v>46</v>
      </c>
      <c r="T34" s="14" t="s">
        <v>332</v>
      </c>
      <c r="U34" s="14" t="s">
        <v>333</v>
      </c>
      <c r="V34" s="14" t="s">
        <v>334</v>
      </c>
      <c r="W34" s="12" t="s">
        <v>335</v>
      </c>
      <c r="X34" s="18" t="str">
        <f aca="false">IFERROR(INDEX(Mapping!$F$2:$F$44,MATCH(ROW(),Mapping!$A$2:$A$44,0)),"")</f>
        <v>T209</v>
      </c>
      <c r="Y34" s="1" t="n">
        <f aca="false">IF(H34=Reference!$A$12, Reference!$C$12, IF(H34=Reference!$A$11, Reference!$C$11, IF(H34=Reference!$A$10, Reference!$C$10, IF(H34=Reference!$A$9, Reference!$C$9, 0))))</f>
        <v>10</v>
      </c>
      <c r="Z34" s="1" t="n">
        <f aca="false">IF(J34=Reference!$A$20, Reference!$C$20, IF(J34=Reference!$A$19, Reference!$C$19, IF(J34=Reference!$A$18, Reference!$C$18, IF(J34=Reference!$A$17, Reference!$C$17, 0))))</f>
        <v>10</v>
      </c>
      <c r="AA34" s="1" t="n">
        <f aca="false">IF(L34=Reference!$A$28, Reference!$C$28, IF(L34=Reference!$A$27, Reference!$C$27, IF(L34=Reference!$A$26, Reference!$C$26, IF(L34=Reference!$A$25, Reference!$C$25, 0))))</f>
        <v>10</v>
      </c>
      <c r="AB34" s="1" t="n">
        <f aca="false">IF(N34=Reference!$A$36, Reference!$C$36, IF(N34=Reference!$A$35, Reference!$C$35, IF(N34=Reference!$A$34, Reference!$C$34, IF(N34=Reference!$A$33, Reference!$C$33, 0))))</f>
        <v>7</v>
      </c>
      <c r="AC34" s="1" t="n">
        <f aca="false">(Reference!$B$2*Y34 + Reference!$B$3*AA34 + Reference!$B$4*Z34 + Reference!$B$5 * AB34)/4</f>
        <v>16.6875</v>
      </c>
      <c r="AD34" s="1" t="n">
        <f aca="false">IF(Q34=Reference!$C$41, Reference!$D$41, IF(Q34=Reference!$C$42, Reference!$D$42, IF(Q34=Reference!$C$43, Reference!$D$43, IF(Q34=Reference!$C$44, Reference!$D$44, 0))))</f>
        <v>10</v>
      </c>
      <c r="AE34" s="1" t="n">
        <f aca="false">1 + (AC34 * AD34)</f>
        <v>167.875</v>
      </c>
      <c r="AF34" s="12" t="s">
        <v>581</v>
      </c>
    </row>
    <row r="35" customFormat="false" ht="150" hidden="false" customHeight="true" outlineLevel="0" collapsed="false">
      <c r="A35" s="10" t="s">
        <v>582</v>
      </c>
      <c r="B35" s="11" t="s">
        <v>69</v>
      </c>
      <c r="C35" s="12" t="s">
        <v>70</v>
      </c>
      <c r="D35" s="13" t="s">
        <v>583</v>
      </c>
      <c r="E35" s="14" t="s">
        <v>584</v>
      </c>
      <c r="F35" s="12" t="s">
        <v>100</v>
      </c>
      <c r="G35" s="12" t="s">
        <v>585</v>
      </c>
      <c r="H35" s="12" t="s">
        <v>41</v>
      </c>
      <c r="I35" s="14" t="s">
        <v>586</v>
      </c>
      <c r="J35" s="12" t="s">
        <v>39</v>
      </c>
      <c r="K35" s="15" t="s">
        <v>587</v>
      </c>
      <c r="L35" s="12" t="s">
        <v>76</v>
      </c>
      <c r="M35" s="15" t="s">
        <v>588</v>
      </c>
      <c r="N35" s="12" t="s">
        <v>44</v>
      </c>
      <c r="O35" s="14" t="s">
        <v>62</v>
      </c>
      <c r="P35" s="16" t="str">
        <f aca="false">IF(AC35&gt;=Reference!$H$2, Reference!$G$2, IF(AC35&gt;=Reference!$H$3, Reference!$G$3, IF(AC35&gt;=Reference!$H$4, Reference!$G$4, IF(AC35&gt;=Reference!$H$5, Reference!$G$5, ""))))</f>
        <v>Severe</v>
      </c>
      <c r="Q35" s="16" t="str">
        <f aca="false">IF(F35="Physical", "Very Low", IF(F35="Local", "Low", IF(F35="Adjacent", "Medium", IF(F35="Network", "High", ""))))</f>
        <v>High</v>
      </c>
      <c r="R35" s="16" t="str">
        <f aca="false">IF(AE35&gt;=Reference!$D$2, Reference!$E$2, IF(AE35&gt;=Reference!$D$3, Reference!$E$3, IF(AE35&gt;=Reference!$D$4, Reference!$E$4, IF(AE35&gt;=Reference!$D$5, Reference!$E$5, ""))))</f>
        <v>High</v>
      </c>
      <c r="S35" s="17" t="s">
        <v>46</v>
      </c>
      <c r="T35" s="14" t="s">
        <v>589</v>
      </c>
      <c r="U35" s="14" t="s">
        <v>590</v>
      </c>
      <c r="V35" s="14" t="s">
        <v>591</v>
      </c>
      <c r="W35" s="12" t="s">
        <v>161</v>
      </c>
      <c r="X35" s="18" t="str">
        <f aca="false">IFERROR(INDEX(Mapping!$F$2:$F$44,MATCH(ROW(),Mapping!$A$2:$A$44,0)),"")</f>
        <v>T207</v>
      </c>
      <c r="Y35" s="1" t="n">
        <f aca="false">IF(H35=Reference!$A$12, Reference!$C$12, IF(H35=Reference!$A$11, Reference!$C$11, IF(H35=Reference!$A$10, Reference!$C$10, IF(H35=Reference!$A$9, Reference!$C$9, 0))))</f>
        <v>4</v>
      </c>
      <c r="Z35" s="1" t="n">
        <f aca="false">IF(J35=Reference!$A$20, Reference!$C$20, IF(J35=Reference!$A$19, Reference!$C$19, IF(J35=Reference!$A$18, Reference!$C$18, IF(J35=Reference!$A$17, Reference!$C$17, 0))))</f>
        <v>7</v>
      </c>
      <c r="AA35" s="1" t="n">
        <f aca="false">IF(L35=Reference!$A$28, Reference!$C$28, IF(L35=Reference!$A$27, Reference!$C$27, IF(L35=Reference!$A$26, Reference!$C$26, IF(L35=Reference!$A$25, Reference!$C$25, 0))))</f>
        <v>10</v>
      </c>
      <c r="AB35" s="1" t="n">
        <f aca="false">IF(N35=Reference!$A$36, Reference!$C$36, IF(N35=Reference!$A$35, Reference!$C$35, IF(N35=Reference!$A$34, Reference!$C$34, IF(N35=Reference!$A$33, Reference!$C$33, 0))))</f>
        <v>1</v>
      </c>
      <c r="AC35" s="1" t="n">
        <f aca="false">(Reference!$B$2*Y35 + Reference!$B$3*AA35 + Reference!$B$4*Z35 + Reference!$B$5 * AB35)/4</f>
        <v>8.4375</v>
      </c>
      <c r="AD35" s="1" t="n">
        <f aca="false">IF(Q35=Reference!$C$41, Reference!$D$41, IF(Q35=Reference!$C$42, Reference!$D$42, IF(Q35=Reference!$C$43, Reference!$D$43, IF(Q35=Reference!$C$44, Reference!$D$44, 0))))</f>
        <v>10</v>
      </c>
      <c r="AE35" s="1" t="n">
        <f aca="false">1 + (AC35 * AD35)</f>
        <v>85.375</v>
      </c>
      <c r="AF35" s="12" t="s">
        <v>592</v>
      </c>
    </row>
    <row r="36" customFormat="false" ht="150" hidden="false" customHeight="true" outlineLevel="0" collapsed="false">
      <c r="A36" s="10" t="s">
        <v>593</v>
      </c>
      <c r="B36" s="11" t="s">
        <v>125</v>
      </c>
      <c r="C36" s="12" t="s">
        <v>126</v>
      </c>
      <c r="D36" s="13" t="s">
        <v>594</v>
      </c>
      <c r="E36" s="14" t="s">
        <v>595</v>
      </c>
      <c r="F36" s="12" t="s">
        <v>100</v>
      </c>
      <c r="G36" s="12" t="s">
        <v>596</v>
      </c>
      <c r="H36" s="12" t="s">
        <v>44</v>
      </c>
      <c r="I36" s="14" t="s">
        <v>233</v>
      </c>
      <c r="J36" s="12" t="s">
        <v>39</v>
      </c>
      <c r="K36" s="15" t="s">
        <v>597</v>
      </c>
      <c r="L36" s="12" t="s">
        <v>41</v>
      </c>
      <c r="M36" s="15" t="s">
        <v>598</v>
      </c>
      <c r="N36" s="12" t="s">
        <v>76</v>
      </c>
      <c r="O36" s="14" t="s">
        <v>599</v>
      </c>
      <c r="P36" s="16" t="str">
        <f aca="false">IF(AC36&gt;=Reference!$H$2, Reference!$G$2, IF(AC36&gt;=Reference!$H$3, Reference!$G$3, IF(AC36&gt;=Reference!$H$4, Reference!$G$4, IF(AC36&gt;=Reference!$H$5, Reference!$G$5, ""))))</f>
        <v>Moderate</v>
      </c>
      <c r="Q36" s="16" t="str">
        <f aca="false">IF(F36="Physical", "Very Low", IF(F36="Local", "Low", IF(F36="Adjacent", "Medium", IF(F36="Network", "High", ""))))</f>
        <v>High</v>
      </c>
      <c r="R36" s="16" t="str">
        <f aca="false">IF(AE36&gt;=Reference!$D$2, Reference!$E$2, IF(AE36&gt;=Reference!$D$3, Reference!$E$3, IF(AE36&gt;=Reference!$D$4, Reference!$E$4, IF(AE36&gt;=Reference!$D$5, Reference!$E$5, ""))))</f>
        <v>Medium</v>
      </c>
      <c r="S36" s="17" t="s">
        <v>46</v>
      </c>
      <c r="T36" s="14" t="s">
        <v>600</v>
      </c>
      <c r="U36" s="14" t="s">
        <v>601</v>
      </c>
      <c r="V36" s="14" t="s">
        <v>602</v>
      </c>
      <c r="W36" s="12" t="s">
        <v>240</v>
      </c>
      <c r="X36" s="18" t="str">
        <f aca="false">IFERROR(INDEX(Mapping!$F$2:$F$44,MATCH(ROW(),Mapping!$A$2:$A$44,0)),"")</f>
        <v>T205</v>
      </c>
      <c r="Y36" s="1" t="n">
        <f aca="false">IF(H36=Reference!$A$12, Reference!$C$12, IF(H36=Reference!$A$11, Reference!$C$11, IF(H36=Reference!$A$10, Reference!$C$10, IF(H36=Reference!$A$9, Reference!$C$9, 0))))</f>
        <v>1</v>
      </c>
      <c r="Z36" s="1" t="n">
        <f aca="false">IF(J36=Reference!$A$20, Reference!$C$20, IF(J36=Reference!$A$19, Reference!$C$19, IF(J36=Reference!$A$18, Reference!$C$18, IF(J36=Reference!$A$17, Reference!$C$17, 0))))</f>
        <v>7</v>
      </c>
      <c r="AA36" s="1" t="n">
        <f aca="false">IF(L36=Reference!$A$28, Reference!$C$28, IF(L36=Reference!$A$27, Reference!$C$27, IF(L36=Reference!$A$26, Reference!$C$26, IF(L36=Reference!$A$25, Reference!$C$25, 0))))</f>
        <v>4</v>
      </c>
      <c r="AB36" s="1" t="n">
        <f aca="false">IF(N36=Reference!$A$36, Reference!$C$36, IF(N36=Reference!$A$35, Reference!$C$35, IF(N36=Reference!$A$34, Reference!$C$34, IF(N36=Reference!$A$33, Reference!$C$33, 0))))</f>
        <v>10</v>
      </c>
      <c r="AC36" s="1" t="n">
        <f aca="false">(Reference!$B$2*Y36 + Reference!$B$3*AA36 + Reference!$B$4*Z36 + Reference!$B$5 * AB36)/4</f>
        <v>3.75</v>
      </c>
      <c r="AD36" s="1" t="n">
        <f aca="false">IF(Q36=Reference!$C$41, Reference!$D$41, IF(Q36=Reference!$C$42, Reference!$D$42, IF(Q36=Reference!$C$43, Reference!$D$43, IF(Q36=Reference!$C$44, Reference!$D$44, 0))))</f>
        <v>10</v>
      </c>
      <c r="AE36" s="1" t="n">
        <f aca="false">1 + (AC36 * AD36)</f>
        <v>38.5</v>
      </c>
      <c r="AF36" s="12" t="s">
        <v>603</v>
      </c>
    </row>
    <row r="37" customFormat="false" ht="150" hidden="false" customHeight="true" outlineLevel="0" collapsed="false">
      <c r="A37" s="10" t="s">
        <v>306</v>
      </c>
      <c r="B37" s="11" t="s">
        <v>307</v>
      </c>
      <c r="C37" s="12" t="s">
        <v>308</v>
      </c>
      <c r="D37" s="13" t="s">
        <v>309</v>
      </c>
      <c r="E37" s="14" t="s">
        <v>310</v>
      </c>
      <c r="F37" s="12" t="s">
        <v>100</v>
      </c>
      <c r="G37" s="12" t="s">
        <v>311</v>
      </c>
      <c r="H37" s="12" t="s">
        <v>44</v>
      </c>
      <c r="I37" s="14" t="s">
        <v>312</v>
      </c>
      <c r="J37" s="12" t="s">
        <v>39</v>
      </c>
      <c r="K37" s="15" t="s">
        <v>313</v>
      </c>
      <c r="L37" s="12" t="s">
        <v>41</v>
      </c>
      <c r="M37" s="15" t="s">
        <v>314</v>
      </c>
      <c r="N37" s="12" t="s">
        <v>44</v>
      </c>
      <c r="O37" s="14" t="s">
        <v>315</v>
      </c>
      <c r="P37" s="16" t="str">
        <f aca="false">IF(AC37&gt;=Reference!$H$2, Reference!$G$2, IF(AC37&gt;=Reference!$H$3, Reference!$G$3, IF(AC37&gt;=Reference!$H$4, Reference!$G$4, IF(AC37&gt;=Reference!$H$5, Reference!$G$5, ""))))</f>
        <v>Moderate</v>
      </c>
      <c r="Q37" s="16" t="str">
        <f aca="false">IF(F37="Physical", "Very Low", IF(F37="Local", "Low", IF(F37="Adjacent", "Medium", IF(F37="Network", "High", ""))))</f>
        <v>High</v>
      </c>
      <c r="R37" s="16" t="str">
        <f aca="false">IF(AE37&gt;=Reference!$D$2, Reference!$E$2, IF(AE37&gt;=Reference!$D$3, Reference!$E$3, IF(AE37&gt;=Reference!$D$4, Reference!$E$4, IF(AE37&gt;=Reference!$D$5, Reference!$E$5, ""))))</f>
        <v>Medium</v>
      </c>
      <c r="S37" s="17" t="s">
        <v>46</v>
      </c>
      <c r="T37" s="14" t="s">
        <v>316</v>
      </c>
      <c r="U37" s="14" t="s">
        <v>317</v>
      </c>
      <c r="V37" s="14" t="s">
        <v>318</v>
      </c>
      <c r="W37" s="12" t="s">
        <v>319</v>
      </c>
      <c r="X37" s="18" t="str">
        <f aca="false">IFERROR(INDEX(Mapping!$F$2:$F$44,MATCH(ROW(),Mapping!$A$2:$A$44,0)),"")</f>
        <v>T210</v>
      </c>
      <c r="Y37" s="1" t="n">
        <f aca="false">IF(H37=Reference!$A$12, Reference!$C$12, IF(H37=Reference!$A$11, Reference!$C$11, IF(H37=Reference!$A$10, Reference!$C$10, IF(H37=Reference!$A$9, Reference!$C$9, 0))))</f>
        <v>1</v>
      </c>
      <c r="Z37" s="1" t="n">
        <f aca="false">IF(J37=Reference!$A$20, Reference!$C$20, IF(J37=Reference!$A$19, Reference!$C$19, IF(J37=Reference!$A$18, Reference!$C$18, IF(J37=Reference!$A$17, Reference!$C$17, 0))))</f>
        <v>7</v>
      </c>
      <c r="AA37" s="1" t="n">
        <f aca="false">IF(L37=Reference!$A$28, Reference!$C$28, IF(L37=Reference!$A$27, Reference!$C$27, IF(L37=Reference!$A$26, Reference!$C$26, IF(L37=Reference!$A$25, Reference!$C$25, 0))))</f>
        <v>4</v>
      </c>
      <c r="AB37" s="1" t="n">
        <f aca="false">IF(N37=Reference!$A$36, Reference!$C$36, IF(N37=Reference!$A$35, Reference!$C$35, IF(N37=Reference!$A$34, Reference!$C$34, IF(N37=Reference!$A$33, Reference!$C$33, 0))))</f>
        <v>1</v>
      </c>
      <c r="AC37" s="1" t="n">
        <f aca="false">(Reference!$B$2*Y37 + Reference!$B$3*AA37 + Reference!$B$4*Z37 + Reference!$B$5 * AB37)/4</f>
        <v>3.1875</v>
      </c>
      <c r="AD37" s="1" t="n">
        <f aca="false">IF(Q37=Reference!$C$41, Reference!$D$41, IF(Q37=Reference!$C$42, Reference!$D$42, IF(Q37=Reference!$C$43, Reference!$D$43, IF(Q37=Reference!$C$44, Reference!$D$44, 0))))</f>
        <v>10</v>
      </c>
      <c r="AE37" s="1" t="n">
        <f aca="false">1 + (AC37 * AD37)</f>
        <v>32.875</v>
      </c>
      <c r="AF37" s="12" t="s">
        <v>604</v>
      </c>
    </row>
    <row r="38" customFormat="false" ht="150" hidden="false" customHeight="true" outlineLevel="0" collapsed="false">
      <c r="A38" s="10" t="s">
        <v>254</v>
      </c>
      <c r="B38" s="11" t="s">
        <v>53</v>
      </c>
      <c r="C38" s="12" t="s">
        <v>54</v>
      </c>
      <c r="D38" s="13" t="s">
        <v>255</v>
      </c>
      <c r="E38" s="14" t="s">
        <v>256</v>
      </c>
      <c r="F38" s="12" t="s">
        <v>100</v>
      </c>
      <c r="G38" s="12" t="s">
        <v>257</v>
      </c>
      <c r="H38" s="12" t="s">
        <v>39</v>
      </c>
      <c r="I38" s="14" t="s">
        <v>258</v>
      </c>
      <c r="J38" s="12" t="s">
        <v>41</v>
      </c>
      <c r="K38" s="15" t="s">
        <v>259</v>
      </c>
      <c r="L38" s="12" t="s">
        <v>39</v>
      </c>
      <c r="M38" s="15" t="s">
        <v>260</v>
      </c>
      <c r="N38" s="12" t="s">
        <v>44</v>
      </c>
      <c r="O38" s="14" t="s">
        <v>261</v>
      </c>
      <c r="P38" s="16" t="str">
        <f aca="false">IF(AC38&gt;=Reference!$H$2, Reference!$G$2, IF(AC38&gt;=Reference!$H$3, Reference!$G$3, IF(AC38&gt;=Reference!$H$4, Reference!$G$4, IF(AC38&gt;=Reference!$H$5, Reference!$G$5, ""))))</f>
        <v>Severe</v>
      </c>
      <c r="Q38" s="16" t="str">
        <f aca="false">IF(F38="Physical", "Very Low", IF(F38="Local", "Low", IF(F38="Adjacent", "Medium", IF(F38="Network", "High", ""))))</f>
        <v>High</v>
      </c>
      <c r="R38" s="16" t="str">
        <f aca="false">IF(AE38&gt;=Reference!$D$2, Reference!$E$2, IF(AE38&gt;=Reference!$D$3, Reference!$E$3, IF(AE38&gt;=Reference!$D$4, Reference!$E$4, IF(AE38&gt;=Reference!$D$5, Reference!$E$5, ""))))</f>
        <v>Critical</v>
      </c>
      <c r="S38" s="17" t="s">
        <v>46</v>
      </c>
      <c r="T38" s="14" t="s">
        <v>262</v>
      </c>
      <c r="U38" s="14" t="s">
        <v>263</v>
      </c>
      <c r="V38" s="14" t="s">
        <v>264</v>
      </c>
      <c r="W38" s="12" t="s">
        <v>214</v>
      </c>
      <c r="X38" s="18" t="str">
        <f aca="false">IFERROR(INDEX(Mapping!$F$2:$F$44,MATCH(ROW(),Mapping!$A$2:$A$44,0)),"")</f>
        <v>T188</v>
      </c>
      <c r="Y38" s="1" t="n">
        <f aca="false">IF(H38=Reference!$A$12, Reference!$C$12, IF(H38=Reference!$A$11, Reference!$C$11, IF(H38=Reference!$A$10, Reference!$C$10, IF(H38=Reference!$A$9, Reference!$C$9, 0))))</f>
        <v>7</v>
      </c>
      <c r="Z38" s="1" t="n">
        <f aca="false">IF(J38=Reference!$A$20, Reference!$C$20, IF(J38=Reference!$A$19, Reference!$C$19, IF(J38=Reference!$A$18, Reference!$C$18, IF(J38=Reference!$A$17, Reference!$C$17, 0))))</f>
        <v>4</v>
      </c>
      <c r="AA38" s="1" t="n">
        <f aca="false">IF(L38=Reference!$A$28, Reference!$C$28, IF(L38=Reference!$A$27, Reference!$C$27, IF(L38=Reference!$A$26, Reference!$C$26, IF(L38=Reference!$A$25, Reference!$C$25, 0))))</f>
        <v>7</v>
      </c>
      <c r="AB38" s="1" t="n">
        <f aca="false">IF(N38=Reference!$A$36, Reference!$C$36, IF(N38=Reference!$A$35, Reference!$C$35, IF(N38=Reference!$A$34, Reference!$C$34, IF(N38=Reference!$A$33, Reference!$C$33, 0))))</f>
        <v>1</v>
      </c>
      <c r="AC38" s="1" t="n">
        <f aca="false">(Reference!$B$2*Y38 + Reference!$B$3*AA38 + Reference!$B$4*Z38 + Reference!$B$5 * AB38)/4</f>
        <v>11.0625</v>
      </c>
      <c r="AD38" s="1" t="n">
        <f aca="false">IF(Q38=Reference!$C$41, Reference!$D$41, IF(Q38=Reference!$C$42, Reference!$D$42, IF(Q38=Reference!$C$43, Reference!$D$43, IF(Q38=Reference!$C$44, Reference!$D$44, 0))))</f>
        <v>10</v>
      </c>
      <c r="AE38" s="1" t="n">
        <f aca="false">1 + (AC38 * AD38)</f>
        <v>111.625</v>
      </c>
      <c r="AF38" s="12" t="s">
        <v>605</v>
      </c>
    </row>
    <row r="39" customFormat="false" ht="150" hidden="false" customHeight="true" outlineLevel="0" collapsed="false">
      <c r="A39" s="10" t="s">
        <v>606</v>
      </c>
      <c r="B39" s="11" t="s">
        <v>307</v>
      </c>
      <c r="C39" s="12" t="s">
        <v>457</v>
      </c>
      <c r="D39" s="13" t="s">
        <v>607</v>
      </c>
      <c r="E39" s="14" t="s">
        <v>608</v>
      </c>
      <c r="F39" s="12" t="s">
        <v>100</v>
      </c>
      <c r="G39" s="12" t="s">
        <v>609</v>
      </c>
      <c r="H39" s="12" t="s">
        <v>44</v>
      </c>
      <c r="I39" s="14" t="s">
        <v>312</v>
      </c>
      <c r="J39" s="12" t="s">
        <v>41</v>
      </c>
      <c r="K39" s="15" t="s">
        <v>610</v>
      </c>
      <c r="L39" s="12" t="s">
        <v>41</v>
      </c>
      <c r="M39" s="15" t="s">
        <v>611</v>
      </c>
      <c r="N39" s="12" t="s">
        <v>44</v>
      </c>
      <c r="O39" s="14" t="s">
        <v>612</v>
      </c>
      <c r="P39" s="16" t="str">
        <f aca="false">IF(AC39&gt;=Reference!$H$2, Reference!$G$2, IF(AC39&gt;=Reference!$H$3, Reference!$G$3, IF(AC39&gt;=Reference!$H$4, Reference!$G$4, IF(AC39&gt;=Reference!$H$5, Reference!$G$5, ""))))</f>
        <v>Moderate</v>
      </c>
      <c r="Q39" s="16" t="str">
        <f aca="false">IF(F39="Physical", "Very Low", IF(F39="Local", "Low", IF(F39="Adjacent", "Medium", IF(F39="Network", "High", ""))))</f>
        <v>High</v>
      </c>
      <c r="R39" s="16" t="str">
        <f aca="false">IF(AE39&gt;=Reference!$D$2, Reference!$E$2, IF(AE39&gt;=Reference!$D$3, Reference!$E$3, IF(AE39&gt;=Reference!$D$4, Reference!$E$4, IF(AE39&gt;=Reference!$D$5, Reference!$E$5, ""))))</f>
        <v>Medium</v>
      </c>
      <c r="S39" s="17" t="s">
        <v>46</v>
      </c>
      <c r="T39" s="14" t="s">
        <v>613</v>
      </c>
      <c r="U39" s="14" t="s">
        <v>614</v>
      </c>
      <c r="V39" s="14" t="s">
        <v>615</v>
      </c>
      <c r="W39" s="12" t="s">
        <v>319</v>
      </c>
      <c r="X39" s="18" t="str">
        <f aca="false">IFERROR(INDEX(Mapping!$F$2:$F$44,MATCH(ROW(),Mapping!$A$2:$A$44,0)),"")</f>
        <v>T192</v>
      </c>
      <c r="Y39" s="1" t="n">
        <f aca="false">IF(H39=Reference!$A$12, Reference!$C$12, IF(H39=Reference!$A$11, Reference!$C$11, IF(H39=Reference!$A$10, Reference!$C$10, IF(H39=Reference!$A$9, Reference!$C$9, 0))))</f>
        <v>1</v>
      </c>
      <c r="Z39" s="1" t="n">
        <f aca="false">IF(J39=Reference!$A$20, Reference!$C$20, IF(J39=Reference!$A$19, Reference!$C$19, IF(J39=Reference!$A$18, Reference!$C$18, IF(J39=Reference!$A$17, Reference!$C$17, 0))))</f>
        <v>4</v>
      </c>
      <c r="AA39" s="1" t="n">
        <f aca="false">IF(L39=Reference!$A$28, Reference!$C$28, IF(L39=Reference!$A$27, Reference!$C$27, IF(L39=Reference!$A$26, Reference!$C$26, IF(L39=Reference!$A$25, Reference!$C$25, 0))))</f>
        <v>4</v>
      </c>
      <c r="AB39" s="1" t="n">
        <f aca="false">IF(N39=Reference!$A$36, Reference!$C$36, IF(N39=Reference!$A$35, Reference!$C$35, IF(N39=Reference!$A$34, Reference!$C$34, IF(N39=Reference!$A$33, Reference!$C$33, 0))))</f>
        <v>1</v>
      </c>
      <c r="AC39" s="1" t="n">
        <f aca="false">(Reference!$B$2*Y39 + Reference!$B$3*AA39 + Reference!$B$4*Z39 + Reference!$B$5 * AB39)/4</f>
        <v>2.8125</v>
      </c>
      <c r="AD39" s="1" t="n">
        <f aca="false">IF(Q39=Reference!$C$41, Reference!$D$41, IF(Q39=Reference!$C$42, Reference!$D$42, IF(Q39=Reference!$C$43, Reference!$D$43, IF(Q39=Reference!$C$44, Reference!$D$44, 0))))</f>
        <v>10</v>
      </c>
      <c r="AE39" s="1" t="n">
        <f aca="false">1 + (AC39 * AD39)</f>
        <v>29.125</v>
      </c>
      <c r="AF39" s="12" t="s">
        <v>616</v>
      </c>
    </row>
    <row r="40" customFormat="false" ht="150" hidden="false" customHeight="true" outlineLevel="0" collapsed="false">
      <c r="A40" s="10" t="s">
        <v>617</v>
      </c>
      <c r="B40" s="11" t="s">
        <v>53</v>
      </c>
      <c r="C40" s="12" t="s">
        <v>54</v>
      </c>
      <c r="D40" s="13" t="s">
        <v>618</v>
      </c>
      <c r="E40" s="14" t="s">
        <v>619</v>
      </c>
      <c r="F40" s="12" t="s">
        <v>193</v>
      </c>
      <c r="G40" s="12" t="s">
        <v>620</v>
      </c>
      <c r="H40" s="12" t="s">
        <v>39</v>
      </c>
      <c r="I40" s="14" t="s">
        <v>621</v>
      </c>
      <c r="J40" s="12" t="s">
        <v>41</v>
      </c>
      <c r="K40" s="15" t="s">
        <v>622</v>
      </c>
      <c r="L40" s="12" t="s">
        <v>39</v>
      </c>
      <c r="M40" s="15" t="s">
        <v>623</v>
      </c>
      <c r="N40" s="12" t="s">
        <v>44</v>
      </c>
      <c r="O40" s="14" t="s">
        <v>62</v>
      </c>
      <c r="P40" s="16" t="str">
        <f aca="false">IF(AC40&gt;=Reference!$H$2, Reference!$G$2, IF(AC40&gt;=Reference!$H$3, Reference!$G$3, IF(AC40&gt;=Reference!$H$4, Reference!$G$4, IF(AC40&gt;=Reference!$H$5, Reference!$G$5, ""))))</f>
        <v>Severe</v>
      </c>
      <c r="Q40" s="16" t="str">
        <f aca="false">IF(F40="Physical", "Very Low", IF(F40="Local", "Low", IF(F40="Adjacent", "Medium", IF(F40="Network", "High", ""))))</f>
        <v>Low</v>
      </c>
      <c r="R40" s="16" t="str">
        <f aca="false">IF(AE40&gt;=Reference!$D$2, Reference!$E$2, IF(AE40&gt;=Reference!$D$3, Reference!$E$3, IF(AE40&gt;=Reference!$D$4, Reference!$E$4, IF(AE40&gt;=Reference!$D$5, Reference!$E$5, ""))))</f>
        <v>Medium</v>
      </c>
      <c r="S40" s="17" t="s">
        <v>46</v>
      </c>
      <c r="T40" s="14" t="s">
        <v>624</v>
      </c>
      <c r="U40" s="14" t="s">
        <v>625</v>
      </c>
      <c r="V40" s="14" t="s">
        <v>626</v>
      </c>
      <c r="W40" s="12" t="s">
        <v>66</v>
      </c>
      <c r="X40" s="18" t="str">
        <f aca="false">IFERROR(INDEX(Mapping!$F$2:$F$44,MATCH(ROW(),Mapping!$A$2:$A$44,0)),"")</f>
        <v>T140</v>
      </c>
      <c r="Y40" s="1" t="n">
        <f aca="false">IF(H40=Reference!$A$12, Reference!$C$12, IF(H40=Reference!$A$11, Reference!$C$11, IF(H40=Reference!$A$10, Reference!$C$10, IF(H40=Reference!$A$9, Reference!$C$9, 0))))</f>
        <v>7</v>
      </c>
      <c r="Z40" s="1" t="n">
        <f aca="false">IF(J40=Reference!$A$20, Reference!$C$20, IF(J40=Reference!$A$19, Reference!$C$19, IF(J40=Reference!$A$18, Reference!$C$18, IF(J40=Reference!$A$17, Reference!$C$17, 0))))</f>
        <v>4</v>
      </c>
      <c r="AA40" s="1" t="n">
        <f aca="false">IF(L40=Reference!$A$28, Reference!$C$28, IF(L40=Reference!$A$27, Reference!$C$27, IF(L40=Reference!$A$26, Reference!$C$26, IF(L40=Reference!$A$25, Reference!$C$25, 0))))</f>
        <v>7</v>
      </c>
      <c r="AB40" s="1" t="n">
        <f aca="false">IF(N40=Reference!$A$36, Reference!$C$36, IF(N40=Reference!$A$35, Reference!$C$35, IF(N40=Reference!$A$34, Reference!$C$34, IF(N40=Reference!$A$33, Reference!$C$33, 0))))</f>
        <v>1</v>
      </c>
      <c r="AC40" s="1" t="n">
        <f aca="false">(Reference!$B$2*Y40 + Reference!$B$3*AA40 + Reference!$B$4*Z40 + Reference!$B$5 * AB40)/4</f>
        <v>11.0625</v>
      </c>
      <c r="AD40" s="1" t="n">
        <f aca="false">IF(Q40=Reference!$C$41, Reference!$D$41, IF(Q40=Reference!$C$42, Reference!$D$42, IF(Q40=Reference!$C$43, Reference!$D$43, IF(Q40=Reference!$C$44, Reference!$D$44, 0))))</f>
        <v>4</v>
      </c>
      <c r="AE40" s="1" t="n">
        <f aca="false">1 + (AC40 * AD40)</f>
        <v>45.25</v>
      </c>
      <c r="AF40" s="12" t="s">
        <v>627</v>
      </c>
    </row>
    <row r="41" customFormat="false" ht="150" hidden="false" customHeight="true" outlineLevel="0" collapsed="false">
      <c r="A41" s="10" t="s">
        <v>164</v>
      </c>
      <c r="B41" s="11" t="s">
        <v>33</v>
      </c>
      <c r="C41" s="12" t="s">
        <v>34</v>
      </c>
      <c r="D41" s="13" t="s">
        <v>165</v>
      </c>
      <c r="E41" s="14" t="s">
        <v>166</v>
      </c>
      <c r="F41" s="12" t="s">
        <v>100</v>
      </c>
      <c r="G41" s="12" t="s">
        <v>167</v>
      </c>
      <c r="H41" s="12" t="s">
        <v>41</v>
      </c>
      <c r="I41" s="14" t="s">
        <v>168</v>
      </c>
      <c r="J41" s="12" t="s">
        <v>41</v>
      </c>
      <c r="K41" s="15" t="s">
        <v>169</v>
      </c>
      <c r="L41" s="12" t="s">
        <v>41</v>
      </c>
      <c r="M41" s="15" t="s">
        <v>170</v>
      </c>
      <c r="N41" s="12" t="s">
        <v>41</v>
      </c>
      <c r="O41" s="14" t="s">
        <v>171</v>
      </c>
      <c r="P41" s="16" t="str">
        <f aca="false">IF(AC41&gt;=Reference!$H$2, Reference!$G$2, IF(AC41&gt;=Reference!$H$3, Reference!$G$3, IF(AC41&gt;=Reference!$H$4, Reference!$G$4, IF(AC41&gt;=Reference!$H$5, Reference!$G$5, ""))))</f>
        <v>Major</v>
      </c>
      <c r="Q41" s="16" t="str">
        <f aca="false">IF(F41="Physical", "Very Low", IF(F41="Local", "Low", IF(F41="Adjacent", "Medium", IF(F41="Network", "High", ""))))</f>
        <v>High</v>
      </c>
      <c r="R41" s="16" t="str">
        <f aca="false">IF(AE41&gt;=Reference!$D$2, Reference!$E$2, IF(AE41&gt;=Reference!$D$3, Reference!$E$3, IF(AE41&gt;=Reference!$D$4, Reference!$E$4, IF(AE41&gt;=Reference!$D$5, Reference!$E$5, ""))))</f>
        <v>High</v>
      </c>
      <c r="S41" s="17" t="s">
        <v>46</v>
      </c>
      <c r="T41" s="14" t="s">
        <v>172</v>
      </c>
      <c r="U41" s="14" t="s">
        <v>173</v>
      </c>
      <c r="V41" s="14" t="s">
        <v>174</v>
      </c>
      <c r="W41" s="12" t="s">
        <v>175</v>
      </c>
      <c r="X41" s="18" t="str">
        <f aca="false">IFERROR(INDEX(Mapping!$F$2:$F$44,MATCH(ROW(),Mapping!$A$2:$A$44,0)),"")</f>
        <v>T142</v>
      </c>
      <c r="Y41" s="1" t="n">
        <f aca="false">IF(H41=Reference!$A$12, Reference!$C$12, IF(H41=Reference!$A$11, Reference!$C$11, IF(H41=Reference!$A$10, Reference!$C$10, IF(H41=Reference!$A$9, Reference!$C$9, 0))))</f>
        <v>4</v>
      </c>
      <c r="Z41" s="1" t="n">
        <f aca="false">IF(J41=Reference!$A$20, Reference!$C$20, IF(J41=Reference!$A$19, Reference!$C$19, IF(J41=Reference!$A$18, Reference!$C$18, IF(J41=Reference!$A$17, Reference!$C$17, 0))))</f>
        <v>4</v>
      </c>
      <c r="AA41" s="1" t="n">
        <f aca="false">IF(L41=Reference!$A$28, Reference!$C$28, IF(L41=Reference!$A$27, Reference!$C$27, IF(L41=Reference!$A$26, Reference!$C$26, IF(L41=Reference!$A$25, Reference!$C$25, 0))))</f>
        <v>4</v>
      </c>
      <c r="AB41" s="1" t="n">
        <f aca="false">IF(N41=Reference!$A$36, Reference!$C$36, IF(N41=Reference!$A$35, Reference!$C$35, IF(N41=Reference!$A$34, Reference!$C$34, IF(N41=Reference!$A$33, Reference!$C$33, 0))))</f>
        <v>4</v>
      </c>
      <c r="AC41" s="1" t="n">
        <f aca="false">(Reference!$B$2*Y41 + Reference!$B$3*AA41 + Reference!$B$4*Z41 + Reference!$B$5 * AB41)/4</f>
        <v>6.75</v>
      </c>
      <c r="AD41" s="1" t="n">
        <f aca="false">IF(Q41=Reference!$C$41, Reference!$D$41, IF(Q41=Reference!$C$42, Reference!$D$42, IF(Q41=Reference!$C$43, Reference!$D$43, IF(Q41=Reference!$C$44, Reference!$D$44, 0))))</f>
        <v>10</v>
      </c>
      <c r="AE41" s="1" t="n">
        <f aca="false">1 + (AC41 * AD41)</f>
        <v>68.5</v>
      </c>
      <c r="AF41" s="12" t="s">
        <v>628</v>
      </c>
    </row>
    <row r="42" customFormat="false" ht="150" hidden="false" customHeight="true" outlineLevel="0" collapsed="false">
      <c r="A42" s="10" t="s">
        <v>204</v>
      </c>
      <c r="B42" s="11" t="s">
        <v>53</v>
      </c>
      <c r="C42" s="12" t="s">
        <v>54</v>
      </c>
      <c r="D42" s="13" t="s">
        <v>205</v>
      </c>
      <c r="E42" s="14" t="s">
        <v>206</v>
      </c>
      <c r="F42" s="12" t="s">
        <v>193</v>
      </c>
      <c r="G42" s="12" t="s">
        <v>207</v>
      </c>
      <c r="H42" s="12" t="s">
        <v>39</v>
      </c>
      <c r="I42" s="14" t="s">
        <v>208</v>
      </c>
      <c r="J42" s="12" t="s">
        <v>41</v>
      </c>
      <c r="K42" s="15" t="s">
        <v>209</v>
      </c>
      <c r="L42" s="12" t="s">
        <v>39</v>
      </c>
      <c r="M42" s="15" t="s">
        <v>210</v>
      </c>
      <c r="N42" s="12" t="s">
        <v>44</v>
      </c>
      <c r="O42" s="14" t="s">
        <v>62</v>
      </c>
      <c r="P42" s="16" t="str">
        <f aca="false">IF(AC42&gt;=Reference!$H$2, Reference!$G$2, IF(AC42&gt;=Reference!$H$3, Reference!$G$3, IF(AC42&gt;=Reference!$H$4, Reference!$G$4, IF(AC42&gt;=Reference!$H$5, Reference!$G$5, ""))))</f>
        <v>Severe</v>
      </c>
      <c r="Q42" s="16" t="str">
        <f aca="false">IF(F42="Physical", "Very Low", IF(F42="Local", "Low", IF(F42="Adjacent", "Medium", IF(F42="Network", "High", ""))))</f>
        <v>Low</v>
      </c>
      <c r="R42" s="16" t="str">
        <f aca="false">IF(AE42&gt;=Reference!$D$2, Reference!$E$2, IF(AE42&gt;=Reference!$D$3, Reference!$E$3, IF(AE42&gt;=Reference!$D$4, Reference!$E$4, IF(AE42&gt;=Reference!$D$5, Reference!$E$5, ""))))</f>
        <v>Medium</v>
      </c>
      <c r="S42" s="17" t="s">
        <v>46</v>
      </c>
      <c r="T42" s="14" t="s">
        <v>211</v>
      </c>
      <c r="U42" s="14" t="s">
        <v>212</v>
      </c>
      <c r="V42" s="14" t="s">
        <v>213</v>
      </c>
      <c r="W42" s="12" t="s">
        <v>214</v>
      </c>
      <c r="X42" s="18" t="str">
        <f aca="false">IFERROR(INDEX(Mapping!$F$2:$F$44,MATCH(ROW(),Mapping!$A$2:$A$44,0)),"")</f>
        <v>T179</v>
      </c>
      <c r="Y42" s="1" t="n">
        <f aca="false">IF(H42=Reference!$A$12, Reference!$C$12, IF(H42=Reference!$A$11, Reference!$C$11, IF(H42=Reference!$A$10, Reference!$C$10, IF(H42=Reference!$A$9, Reference!$C$9, 0))))</f>
        <v>7</v>
      </c>
      <c r="Z42" s="1" t="n">
        <f aca="false">IF(J42=Reference!$A$20, Reference!$C$20, IF(J42=Reference!$A$19, Reference!$C$19, IF(J42=Reference!$A$18, Reference!$C$18, IF(J42=Reference!$A$17, Reference!$C$17, 0))))</f>
        <v>4</v>
      </c>
      <c r="AA42" s="1" t="n">
        <f aca="false">IF(L42=Reference!$A$28, Reference!$C$28, IF(L42=Reference!$A$27, Reference!$C$27, IF(L42=Reference!$A$26, Reference!$C$26, IF(L42=Reference!$A$25, Reference!$C$25, 0))))</f>
        <v>7</v>
      </c>
      <c r="AB42" s="1" t="n">
        <f aca="false">IF(N42=Reference!$A$36, Reference!$C$36, IF(N42=Reference!$A$35, Reference!$C$35, IF(N42=Reference!$A$34, Reference!$C$34, IF(N42=Reference!$A$33, Reference!$C$33, 0))))</f>
        <v>1</v>
      </c>
      <c r="AC42" s="1" t="n">
        <f aca="false">(Reference!$B$2*Y42 + Reference!$B$3*AA42 + Reference!$B$4*Z42 + Reference!$B$5 * AB42)/4</f>
        <v>11.0625</v>
      </c>
      <c r="AD42" s="1" t="n">
        <f aca="false">IF(Q42=Reference!$C$41, Reference!$D$41, IF(Q42=Reference!$C$42, Reference!$D$42, IF(Q42=Reference!$C$43, Reference!$D$43, IF(Q42=Reference!$C$44, Reference!$D$44, 0))))</f>
        <v>4</v>
      </c>
      <c r="AE42" s="1" t="n">
        <f aca="false">1 + (AC42 * AD42)</f>
        <v>45.25</v>
      </c>
      <c r="AF42" s="12" t="s">
        <v>629</v>
      </c>
    </row>
    <row r="43" customFormat="false" ht="150" hidden="false" customHeight="true" outlineLevel="0" collapsed="false">
      <c r="A43" s="10" t="s">
        <v>392</v>
      </c>
      <c r="B43" s="11" t="s">
        <v>125</v>
      </c>
      <c r="C43" s="12" t="s">
        <v>126</v>
      </c>
      <c r="D43" s="13" t="s">
        <v>630</v>
      </c>
      <c r="E43" s="14" t="s">
        <v>631</v>
      </c>
      <c r="F43" s="12" t="s">
        <v>37</v>
      </c>
      <c r="G43" s="12" t="s">
        <v>632</v>
      </c>
      <c r="H43" s="12" t="s">
        <v>44</v>
      </c>
      <c r="I43" s="14" t="s">
        <v>233</v>
      </c>
      <c r="J43" s="12" t="s">
        <v>41</v>
      </c>
      <c r="K43" s="15" t="s">
        <v>234</v>
      </c>
      <c r="L43" s="12" t="s">
        <v>44</v>
      </c>
      <c r="M43" s="15" t="s">
        <v>235</v>
      </c>
      <c r="N43" s="12" t="s">
        <v>76</v>
      </c>
      <c r="O43" s="14" t="s">
        <v>633</v>
      </c>
      <c r="P43" s="16" t="str">
        <f aca="false">IF(AC43&gt;=Reference!$H$2, Reference!$G$2, IF(AC43&gt;=Reference!$H$3, Reference!$G$3, IF(AC43&gt;=Reference!$H$4, Reference!$G$4, IF(AC43&gt;=Reference!$H$5, Reference!$G$5, ""))))</f>
        <v>Moderate</v>
      </c>
      <c r="Q43" s="16" t="str">
        <f aca="false">IF(F43="Physical", "Very Low", IF(F43="Local", "Low", IF(F43="Adjacent", "Medium", IF(F43="Network", "High", ""))))</f>
        <v>Medium</v>
      </c>
      <c r="R43" s="16" t="str">
        <f aca="false">IF(AE43&gt;=Reference!$D$2, Reference!$E$2, IF(AE43&gt;=Reference!$D$3, Reference!$E$3, IF(AE43&gt;=Reference!$D$4, Reference!$E$4, IF(AE43&gt;=Reference!$D$5, Reference!$E$5, ""))))</f>
        <v>Medium</v>
      </c>
      <c r="S43" s="17" t="s">
        <v>46</v>
      </c>
      <c r="T43" s="14" t="s">
        <v>634</v>
      </c>
      <c r="U43" s="14" t="s">
        <v>635</v>
      </c>
      <c r="V43" s="14" t="s">
        <v>636</v>
      </c>
      <c r="W43" s="12" t="s">
        <v>240</v>
      </c>
      <c r="X43" s="18" t="str">
        <f aca="false">IFERROR(INDEX(Mapping!$F$2:$F$44,MATCH(ROW(),Mapping!$A$2:$A$44,0)),"")</f>
        <v>T010</v>
      </c>
      <c r="Y43" s="1" t="n">
        <f aca="false">IF(H43=Reference!$A$12, Reference!$C$12, IF(H43=Reference!$A$11, Reference!$C$11, IF(H43=Reference!$A$10, Reference!$C$10, IF(H43=Reference!$A$9, Reference!$C$9, 0))))</f>
        <v>1</v>
      </c>
      <c r="Z43" s="1" t="n">
        <f aca="false">IF(J43=Reference!$A$20, Reference!$C$20, IF(J43=Reference!$A$19, Reference!$C$19, IF(J43=Reference!$A$18, Reference!$C$18, IF(J43=Reference!$A$17, Reference!$C$17, 0))))</f>
        <v>4</v>
      </c>
      <c r="AA43" s="1" t="n">
        <f aca="false">IF(L43=Reference!$A$28, Reference!$C$28, IF(L43=Reference!$A$27, Reference!$C$27, IF(L43=Reference!$A$26, Reference!$C$26, IF(L43=Reference!$A$25, Reference!$C$25, 0))))</f>
        <v>1</v>
      </c>
      <c r="AB43" s="1" t="n">
        <f aca="false">IF(N43=Reference!$A$36, Reference!$C$36, IF(N43=Reference!$A$35, Reference!$C$35, IF(N43=Reference!$A$34, Reference!$C$34, IF(N43=Reference!$A$33, Reference!$C$33, 0))))</f>
        <v>10</v>
      </c>
      <c r="AC43" s="1" t="n">
        <f aca="false">(Reference!$B$2*Y43 + Reference!$B$3*AA43 + Reference!$B$4*Z43 + Reference!$B$5 * AB43)/4</f>
        <v>2.625</v>
      </c>
      <c r="AD43" s="1" t="n">
        <f aca="false">IF(Q43=Reference!$C$41, Reference!$D$41, IF(Q43=Reference!$C$42, Reference!$D$42, IF(Q43=Reference!$C$43, Reference!$D$43, IF(Q43=Reference!$C$44, Reference!$D$44, 0))))</f>
        <v>7</v>
      </c>
      <c r="AE43" s="1" t="n">
        <f aca="false">1 + (AC43 * AD43)</f>
        <v>19.375</v>
      </c>
      <c r="AF43" s="12" t="s">
        <v>637</v>
      </c>
    </row>
    <row r="44" customFormat="false" ht="150" hidden="false" customHeight="true" outlineLevel="0" collapsed="false">
      <c r="A44" s="10" t="s">
        <v>638</v>
      </c>
      <c r="B44" s="11" t="s">
        <v>53</v>
      </c>
      <c r="C44" s="12" t="s">
        <v>54</v>
      </c>
      <c r="D44" s="13" t="s">
        <v>639</v>
      </c>
      <c r="E44" s="14" t="s">
        <v>640</v>
      </c>
      <c r="F44" s="12" t="s">
        <v>193</v>
      </c>
      <c r="G44" s="12" t="s">
        <v>641</v>
      </c>
      <c r="H44" s="12" t="s">
        <v>39</v>
      </c>
      <c r="I44" s="14" t="s">
        <v>642</v>
      </c>
      <c r="J44" s="12" t="s">
        <v>41</v>
      </c>
      <c r="K44" s="15" t="s">
        <v>643</v>
      </c>
      <c r="L44" s="12" t="s">
        <v>39</v>
      </c>
      <c r="M44" s="15" t="s">
        <v>644</v>
      </c>
      <c r="N44" s="12" t="s">
        <v>44</v>
      </c>
      <c r="O44" s="14" t="s">
        <v>62</v>
      </c>
      <c r="P44" s="16" t="str">
        <f aca="false">IF(AC44&gt;=Reference!$H$2, Reference!$G$2, IF(AC44&gt;=Reference!$H$3, Reference!$G$3, IF(AC44&gt;=Reference!$H$4, Reference!$G$4, IF(AC44&gt;=Reference!$H$5, Reference!$G$5, ""))))</f>
        <v>Severe</v>
      </c>
      <c r="Q44" s="16" t="str">
        <f aca="false">IF(F44="Physical", "Very Low", IF(F44="Local", "Low", IF(F44="Adjacent", "Medium", IF(F44="Network", "High", ""))))</f>
        <v>Low</v>
      </c>
      <c r="R44" s="16" t="str">
        <f aca="false">IF(AE44&gt;=Reference!$D$2, Reference!$E$2, IF(AE44&gt;=Reference!$D$3, Reference!$E$3, IF(AE44&gt;=Reference!$D$4, Reference!$E$4, IF(AE44&gt;=Reference!$D$5, Reference!$E$5, ""))))</f>
        <v>Medium</v>
      </c>
      <c r="S44" s="17" t="s">
        <v>46</v>
      </c>
      <c r="T44" s="14" t="s">
        <v>645</v>
      </c>
      <c r="U44" s="14" t="s">
        <v>646</v>
      </c>
      <c r="V44" s="14" t="s">
        <v>647</v>
      </c>
      <c r="W44" s="12" t="s">
        <v>66</v>
      </c>
      <c r="X44" s="18" t="str">
        <f aca="false">IFERROR(INDEX(Mapping!$F$2:$F$44,MATCH(ROW(),Mapping!$A$2:$A$44,0)),"")</f>
        <v>T158</v>
      </c>
      <c r="Y44" s="1" t="n">
        <f aca="false">IF(H44=Reference!$A$12, Reference!$C$12, IF(H44=Reference!$A$11, Reference!$C$11, IF(H44=Reference!$A$10, Reference!$C$10, IF(H44=Reference!$A$9, Reference!$C$9, 0))))</f>
        <v>7</v>
      </c>
      <c r="Z44" s="1" t="n">
        <f aca="false">IF(J44=Reference!$A$20, Reference!$C$20, IF(J44=Reference!$A$19, Reference!$C$19, IF(J44=Reference!$A$18, Reference!$C$18, IF(J44=Reference!$A$17, Reference!$C$17, 0))))</f>
        <v>4</v>
      </c>
      <c r="AA44" s="1" t="n">
        <f aca="false">IF(L44=Reference!$A$28, Reference!$C$28, IF(L44=Reference!$A$27, Reference!$C$27, IF(L44=Reference!$A$26, Reference!$C$26, IF(L44=Reference!$A$25, Reference!$C$25, 0))))</f>
        <v>7</v>
      </c>
      <c r="AB44" s="1" t="n">
        <f aca="false">IF(N44=Reference!$A$36, Reference!$C$36, IF(N44=Reference!$A$35, Reference!$C$35, IF(N44=Reference!$A$34, Reference!$C$34, IF(N44=Reference!$A$33, Reference!$C$33, 0))))</f>
        <v>1</v>
      </c>
      <c r="AC44" s="1" t="n">
        <f aca="false">(Reference!$B$2*Y44 + Reference!$B$3*AA44 + Reference!$B$4*Z44 + Reference!$B$5 * AB44)/4</f>
        <v>11.0625</v>
      </c>
      <c r="AD44" s="1" t="n">
        <f aca="false">IF(Q44=Reference!$C$41, Reference!$D$41, IF(Q44=Reference!$C$42, Reference!$D$42, IF(Q44=Reference!$C$43, Reference!$D$43, IF(Q44=Reference!$C$44, Reference!$D$44, 0))))</f>
        <v>4</v>
      </c>
      <c r="AE44" s="1" t="n">
        <f aca="false">1 + (AC44 * AD44)</f>
        <v>45.25</v>
      </c>
      <c r="AF44" s="12" t="s">
        <v>648</v>
      </c>
    </row>
  </sheetData>
  <autoFilter ref="A1:X44"/>
  <dataValidations count="8">
    <dataValidation allowBlank="true" errorStyle="stop" operator="between" showDropDown="false" showErrorMessage="false" showInputMessage="false" sqref="B2:B44" type="list">
      <formula1>"Spoofing,Tampering,Repudiation,Information disclosure,Denial of service,Elevation of privilege"</formula1>
      <formula2>0</formula2>
    </dataValidation>
    <dataValidation allowBlank="true" errorStyle="stop" operator="between" showDropDown="false" showErrorMessage="false" showInputMessage="false" sqref="C2:C44" type="list">
      <formula1>"Confidentiality,Integrity,Availability,Authenticity,Non-repudiation,Accountability,Authorization"</formula1>
      <formula2>0</formula2>
    </dataValidation>
    <dataValidation allowBlank="true" errorStyle="stop" operator="between" showDropDown="false" showErrorMessage="false" showInputMessage="false" sqref="F2:F44" type="list">
      <formula1>"Physical,Local,Adjacent,Network"</formula1>
      <formula2>0</formula2>
    </dataValidation>
    <dataValidation allowBlank="true" errorStyle="stop" operator="between" showDropDown="false" showErrorMessage="false" showInputMessage="false" sqref="H2:H44" type="list">
      <formula1>"Negligible,Moderate,Major,Severe"</formula1>
      <formula2>0</formula2>
    </dataValidation>
    <dataValidation allowBlank="true" errorStyle="stop" operator="between" showDropDown="false" showErrorMessage="false" showInputMessage="false" sqref="J2:J44" type="list">
      <formula1>"Negligible,Moderate,Major,Severe"</formula1>
      <formula2>0</formula2>
    </dataValidation>
    <dataValidation allowBlank="true" errorStyle="stop" operator="between" showDropDown="false" showErrorMessage="false" showInputMessage="false" sqref="L2:L44" type="list">
      <formula1>"Negligible,Moderate,Major,Severe"</formula1>
      <formula2>0</formula2>
    </dataValidation>
    <dataValidation allowBlank="true" errorStyle="stop" operator="between" showDropDown="false" showErrorMessage="false" showInputMessage="false" sqref="N2:N44" type="list">
      <formula1>"Negligible,Moderate,Major,Severe"</formula1>
      <formula2>0</formula2>
    </dataValidation>
    <dataValidation allowBlank="true" errorStyle="stop" operator="between" showDropDown="false" showErrorMessage="false" showInputMessage="false" sqref="S2:S44" type="list">
      <formula1>"Avoidance,Mitigation,Acceptance,Transfer"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14"/>
    <col collapsed="false" customWidth="true" hidden="false" outlineLevel="0" max="2" min="2" style="0" width="41.71"/>
    <col collapsed="false" customWidth="true" hidden="false" outlineLevel="0" max="3" min="3" style="0" width="17.29"/>
    <col collapsed="false" customWidth="true" hidden="false" outlineLevel="0" max="4" min="4" style="0" width="39.14"/>
    <col collapsed="false" customWidth="true" hidden="false" outlineLevel="0" max="5" min="5" style="0" width="44"/>
    <col collapsed="false" customWidth="true" hidden="false" outlineLevel="0" max="6" min="6" style="0" width="21"/>
    <col collapsed="false" customWidth="true" hidden="false" outlineLevel="0" max="7" min="7" style="0" width="40.14"/>
    <col collapsed="false" customWidth="true" hidden="false" outlineLevel="0" max="8" min="8" style="0" width="21.29"/>
    <col collapsed="false" customWidth="true" hidden="false" outlineLevel="0" max="9" min="9" style="0" width="57.42"/>
    <col collapsed="false" customWidth="true" hidden="false" outlineLevel="0" max="10" min="10" style="0" width="20.29"/>
    <col collapsed="false" customWidth="true" hidden="false" outlineLevel="0" max="11" min="11" style="0" width="33"/>
    <col collapsed="false" customWidth="true" hidden="false" outlineLevel="0" max="12" min="12" style="0" width="20.85"/>
    <col collapsed="false" customWidth="true" hidden="false" outlineLevel="0" max="13" min="13" style="0" width="21.29"/>
    <col collapsed="false" customWidth="true" hidden="false" outlineLevel="0" max="14" min="14" style="0" width="16.84"/>
    <col collapsed="false" customWidth="true" hidden="false" outlineLevel="0" max="15" min="15" style="0" width="42.71"/>
    <col collapsed="false" customWidth="true" hidden="false" outlineLevel="0" max="16" min="16" style="0" width="15.42"/>
    <col collapsed="false" customWidth="true" hidden="false" outlineLevel="0" max="17" min="17" style="0" width="22.29"/>
    <col collapsed="false" customWidth="true" hidden="false" outlineLevel="0" max="18" min="18" style="0" width="21.29"/>
    <col collapsed="false" customWidth="true" hidden="false" outlineLevel="0" max="19" min="19" style="0" width="21.43"/>
    <col collapsed="false" customWidth="true" hidden="false" outlineLevel="0" max="20" min="20" style="0" width="38.71"/>
    <col collapsed="false" customWidth="true" hidden="false" outlineLevel="0" max="21" min="21" style="0" width="22.42"/>
    <col collapsed="false" customWidth="true" hidden="false" outlineLevel="0" max="22" min="22" style="0" width="47.71"/>
    <col collapsed="false" customWidth="true" hidden="false" outlineLevel="0" max="23" min="23" style="0" width="35"/>
    <col collapsed="false" customWidth="true" hidden="false" outlineLevel="0" max="24" min="24" style="0" width="18"/>
    <col collapsed="false" customWidth="true" hidden="false" outlineLevel="0" max="32" min="32" style="0" width="70"/>
    <col collapsed="false" customWidth="true" hidden="false" outlineLevel="0" max="33" min="33" style="0" width="90"/>
  </cols>
  <sheetData>
    <row r="1" customFormat="false" ht="32.25" hidden="false" customHeight="true" outlineLevel="0" collapsed="false">
      <c r="A1" s="2" t="s">
        <v>0</v>
      </c>
      <c r="B1" s="2" t="s">
        <v>1</v>
      </c>
      <c r="C1" s="3" t="s">
        <v>2</v>
      </c>
      <c r="D1" s="4" t="s">
        <v>3</v>
      </c>
      <c r="E1" s="5" t="s">
        <v>4</v>
      </c>
      <c r="F1" s="6" t="s">
        <v>5</v>
      </c>
      <c r="G1" s="6" t="s">
        <v>6</v>
      </c>
      <c r="H1" s="6" t="s">
        <v>7</v>
      </c>
      <c r="I1" s="6" t="s">
        <v>8</v>
      </c>
      <c r="J1" s="6" t="s">
        <v>9</v>
      </c>
      <c r="K1" s="6" t="s">
        <v>10</v>
      </c>
      <c r="L1" s="6" t="s">
        <v>11</v>
      </c>
      <c r="M1" s="6" t="s">
        <v>12</v>
      </c>
      <c r="N1" s="7" t="s">
        <v>13</v>
      </c>
      <c r="O1" s="6" t="s">
        <v>14</v>
      </c>
      <c r="P1" s="8" t="s">
        <v>15</v>
      </c>
      <c r="Q1" s="8" t="s">
        <v>16</v>
      </c>
      <c r="R1" s="8" t="s">
        <v>17</v>
      </c>
      <c r="S1" s="6" t="s">
        <v>18</v>
      </c>
      <c r="T1" s="6" t="s">
        <v>19</v>
      </c>
      <c r="U1" s="6" t="s">
        <v>20</v>
      </c>
      <c r="V1" s="6" t="s">
        <v>21</v>
      </c>
      <c r="W1" s="6" t="s">
        <v>22</v>
      </c>
      <c r="X1" s="2" t="s">
        <v>23</v>
      </c>
      <c r="Y1" s="9" t="s">
        <v>24</v>
      </c>
      <c r="Z1" s="9" t="s">
        <v>25</v>
      </c>
      <c r="AA1" s="9" t="s">
        <v>26</v>
      </c>
      <c r="AB1" s="9" t="s">
        <v>27</v>
      </c>
      <c r="AC1" s="9" t="s">
        <v>28</v>
      </c>
      <c r="AD1" s="9" t="s">
        <v>29</v>
      </c>
      <c r="AE1" s="9" t="s">
        <v>30</v>
      </c>
      <c r="AF1" s="2" t="s">
        <v>649</v>
      </c>
      <c r="AG1" s="2" t="s">
        <v>650</v>
      </c>
    </row>
    <row r="2" customFormat="false" ht="150" hidden="false" customHeight="true" outlineLevel="0" collapsed="false">
      <c r="A2" s="10" t="s">
        <v>651</v>
      </c>
      <c r="B2" s="11" t="s">
        <v>323</v>
      </c>
      <c r="C2" s="12" t="s">
        <v>324</v>
      </c>
      <c r="D2" s="13" t="s">
        <v>652</v>
      </c>
      <c r="E2" s="14" t="s">
        <v>653</v>
      </c>
      <c r="F2" s="12" t="s">
        <v>37</v>
      </c>
      <c r="G2" s="12" t="s">
        <v>654</v>
      </c>
      <c r="H2" s="12" t="s">
        <v>39</v>
      </c>
      <c r="I2" s="14" t="s">
        <v>655</v>
      </c>
      <c r="J2" s="12" t="s">
        <v>39</v>
      </c>
      <c r="K2" s="15" t="s">
        <v>656</v>
      </c>
      <c r="L2" s="12" t="s">
        <v>76</v>
      </c>
      <c r="M2" s="15" t="s">
        <v>657</v>
      </c>
      <c r="N2" s="12" t="s">
        <v>76</v>
      </c>
      <c r="O2" s="14" t="s">
        <v>658</v>
      </c>
      <c r="P2" s="16" t="str">
        <f aca="false">IF(AC2&gt;=Reference!$H$2, Reference!$G$2, IF(AC2&gt;=Reference!$H$3, Reference!$G$3, IF(AC2&gt;=Reference!$H$4, Reference!$G$4, IF(AC2&gt;=Reference!$H$5, Reference!$G$5, ""))))</f>
        <v>Severe</v>
      </c>
      <c r="Q2" s="16" t="str">
        <f aca="false">IF(F2="Physical", "Very Low", IF(F2="Local", "Low", IF(F2="Adjacent", "Medium", IF(F2="Network", "High", ""))))</f>
        <v>Medium</v>
      </c>
      <c r="R2" s="16" t="str">
        <f aca="false">IF(AE2&gt;=Reference!$D$2, Reference!$E$2, IF(AE2&gt;=Reference!$D$3, Reference!$E$3, IF(AE2&gt;=Reference!$D$4, Reference!$E$4, IF(AE2&gt;=Reference!$D$5, Reference!$E$5, ""))))</f>
        <v>High</v>
      </c>
      <c r="S2" s="17" t="s">
        <v>46</v>
      </c>
      <c r="T2" s="14" t="s">
        <v>659</v>
      </c>
      <c r="U2" s="14" t="s">
        <v>660</v>
      </c>
      <c r="V2" s="14" t="s">
        <v>661</v>
      </c>
      <c r="W2" s="12" t="s">
        <v>662</v>
      </c>
      <c r="X2" s="18" t="s">
        <v>663</v>
      </c>
      <c r="Y2" s="19" t="n">
        <f aca="false">IF(H2=Reference!$A$12, Reference!$C$12, IF(H2=Reference!$A$11, Reference!$C$11, IF(H2=Reference!$A$10, Reference!$C$10, IF(H2=Reference!$A$9, Reference!$C$9, 0))))</f>
        <v>7</v>
      </c>
      <c r="Z2" s="19" t="n">
        <f aca="false">IF(J2=Reference!$A$20, Reference!$C$20, IF(J2=Reference!$A$19, Reference!$C$19, IF(J2=Reference!$A$18, Reference!$C$18, IF(J2=Reference!$A$17, Reference!$C$17, 0))))</f>
        <v>7</v>
      </c>
      <c r="AA2" s="19" t="n">
        <f aca="false">IF(L2=Reference!$A$28, Reference!$C$28, IF(L2=Reference!$A$27, Reference!$C$27, IF(L2=Reference!$A$26, Reference!$C$26, IF(L2=Reference!$A$25, Reference!$C$25, 0))))</f>
        <v>10</v>
      </c>
      <c r="AB2" s="19" t="n">
        <f aca="false">IF(N2=Reference!$A$36, Reference!$C$36, IF(N2=Reference!$A$35, Reference!$C$35, IF(N2=Reference!$A$34, Reference!$C$34, IF(N2=Reference!$A$33, Reference!$C$33, 0))))</f>
        <v>10</v>
      </c>
      <c r="AC2" s="19" t="n">
        <f aca="false">(Reference!$B$2*Y2 + Reference!$B$3*AA2 + Reference!$B$4*Z2 + Reference!$B$5 * AB2)/4</f>
        <v>12.75</v>
      </c>
      <c r="AD2" s="19" t="n">
        <f aca="false">IF(Q2=Reference!$C$41, Reference!$D$41, IF(Q2=Reference!$C$42, Reference!$D$42, IF(Q2=Reference!$C$43, Reference!$D$43, IF(Q2=Reference!$C$44, Reference!$D$44, 0))))</f>
        <v>7</v>
      </c>
      <c r="AE2" s="19" t="n">
        <f aca="false">1 + (AC2 * AD2)</f>
        <v>90.25</v>
      </c>
      <c r="AF2" s="12" t="s">
        <v>664</v>
      </c>
      <c r="AG2" s="12" t="s">
        <v>665</v>
      </c>
    </row>
    <row r="3" customFormat="false" ht="150" hidden="false" customHeight="true" outlineLevel="0" collapsed="false">
      <c r="A3" s="10" t="s">
        <v>666</v>
      </c>
      <c r="B3" s="11" t="s">
        <v>307</v>
      </c>
      <c r="C3" s="12" t="s">
        <v>457</v>
      </c>
      <c r="D3" s="13" t="s">
        <v>667</v>
      </c>
      <c r="E3" s="14" t="s">
        <v>668</v>
      </c>
      <c r="F3" s="12" t="s">
        <v>37</v>
      </c>
      <c r="G3" s="12" t="s">
        <v>669</v>
      </c>
      <c r="H3" s="12" t="s">
        <v>44</v>
      </c>
      <c r="I3" s="14" t="s">
        <v>312</v>
      </c>
      <c r="J3" s="12" t="s">
        <v>41</v>
      </c>
      <c r="K3" s="15" t="s">
        <v>670</v>
      </c>
      <c r="L3" s="12" t="s">
        <v>41</v>
      </c>
      <c r="M3" s="15" t="s">
        <v>671</v>
      </c>
      <c r="N3" s="12" t="s">
        <v>44</v>
      </c>
      <c r="O3" s="14" t="s">
        <v>672</v>
      </c>
      <c r="P3" s="16" t="str">
        <f aca="false">IF(AC3&gt;=Reference!$H$2, Reference!$G$2, IF(AC3&gt;=Reference!$H$3, Reference!$G$3, IF(AC3&gt;=Reference!$H$4, Reference!$G$4, IF(AC3&gt;=Reference!$H$5, Reference!$G$5, ""))))</f>
        <v>Moderate</v>
      </c>
      <c r="Q3" s="16" t="str">
        <f aca="false">IF(F3="Physical", "Very Low", IF(F3="Local", "Low", IF(F3="Adjacent", "Medium", IF(F3="Network", "High", ""))))</f>
        <v>Medium</v>
      </c>
      <c r="R3" s="16" t="str">
        <f aca="false">IF(AE3&gt;=Reference!$D$2, Reference!$E$2, IF(AE3&gt;=Reference!$D$3, Reference!$E$3, IF(AE3&gt;=Reference!$D$4, Reference!$E$4, IF(AE3&gt;=Reference!$D$5, Reference!$E$5, ""))))</f>
        <v>Medium</v>
      </c>
      <c r="S3" s="17" t="s">
        <v>46</v>
      </c>
      <c r="T3" s="14" t="s">
        <v>673</v>
      </c>
      <c r="U3" s="14" t="s">
        <v>674</v>
      </c>
      <c r="V3" s="14" t="s">
        <v>675</v>
      </c>
      <c r="W3" s="12" t="s">
        <v>676</v>
      </c>
      <c r="X3" s="18" t="s">
        <v>677</v>
      </c>
      <c r="Y3" s="19" t="n">
        <f aca="false">IF(H3=Reference!$A$12, Reference!$C$12, IF(H3=Reference!$A$11, Reference!$C$11, IF(H3=Reference!$A$10, Reference!$C$10, IF(H3=Reference!$A$9, Reference!$C$9, 0))))</f>
        <v>1</v>
      </c>
      <c r="Z3" s="19" t="n">
        <f aca="false">IF(J3=Reference!$A$20, Reference!$C$20, IF(J3=Reference!$A$19, Reference!$C$19, IF(J3=Reference!$A$18, Reference!$C$18, IF(J3=Reference!$A$17, Reference!$C$17, 0))))</f>
        <v>4</v>
      </c>
      <c r="AA3" s="19" t="n">
        <f aca="false">IF(L3=Reference!$A$28, Reference!$C$28, IF(L3=Reference!$A$27, Reference!$C$27, IF(L3=Reference!$A$26, Reference!$C$26, IF(L3=Reference!$A$25, Reference!$C$25, 0))))</f>
        <v>4</v>
      </c>
      <c r="AB3" s="19" t="n">
        <f aca="false">IF(N3=Reference!$A$36, Reference!$C$36, IF(N3=Reference!$A$35, Reference!$C$35, IF(N3=Reference!$A$34, Reference!$C$34, IF(N3=Reference!$A$33, Reference!$C$33, 0))))</f>
        <v>1</v>
      </c>
      <c r="AC3" s="19" t="n">
        <f aca="false">(Reference!$B$2*Y3 + Reference!$B$3*AA3 + Reference!$B$4*Z3 + Reference!$B$5 * AB3)/4</f>
        <v>2.8125</v>
      </c>
      <c r="AD3" s="19" t="n">
        <f aca="false">IF(Q3=Reference!$C$41, Reference!$D$41, IF(Q3=Reference!$C$42, Reference!$D$42, IF(Q3=Reference!$C$43, Reference!$D$43, IF(Q3=Reference!$C$44, Reference!$D$44, 0))))</f>
        <v>7</v>
      </c>
      <c r="AE3" s="19" t="n">
        <f aca="false">1 + (AC3 * AD3)</f>
        <v>20.6875</v>
      </c>
      <c r="AF3" s="12" t="s">
        <v>678</v>
      </c>
      <c r="AG3" s="12" t="s">
        <v>679</v>
      </c>
    </row>
    <row r="4" customFormat="false" ht="150" hidden="false" customHeight="true" outlineLevel="0" collapsed="false">
      <c r="A4" s="10" t="s">
        <v>680</v>
      </c>
      <c r="B4" s="11" t="s">
        <v>307</v>
      </c>
      <c r="C4" s="12" t="s">
        <v>457</v>
      </c>
      <c r="D4" s="13" t="s">
        <v>681</v>
      </c>
      <c r="E4" s="14" t="s">
        <v>682</v>
      </c>
      <c r="F4" s="12" t="s">
        <v>100</v>
      </c>
      <c r="G4" s="12" t="s">
        <v>683</v>
      </c>
      <c r="H4" s="12" t="s">
        <v>44</v>
      </c>
      <c r="I4" s="14" t="s">
        <v>312</v>
      </c>
      <c r="J4" s="12" t="s">
        <v>39</v>
      </c>
      <c r="K4" s="15" t="s">
        <v>684</v>
      </c>
      <c r="L4" s="12" t="s">
        <v>41</v>
      </c>
      <c r="M4" s="15" t="s">
        <v>685</v>
      </c>
      <c r="N4" s="12" t="s">
        <v>44</v>
      </c>
      <c r="O4" s="14" t="s">
        <v>686</v>
      </c>
      <c r="P4" s="16" t="str">
        <f aca="false">IF(AC4&gt;=Reference!$H$2, Reference!$G$2, IF(AC4&gt;=Reference!$H$3, Reference!$G$3, IF(AC4&gt;=Reference!$H$4, Reference!$G$4, IF(AC4&gt;=Reference!$H$5, Reference!$G$5, ""))))</f>
        <v>Moderate</v>
      </c>
      <c r="Q4" s="16" t="str">
        <f aca="false">IF(F4="Physical", "Very Low", IF(F4="Local", "Low", IF(F4="Adjacent", "Medium", IF(F4="Network", "High", ""))))</f>
        <v>High</v>
      </c>
      <c r="R4" s="16" t="str">
        <f aca="false">IF(AE4&gt;=Reference!$D$2, Reference!$E$2, IF(AE4&gt;=Reference!$D$3, Reference!$E$3, IF(AE4&gt;=Reference!$D$4, Reference!$E$4, IF(AE4&gt;=Reference!$D$5, Reference!$E$5, ""))))</f>
        <v>Medium</v>
      </c>
      <c r="S4" s="17" t="s">
        <v>46</v>
      </c>
      <c r="T4" s="14" t="s">
        <v>687</v>
      </c>
      <c r="U4" s="14" t="s">
        <v>688</v>
      </c>
      <c r="V4" s="14" t="s">
        <v>689</v>
      </c>
      <c r="W4" s="12" t="s">
        <v>690</v>
      </c>
      <c r="X4" s="18" t="s">
        <v>691</v>
      </c>
      <c r="Y4" s="19" t="n">
        <f aca="false">IF(H4=Reference!$A$12, Reference!$C$12, IF(H4=Reference!$A$11, Reference!$C$11, IF(H4=Reference!$A$10, Reference!$C$10, IF(H4=Reference!$A$9, Reference!$C$9, 0))))</f>
        <v>1</v>
      </c>
      <c r="Z4" s="19" t="n">
        <f aca="false">IF(J4=Reference!$A$20, Reference!$C$20, IF(J4=Reference!$A$19, Reference!$C$19, IF(J4=Reference!$A$18, Reference!$C$18, IF(J4=Reference!$A$17, Reference!$C$17, 0))))</f>
        <v>7</v>
      </c>
      <c r="AA4" s="19" t="n">
        <f aca="false">IF(L4=Reference!$A$28, Reference!$C$28, IF(L4=Reference!$A$27, Reference!$C$27, IF(L4=Reference!$A$26, Reference!$C$26, IF(L4=Reference!$A$25, Reference!$C$25, 0))))</f>
        <v>4</v>
      </c>
      <c r="AB4" s="19" t="n">
        <f aca="false">IF(N4=Reference!$A$36, Reference!$C$36, IF(N4=Reference!$A$35, Reference!$C$35, IF(N4=Reference!$A$34, Reference!$C$34, IF(N4=Reference!$A$33, Reference!$C$33, 0))))</f>
        <v>1</v>
      </c>
      <c r="AC4" s="19" t="n">
        <f aca="false">(Reference!$B$2*Y4 + Reference!$B$3*AA4 + Reference!$B$4*Z4 + Reference!$B$5 * AB4)/4</f>
        <v>3.1875</v>
      </c>
      <c r="AD4" s="19" t="n">
        <f aca="false">IF(Q4=Reference!$C$41, Reference!$D$41, IF(Q4=Reference!$C$42, Reference!$D$42, IF(Q4=Reference!$C$43, Reference!$D$43, IF(Q4=Reference!$C$44, Reference!$D$44, 0))))</f>
        <v>10</v>
      </c>
      <c r="AE4" s="19" t="n">
        <f aca="false">1 + (AC4 * AD4)</f>
        <v>32.875</v>
      </c>
      <c r="AF4" s="12" t="s">
        <v>664</v>
      </c>
      <c r="AG4" s="12" t="s">
        <v>692</v>
      </c>
    </row>
    <row r="5" customFormat="false" ht="150" hidden="false" customHeight="true" outlineLevel="0" collapsed="false">
      <c r="A5" s="10" t="s">
        <v>693</v>
      </c>
      <c r="B5" s="11" t="s">
        <v>33</v>
      </c>
      <c r="C5" s="12" t="s">
        <v>34</v>
      </c>
      <c r="D5" s="13" t="s">
        <v>694</v>
      </c>
      <c r="E5" s="14" t="s">
        <v>695</v>
      </c>
      <c r="F5" s="12" t="s">
        <v>57</v>
      </c>
      <c r="G5" s="12" t="s">
        <v>696</v>
      </c>
      <c r="H5" s="12" t="s">
        <v>39</v>
      </c>
      <c r="I5" s="14" t="s">
        <v>697</v>
      </c>
      <c r="J5" s="12" t="s">
        <v>41</v>
      </c>
      <c r="K5" s="15" t="s">
        <v>531</v>
      </c>
      <c r="L5" s="12" t="s">
        <v>39</v>
      </c>
      <c r="M5" s="15" t="s">
        <v>532</v>
      </c>
      <c r="N5" s="12" t="s">
        <v>44</v>
      </c>
      <c r="O5" s="14" t="s">
        <v>62</v>
      </c>
      <c r="P5" s="16" t="str">
        <f aca="false">IF(AC5&gt;=Reference!$H$2, Reference!$G$2, IF(AC5&gt;=Reference!$H$3, Reference!$G$3, IF(AC5&gt;=Reference!$H$4, Reference!$G$4, IF(AC5&gt;=Reference!$H$5, Reference!$G$5, ""))))</f>
        <v>Severe</v>
      </c>
      <c r="Q5" s="16" t="str">
        <f aca="false">IF(F5="Physical", "Very Low", IF(F5="Local", "Low", IF(F5="Adjacent", "Medium", IF(F5="Network", "High", ""))))</f>
        <v>Very Low</v>
      </c>
      <c r="R5" s="16" t="str">
        <f aca="false">IF(AE5&gt;=Reference!$D$2, Reference!$E$2, IF(AE5&gt;=Reference!$D$3, Reference!$E$3, IF(AE5&gt;=Reference!$D$4, Reference!$E$4, IF(AE5&gt;=Reference!$D$5, Reference!$E$5, ""))))</f>
        <v>Low</v>
      </c>
      <c r="S5" s="17" t="s">
        <v>46</v>
      </c>
      <c r="T5" s="14" t="s">
        <v>698</v>
      </c>
      <c r="U5" s="14" t="s">
        <v>534</v>
      </c>
      <c r="V5" s="14" t="s">
        <v>699</v>
      </c>
      <c r="W5" s="12" t="s">
        <v>50</v>
      </c>
      <c r="X5" s="18" t="s">
        <v>700</v>
      </c>
      <c r="Y5" s="19" t="n">
        <f aca="false">IF(H5=Reference!$A$12, Reference!$C$12, IF(H5=Reference!$A$11, Reference!$C$11, IF(H5=Reference!$A$10, Reference!$C$10, IF(H5=Reference!$A$9, Reference!$C$9, 0))))</f>
        <v>7</v>
      </c>
      <c r="Z5" s="19" t="n">
        <f aca="false">IF(J5=Reference!$A$20, Reference!$C$20, IF(J5=Reference!$A$19, Reference!$C$19, IF(J5=Reference!$A$18, Reference!$C$18, IF(J5=Reference!$A$17, Reference!$C$17, 0))))</f>
        <v>4</v>
      </c>
      <c r="AA5" s="19" t="n">
        <f aca="false">IF(L5=Reference!$A$28, Reference!$C$28, IF(L5=Reference!$A$27, Reference!$C$27, IF(L5=Reference!$A$26, Reference!$C$26, IF(L5=Reference!$A$25, Reference!$C$25, 0))))</f>
        <v>7</v>
      </c>
      <c r="AB5" s="19" t="n">
        <f aca="false">IF(N5=Reference!$A$36, Reference!$C$36, IF(N5=Reference!$A$35, Reference!$C$35, IF(N5=Reference!$A$34, Reference!$C$34, IF(N5=Reference!$A$33, Reference!$C$33, 0))))</f>
        <v>1</v>
      </c>
      <c r="AC5" s="19" t="n">
        <f aca="false">(Reference!$B$2*Y5 + Reference!$B$3*AA5 + Reference!$B$4*Z5 + Reference!$B$5 * AB5)/4</f>
        <v>11.0625</v>
      </c>
      <c r="AD5" s="19" t="n">
        <f aca="false">IF(Q5=Reference!$C$41, Reference!$D$41, IF(Q5=Reference!$C$42, Reference!$D$42, IF(Q5=Reference!$C$43, Reference!$D$43, IF(Q5=Reference!$C$44, Reference!$D$44, 0))))</f>
        <v>1</v>
      </c>
      <c r="AE5" s="19" t="n">
        <f aca="false">1 + (AC5 * AD5)</f>
        <v>12.0625</v>
      </c>
      <c r="AF5" s="12" t="s">
        <v>701</v>
      </c>
      <c r="AG5" s="12" t="s">
        <v>702</v>
      </c>
    </row>
    <row r="6" customFormat="false" ht="150" hidden="false" customHeight="true" outlineLevel="0" collapsed="false">
      <c r="A6" s="10" t="s">
        <v>703</v>
      </c>
      <c r="B6" s="11" t="s">
        <v>125</v>
      </c>
      <c r="C6" s="12" t="s">
        <v>126</v>
      </c>
      <c r="D6" s="13" t="s">
        <v>704</v>
      </c>
      <c r="E6" s="14" t="s">
        <v>705</v>
      </c>
      <c r="F6" s="12" t="s">
        <v>37</v>
      </c>
      <c r="G6" s="12" t="s">
        <v>706</v>
      </c>
      <c r="H6" s="12" t="s">
        <v>44</v>
      </c>
      <c r="I6" s="14" t="s">
        <v>233</v>
      </c>
      <c r="J6" s="12" t="s">
        <v>41</v>
      </c>
      <c r="K6" s="15" t="s">
        <v>707</v>
      </c>
      <c r="L6" s="12" t="s">
        <v>44</v>
      </c>
      <c r="M6" s="15" t="s">
        <v>235</v>
      </c>
      <c r="N6" s="12" t="s">
        <v>39</v>
      </c>
      <c r="O6" s="14" t="s">
        <v>708</v>
      </c>
      <c r="P6" s="16" t="str">
        <f aca="false">IF(AC6&gt;=Reference!$H$2, Reference!$G$2, IF(AC6&gt;=Reference!$H$3, Reference!$G$3, IF(AC6&gt;=Reference!$H$4, Reference!$G$4, IF(AC6&gt;=Reference!$H$5, Reference!$G$5, ""))))</f>
        <v>Negligible</v>
      </c>
      <c r="Q6" s="16" t="str">
        <f aca="false">IF(F6="Physical", "Very Low", IF(F6="Local", "Low", IF(F6="Adjacent", "Medium", IF(F6="Network", "High", ""))))</f>
        <v>Medium</v>
      </c>
      <c r="R6" s="16" t="str">
        <f aca="false">IF(AE6&gt;=Reference!$D$2, Reference!$E$2, IF(AE6&gt;=Reference!$D$3, Reference!$E$3, IF(AE6&gt;=Reference!$D$4, Reference!$E$4, IF(AE6&gt;=Reference!$D$5, Reference!$E$5, ""))))</f>
        <v>Medium</v>
      </c>
      <c r="S6" s="17" t="s">
        <v>46</v>
      </c>
      <c r="T6" s="14" t="s">
        <v>709</v>
      </c>
      <c r="U6" s="14" t="s">
        <v>710</v>
      </c>
      <c r="V6" s="14" t="s">
        <v>711</v>
      </c>
      <c r="W6" s="12" t="s">
        <v>240</v>
      </c>
      <c r="X6" s="18" t="s">
        <v>712</v>
      </c>
      <c r="Y6" s="19" t="n">
        <f aca="false">IF(H6=Reference!$A$12, Reference!$C$12, IF(H6=Reference!$A$11, Reference!$C$11, IF(H6=Reference!$A$10, Reference!$C$10, IF(H6=Reference!$A$9, Reference!$C$9, 0))))</f>
        <v>1</v>
      </c>
      <c r="Z6" s="19" t="n">
        <f aca="false">IF(J6=Reference!$A$20, Reference!$C$20, IF(J6=Reference!$A$19, Reference!$C$19, IF(J6=Reference!$A$18, Reference!$C$18, IF(J6=Reference!$A$17, Reference!$C$17, 0))))</f>
        <v>4</v>
      </c>
      <c r="AA6" s="19" t="n">
        <f aca="false">IF(L6=Reference!$A$28, Reference!$C$28, IF(L6=Reference!$A$27, Reference!$C$27, IF(L6=Reference!$A$26, Reference!$C$26, IF(L6=Reference!$A$25, Reference!$C$25, 0))))</f>
        <v>1</v>
      </c>
      <c r="AB6" s="19" t="n">
        <f aca="false">IF(N6=Reference!$A$36, Reference!$C$36, IF(N6=Reference!$A$35, Reference!$C$35, IF(N6=Reference!$A$34, Reference!$C$34, IF(N6=Reference!$A$33, Reference!$C$33, 0))))</f>
        <v>7</v>
      </c>
      <c r="AC6" s="19" t="n">
        <f aca="false">(Reference!$B$2*Y6 + Reference!$B$3*AA6 + Reference!$B$4*Z6 + Reference!$B$5 * AB6)/4</f>
        <v>2.4375</v>
      </c>
      <c r="AD6" s="19" t="n">
        <f aca="false">IF(Q6=Reference!$C$41, Reference!$D$41, IF(Q6=Reference!$C$42, Reference!$D$42, IF(Q6=Reference!$C$43, Reference!$D$43, IF(Q6=Reference!$C$44, Reference!$D$44, 0))))</f>
        <v>7</v>
      </c>
      <c r="AE6" s="19" t="n">
        <f aca="false">1 + (AC6 * AD6)</f>
        <v>18.0625</v>
      </c>
      <c r="AF6" s="12" t="s">
        <v>701</v>
      </c>
      <c r="AG6" s="12" t="s">
        <v>713</v>
      </c>
    </row>
    <row r="7" customFormat="false" ht="150" hidden="false" customHeight="true" outlineLevel="0" collapsed="false">
      <c r="A7" s="10" t="s">
        <v>714</v>
      </c>
      <c r="B7" s="11" t="s">
        <v>323</v>
      </c>
      <c r="C7" s="12" t="s">
        <v>324</v>
      </c>
      <c r="D7" s="13" t="s">
        <v>715</v>
      </c>
      <c r="E7" s="14" t="s">
        <v>716</v>
      </c>
      <c r="F7" s="12" t="s">
        <v>37</v>
      </c>
      <c r="G7" s="12" t="s">
        <v>717</v>
      </c>
      <c r="H7" s="12" t="s">
        <v>39</v>
      </c>
      <c r="I7" s="14" t="s">
        <v>718</v>
      </c>
      <c r="J7" s="12" t="s">
        <v>39</v>
      </c>
      <c r="K7" s="15" t="s">
        <v>719</v>
      </c>
      <c r="L7" s="12" t="s">
        <v>76</v>
      </c>
      <c r="M7" s="15" t="s">
        <v>720</v>
      </c>
      <c r="N7" s="12" t="s">
        <v>41</v>
      </c>
      <c r="O7" s="14" t="s">
        <v>721</v>
      </c>
      <c r="P7" s="16" t="str">
        <f aca="false">IF(AC7&gt;=Reference!$H$2, Reference!$G$2, IF(AC7&gt;=Reference!$H$3, Reference!$G$3, IF(AC7&gt;=Reference!$H$4, Reference!$G$4, IF(AC7&gt;=Reference!$H$5, Reference!$G$5, ""))))</f>
        <v>Severe</v>
      </c>
      <c r="Q7" s="16" t="str">
        <f aca="false">IF(F7="Physical", "Very Low", IF(F7="Local", "Low", IF(F7="Adjacent", "Medium", IF(F7="Network", "High", ""))))</f>
        <v>Medium</v>
      </c>
      <c r="R7" s="16" t="str">
        <f aca="false">IF(AE7&gt;=Reference!$D$2, Reference!$E$2, IF(AE7&gt;=Reference!$D$3, Reference!$E$3, IF(AE7&gt;=Reference!$D$4, Reference!$E$4, IF(AE7&gt;=Reference!$D$5, Reference!$E$5, ""))))</f>
        <v>High</v>
      </c>
      <c r="S7" s="17" t="s">
        <v>46</v>
      </c>
      <c r="T7" s="14" t="s">
        <v>722</v>
      </c>
      <c r="U7" s="14" t="s">
        <v>723</v>
      </c>
      <c r="V7" s="14" t="s">
        <v>724</v>
      </c>
      <c r="W7" s="12" t="s">
        <v>725</v>
      </c>
      <c r="X7" s="18" t="s">
        <v>726</v>
      </c>
      <c r="Y7" s="19" t="n">
        <f aca="false">IF(H7=Reference!$A$12, Reference!$C$12, IF(H7=Reference!$A$11, Reference!$C$11, IF(H7=Reference!$A$10, Reference!$C$10, IF(H7=Reference!$A$9, Reference!$C$9, 0))))</f>
        <v>7</v>
      </c>
      <c r="Z7" s="19" t="n">
        <f aca="false">IF(J7=Reference!$A$20, Reference!$C$20, IF(J7=Reference!$A$19, Reference!$C$19, IF(J7=Reference!$A$18, Reference!$C$18, IF(J7=Reference!$A$17, Reference!$C$17, 0))))</f>
        <v>7</v>
      </c>
      <c r="AA7" s="19" t="n">
        <f aca="false">IF(L7=Reference!$A$28, Reference!$C$28, IF(L7=Reference!$A$27, Reference!$C$27, IF(L7=Reference!$A$26, Reference!$C$26, IF(L7=Reference!$A$25, Reference!$C$25, 0))))</f>
        <v>10</v>
      </c>
      <c r="AB7" s="19" t="n">
        <f aca="false">IF(N7=Reference!$A$36, Reference!$C$36, IF(N7=Reference!$A$35, Reference!$C$35, IF(N7=Reference!$A$34, Reference!$C$34, IF(N7=Reference!$A$33, Reference!$C$33, 0))))</f>
        <v>4</v>
      </c>
      <c r="AC7" s="19" t="n">
        <f aca="false">(Reference!$B$2*Y7 + Reference!$B$3*AA7 + Reference!$B$4*Z7 + Reference!$B$5 * AB7)/4</f>
        <v>12.375</v>
      </c>
      <c r="AD7" s="19" t="n">
        <f aca="false">IF(Q7=Reference!$C$41, Reference!$D$41, IF(Q7=Reference!$C$42, Reference!$D$42, IF(Q7=Reference!$C$43, Reference!$D$43, IF(Q7=Reference!$C$44, Reference!$D$44, 0))))</f>
        <v>7</v>
      </c>
      <c r="AE7" s="19" t="n">
        <f aca="false">1 + (AC7 * AD7)</f>
        <v>87.625</v>
      </c>
      <c r="AF7" s="12" t="s">
        <v>678</v>
      </c>
      <c r="AG7" s="12" t="s">
        <v>727</v>
      </c>
    </row>
    <row r="8" customFormat="false" ht="150" hidden="false" customHeight="true" outlineLevel="0" collapsed="false">
      <c r="A8" s="10" t="s">
        <v>728</v>
      </c>
      <c r="B8" s="11" t="s">
        <v>307</v>
      </c>
      <c r="C8" s="12" t="s">
        <v>457</v>
      </c>
      <c r="D8" s="13" t="s">
        <v>729</v>
      </c>
      <c r="E8" s="14" t="s">
        <v>730</v>
      </c>
      <c r="F8" s="12" t="s">
        <v>37</v>
      </c>
      <c r="G8" s="12" t="s">
        <v>731</v>
      </c>
      <c r="H8" s="12" t="s">
        <v>44</v>
      </c>
      <c r="I8" s="14" t="s">
        <v>312</v>
      </c>
      <c r="J8" s="12" t="s">
        <v>41</v>
      </c>
      <c r="K8" s="15" t="s">
        <v>732</v>
      </c>
      <c r="L8" s="12" t="s">
        <v>41</v>
      </c>
      <c r="M8" s="15" t="s">
        <v>733</v>
      </c>
      <c r="N8" s="12" t="s">
        <v>44</v>
      </c>
      <c r="O8" s="14" t="s">
        <v>734</v>
      </c>
      <c r="P8" s="16" t="str">
        <f aca="false">IF(AC8&gt;=Reference!$H$2, Reference!$G$2, IF(AC8&gt;=Reference!$H$3, Reference!$G$3, IF(AC8&gt;=Reference!$H$4, Reference!$G$4, IF(AC8&gt;=Reference!$H$5, Reference!$G$5, ""))))</f>
        <v>Moderate</v>
      </c>
      <c r="Q8" s="16" t="str">
        <f aca="false">IF(F8="Physical", "Very Low", IF(F8="Local", "Low", IF(F8="Adjacent", "Medium", IF(F8="Network", "High", ""))))</f>
        <v>Medium</v>
      </c>
      <c r="R8" s="16" t="str">
        <f aca="false">IF(AE8&gt;=Reference!$D$2, Reference!$E$2, IF(AE8&gt;=Reference!$D$3, Reference!$E$3, IF(AE8&gt;=Reference!$D$4, Reference!$E$4, IF(AE8&gt;=Reference!$D$5, Reference!$E$5, ""))))</f>
        <v>Medium</v>
      </c>
      <c r="S8" s="17" t="s">
        <v>46</v>
      </c>
      <c r="T8" s="14" t="s">
        <v>735</v>
      </c>
      <c r="U8" s="14" t="s">
        <v>736</v>
      </c>
      <c r="V8" s="14" t="s">
        <v>737</v>
      </c>
      <c r="W8" s="12" t="s">
        <v>738</v>
      </c>
      <c r="X8" s="18" t="s">
        <v>739</v>
      </c>
      <c r="Y8" s="19" t="n">
        <f aca="false">IF(H8=Reference!$A$12, Reference!$C$12, IF(H8=Reference!$A$11, Reference!$C$11, IF(H8=Reference!$A$10, Reference!$C$10, IF(H8=Reference!$A$9, Reference!$C$9, 0))))</f>
        <v>1</v>
      </c>
      <c r="Z8" s="19" t="n">
        <f aca="false">IF(J8=Reference!$A$20, Reference!$C$20, IF(J8=Reference!$A$19, Reference!$C$19, IF(J8=Reference!$A$18, Reference!$C$18, IF(J8=Reference!$A$17, Reference!$C$17, 0))))</f>
        <v>4</v>
      </c>
      <c r="AA8" s="19" t="n">
        <f aca="false">IF(L8=Reference!$A$28, Reference!$C$28, IF(L8=Reference!$A$27, Reference!$C$27, IF(L8=Reference!$A$26, Reference!$C$26, IF(L8=Reference!$A$25, Reference!$C$25, 0))))</f>
        <v>4</v>
      </c>
      <c r="AB8" s="19" t="n">
        <f aca="false">IF(N8=Reference!$A$36, Reference!$C$36, IF(N8=Reference!$A$35, Reference!$C$35, IF(N8=Reference!$A$34, Reference!$C$34, IF(N8=Reference!$A$33, Reference!$C$33, 0))))</f>
        <v>1</v>
      </c>
      <c r="AC8" s="19" t="n">
        <f aca="false">(Reference!$B$2*Y8 + Reference!$B$3*AA8 + Reference!$B$4*Z8 + Reference!$B$5 * AB8)/4</f>
        <v>2.8125</v>
      </c>
      <c r="AD8" s="19" t="n">
        <f aca="false">IF(Q8=Reference!$C$41, Reference!$D$41, IF(Q8=Reference!$C$42, Reference!$D$42, IF(Q8=Reference!$C$43, Reference!$D$43, IF(Q8=Reference!$C$44, Reference!$D$44, 0))))</f>
        <v>7</v>
      </c>
      <c r="AE8" s="19" t="n">
        <f aca="false">1 + (AC8 * AD8)</f>
        <v>20.6875</v>
      </c>
      <c r="AF8" s="12" t="s">
        <v>678</v>
      </c>
      <c r="AG8" s="12" t="s">
        <v>740</v>
      </c>
    </row>
    <row r="9" customFormat="false" ht="150" hidden="false" customHeight="true" outlineLevel="0" collapsed="false">
      <c r="A9" s="10" t="s">
        <v>741</v>
      </c>
      <c r="B9" s="11" t="s">
        <v>125</v>
      </c>
      <c r="C9" s="12" t="s">
        <v>126</v>
      </c>
      <c r="D9" s="13" t="s">
        <v>742</v>
      </c>
      <c r="E9" s="14" t="s">
        <v>743</v>
      </c>
      <c r="F9" s="12" t="s">
        <v>100</v>
      </c>
      <c r="G9" s="12" t="s">
        <v>744</v>
      </c>
      <c r="H9" s="12" t="s">
        <v>44</v>
      </c>
      <c r="I9" s="14" t="s">
        <v>233</v>
      </c>
      <c r="J9" s="12" t="s">
        <v>41</v>
      </c>
      <c r="K9" s="15" t="s">
        <v>745</v>
      </c>
      <c r="L9" s="12" t="s">
        <v>41</v>
      </c>
      <c r="M9" s="15" t="s">
        <v>746</v>
      </c>
      <c r="N9" s="12" t="s">
        <v>39</v>
      </c>
      <c r="O9" s="14" t="s">
        <v>747</v>
      </c>
      <c r="P9" s="16" t="str">
        <f aca="false">IF(AC9&gt;=Reference!$H$2, Reference!$G$2, IF(AC9&gt;=Reference!$H$3, Reference!$G$3, IF(AC9&gt;=Reference!$H$4, Reference!$G$4, IF(AC9&gt;=Reference!$H$5, Reference!$G$5, ""))))</f>
        <v>Moderate</v>
      </c>
      <c r="Q9" s="16" t="str">
        <f aca="false">IF(F9="Physical", "Very Low", IF(F9="Local", "Low", IF(F9="Adjacent", "Medium", IF(F9="Network", "High", ""))))</f>
        <v>High</v>
      </c>
      <c r="R9" s="16" t="str">
        <f aca="false">IF(AE9&gt;=Reference!$D$2, Reference!$E$2, IF(AE9&gt;=Reference!$D$3, Reference!$E$3, IF(AE9&gt;=Reference!$D$4, Reference!$E$4, IF(AE9&gt;=Reference!$D$5, Reference!$E$5, ""))))</f>
        <v>Medium</v>
      </c>
      <c r="S9" s="17" t="s">
        <v>46</v>
      </c>
      <c r="T9" s="14" t="s">
        <v>748</v>
      </c>
      <c r="U9" s="14" t="s">
        <v>749</v>
      </c>
      <c r="V9" s="14" t="s">
        <v>750</v>
      </c>
      <c r="W9" s="12" t="s">
        <v>277</v>
      </c>
      <c r="X9" s="18" t="s">
        <v>751</v>
      </c>
      <c r="Y9" s="19" t="n">
        <f aca="false">IF(H9=Reference!$A$12, Reference!$C$12, IF(H9=Reference!$A$11, Reference!$C$11, IF(H9=Reference!$A$10, Reference!$C$10, IF(H9=Reference!$A$9, Reference!$C$9, 0))))</f>
        <v>1</v>
      </c>
      <c r="Z9" s="19" t="n">
        <f aca="false">IF(J9=Reference!$A$20, Reference!$C$20, IF(J9=Reference!$A$19, Reference!$C$19, IF(J9=Reference!$A$18, Reference!$C$18, IF(J9=Reference!$A$17, Reference!$C$17, 0))))</f>
        <v>4</v>
      </c>
      <c r="AA9" s="19" t="n">
        <f aca="false">IF(L9=Reference!$A$28, Reference!$C$28, IF(L9=Reference!$A$27, Reference!$C$27, IF(L9=Reference!$A$26, Reference!$C$26, IF(L9=Reference!$A$25, Reference!$C$25, 0))))</f>
        <v>4</v>
      </c>
      <c r="AB9" s="19" t="n">
        <f aca="false">IF(N9=Reference!$A$36, Reference!$C$36, IF(N9=Reference!$A$35, Reference!$C$35, IF(N9=Reference!$A$34, Reference!$C$34, IF(N9=Reference!$A$33, Reference!$C$33, 0))))</f>
        <v>7</v>
      </c>
      <c r="AC9" s="19" t="n">
        <f aca="false">(Reference!$B$2*Y9 + Reference!$B$3*AA9 + Reference!$B$4*Z9 + Reference!$B$5 * AB9)/4</f>
        <v>3.1875</v>
      </c>
      <c r="AD9" s="19" t="n">
        <f aca="false">IF(Q9=Reference!$C$41, Reference!$D$41, IF(Q9=Reference!$C$42, Reference!$D$42, IF(Q9=Reference!$C$43, Reference!$D$43, IF(Q9=Reference!$C$44, Reference!$D$44, 0))))</f>
        <v>10</v>
      </c>
      <c r="AE9" s="19" t="n">
        <f aca="false">1 + (AC9 * AD9)</f>
        <v>32.875</v>
      </c>
      <c r="AF9" s="12" t="s">
        <v>701</v>
      </c>
      <c r="AG9" s="12" t="s">
        <v>752</v>
      </c>
    </row>
    <row r="10" customFormat="false" ht="150" hidden="false" customHeight="true" outlineLevel="0" collapsed="false">
      <c r="A10" s="10" t="s">
        <v>753</v>
      </c>
      <c r="B10" s="11" t="s">
        <v>323</v>
      </c>
      <c r="C10" s="12" t="s">
        <v>324</v>
      </c>
      <c r="D10" s="13" t="s">
        <v>754</v>
      </c>
      <c r="E10" s="14" t="s">
        <v>755</v>
      </c>
      <c r="F10" s="12" t="s">
        <v>100</v>
      </c>
      <c r="G10" s="12" t="s">
        <v>756</v>
      </c>
      <c r="H10" s="12" t="s">
        <v>76</v>
      </c>
      <c r="I10" s="14" t="s">
        <v>757</v>
      </c>
      <c r="J10" s="12" t="s">
        <v>39</v>
      </c>
      <c r="K10" s="15" t="s">
        <v>758</v>
      </c>
      <c r="L10" s="12" t="s">
        <v>76</v>
      </c>
      <c r="M10" s="15" t="s">
        <v>759</v>
      </c>
      <c r="N10" s="12" t="s">
        <v>44</v>
      </c>
      <c r="O10" s="14" t="s">
        <v>760</v>
      </c>
      <c r="P10" s="16" t="str">
        <f aca="false">IF(AC10&gt;=Reference!$H$2, Reference!$G$2, IF(AC10&gt;=Reference!$H$3, Reference!$G$3, IF(AC10&gt;=Reference!$H$4, Reference!$G$4, IF(AC10&gt;=Reference!$H$5, Reference!$G$5, ""))))</f>
        <v>Severe</v>
      </c>
      <c r="Q10" s="16" t="str">
        <f aca="false">IF(F10="Physical", "Very Low", IF(F10="Local", "Low", IF(F10="Adjacent", "Medium", IF(F10="Network", "High", ""))))</f>
        <v>High</v>
      </c>
      <c r="R10" s="16" t="str">
        <f aca="false">IF(AE10&gt;=Reference!$D$2, Reference!$E$2, IF(AE10&gt;=Reference!$D$3, Reference!$E$3, IF(AE10&gt;=Reference!$D$4, Reference!$E$4, IF(AE10&gt;=Reference!$D$5, Reference!$E$5, ""))))</f>
        <v>Critical</v>
      </c>
      <c r="S10" s="17" t="s">
        <v>46</v>
      </c>
      <c r="T10" s="14" t="s">
        <v>761</v>
      </c>
      <c r="U10" s="14" t="s">
        <v>762</v>
      </c>
      <c r="V10" s="14" t="s">
        <v>763</v>
      </c>
      <c r="W10" s="12" t="s">
        <v>764</v>
      </c>
      <c r="X10" s="18" t="s">
        <v>765</v>
      </c>
      <c r="Y10" s="19" t="n">
        <f aca="false">IF(H10=Reference!$A$12, Reference!$C$12, IF(H10=Reference!$A$11, Reference!$C$11, IF(H10=Reference!$A$10, Reference!$C$10, IF(H10=Reference!$A$9, Reference!$C$9, 0))))</f>
        <v>10</v>
      </c>
      <c r="Z10" s="19" t="n">
        <f aca="false">IF(J10=Reference!$A$20, Reference!$C$20, IF(J10=Reference!$A$19, Reference!$C$19, IF(J10=Reference!$A$18, Reference!$C$18, IF(J10=Reference!$A$17, Reference!$C$17, 0))))</f>
        <v>7</v>
      </c>
      <c r="AA10" s="19" t="n">
        <f aca="false">IF(L10=Reference!$A$28, Reference!$C$28, IF(L10=Reference!$A$27, Reference!$C$27, IF(L10=Reference!$A$26, Reference!$C$26, IF(L10=Reference!$A$25, Reference!$C$25, 0))))</f>
        <v>10</v>
      </c>
      <c r="AB10" s="19" t="n">
        <f aca="false">IF(N10=Reference!$A$36, Reference!$C$36, IF(N10=Reference!$A$35, Reference!$C$35, IF(N10=Reference!$A$34, Reference!$C$34, IF(N10=Reference!$A$33, Reference!$C$33, 0))))</f>
        <v>1</v>
      </c>
      <c r="AC10" s="19" t="n">
        <f aca="false">(Reference!$B$2*Y10 + Reference!$B$3*AA10 + Reference!$B$4*Z10 + Reference!$B$5 * AB10)/4</f>
        <v>15.9375</v>
      </c>
      <c r="AD10" s="19" t="n">
        <f aca="false">IF(Q10=Reference!$C$41, Reference!$D$41, IF(Q10=Reference!$C$42, Reference!$D$42, IF(Q10=Reference!$C$43, Reference!$D$43, IF(Q10=Reference!$C$44, Reference!$D$44, 0))))</f>
        <v>10</v>
      </c>
      <c r="AE10" s="19" t="n">
        <f aca="false">1 + (AC10 * AD10)</f>
        <v>160.375</v>
      </c>
      <c r="AF10" s="12" t="s">
        <v>701</v>
      </c>
      <c r="AG10" s="12" t="s">
        <v>766</v>
      </c>
    </row>
    <row r="11" customFormat="false" ht="150" hidden="false" customHeight="true" outlineLevel="0" collapsed="false">
      <c r="A11" s="10" t="s">
        <v>767</v>
      </c>
      <c r="B11" s="11" t="s">
        <v>323</v>
      </c>
      <c r="C11" s="12" t="s">
        <v>324</v>
      </c>
      <c r="D11" s="13" t="s">
        <v>768</v>
      </c>
      <c r="E11" s="14" t="s">
        <v>769</v>
      </c>
      <c r="F11" s="12" t="s">
        <v>100</v>
      </c>
      <c r="G11" s="12" t="s">
        <v>770</v>
      </c>
      <c r="H11" s="12" t="s">
        <v>76</v>
      </c>
      <c r="I11" s="14" t="s">
        <v>771</v>
      </c>
      <c r="J11" s="12" t="s">
        <v>39</v>
      </c>
      <c r="K11" s="15" t="s">
        <v>772</v>
      </c>
      <c r="L11" s="12" t="s">
        <v>76</v>
      </c>
      <c r="M11" s="15" t="s">
        <v>773</v>
      </c>
      <c r="N11" s="12" t="s">
        <v>41</v>
      </c>
      <c r="O11" s="14" t="s">
        <v>774</v>
      </c>
      <c r="P11" s="16" t="str">
        <f aca="false">IF(AC11&gt;=Reference!$H$2, Reference!$G$2, IF(AC11&gt;=Reference!$H$3, Reference!$G$3, IF(AC11&gt;=Reference!$H$4, Reference!$G$4, IF(AC11&gt;=Reference!$H$5, Reference!$G$5, ""))))</f>
        <v>Severe</v>
      </c>
      <c r="Q11" s="16" t="str">
        <f aca="false">IF(F11="Physical", "Very Low", IF(F11="Local", "Low", IF(F11="Adjacent", "Medium", IF(F11="Network", "High", ""))))</f>
        <v>High</v>
      </c>
      <c r="R11" s="16" t="str">
        <f aca="false">IF(AE11&gt;=Reference!$D$2, Reference!$E$2, IF(AE11&gt;=Reference!$D$3, Reference!$E$3, IF(AE11&gt;=Reference!$D$4, Reference!$E$4, IF(AE11&gt;=Reference!$D$5, Reference!$E$5, ""))))</f>
        <v>Critical</v>
      </c>
      <c r="S11" s="17" t="s">
        <v>46</v>
      </c>
      <c r="T11" s="14" t="s">
        <v>775</v>
      </c>
      <c r="U11" s="14" t="s">
        <v>776</v>
      </c>
      <c r="V11" s="14" t="s">
        <v>777</v>
      </c>
      <c r="W11" s="12" t="s">
        <v>725</v>
      </c>
      <c r="X11" s="18" t="s">
        <v>778</v>
      </c>
      <c r="Y11" s="19" t="n">
        <f aca="false">IF(H11=Reference!$A$12, Reference!$C$12, IF(H11=Reference!$A$11, Reference!$C$11, IF(H11=Reference!$A$10, Reference!$C$10, IF(H11=Reference!$A$9, Reference!$C$9, 0))))</f>
        <v>10</v>
      </c>
      <c r="Z11" s="19" t="n">
        <f aca="false">IF(J11=Reference!$A$20, Reference!$C$20, IF(J11=Reference!$A$19, Reference!$C$19, IF(J11=Reference!$A$18, Reference!$C$18, IF(J11=Reference!$A$17, Reference!$C$17, 0))))</f>
        <v>7</v>
      </c>
      <c r="AA11" s="19" t="n">
        <f aca="false">IF(L11=Reference!$A$28, Reference!$C$28, IF(L11=Reference!$A$27, Reference!$C$27, IF(L11=Reference!$A$26, Reference!$C$26, IF(L11=Reference!$A$25, Reference!$C$25, 0))))</f>
        <v>10</v>
      </c>
      <c r="AB11" s="19" t="n">
        <f aca="false">IF(N11=Reference!$A$36, Reference!$C$36, IF(N11=Reference!$A$35, Reference!$C$35, IF(N11=Reference!$A$34, Reference!$C$34, IF(N11=Reference!$A$33, Reference!$C$33, 0))))</f>
        <v>4</v>
      </c>
      <c r="AC11" s="19" t="n">
        <f aca="false">(Reference!$B$2*Y11 + Reference!$B$3*AA11 + Reference!$B$4*Z11 + Reference!$B$5 * AB11)/4</f>
        <v>16.125</v>
      </c>
      <c r="AD11" s="19" t="n">
        <f aca="false">IF(Q11=Reference!$C$41, Reference!$D$41, IF(Q11=Reference!$C$42, Reference!$D$42, IF(Q11=Reference!$C$43, Reference!$D$43, IF(Q11=Reference!$C$44, Reference!$D$44, 0))))</f>
        <v>10</v>
      </c>
      <c r="AE11" s="19" t="n">
        <f aca="false">1 + (AC11 * AD11)</f>
        <v>162.25</v>
      </c>
      <c r="AF11" s="12" t="s">
        <v>678</v>
      </c>
      <c r="AG11" s="12" t="s">
        <v>779</v>
      </c>
    </row>
    <row r="12" customFormat="false" ht="150" hidden="false" customHeight="true" outlineLevel="0" collapsed="false">
      <c r="A12" s="10" t="s">
        <v>217</v>
      </c>
      <c r="B12" s="11" t="s">
        <v>323</v>
      </c>
      <c r="C12" s="12" t="s">
        <v>324</v>
      </c>
      <c r="D12" s="13" t="s">
        <v>780</v>
      </c>
      <c r="E12" s="14" t="s">
        <v>781</v>
      </c>
      <c r="F12" s="12" t="s">
        <v>100</v>
      </c>
      <c r="G12" s="12" t="s">
        <v>782</v>
      </c>
      <c r="H12" s="12" t="s">
        <v>39</v>
      </c>
      <c r="I12" s="14" t="s">
        <v>783</v>
      </c>
      <c r="J12" s="12" t="s">
        <v>39</v>
      </c>
      <c r="K12" s="15" t="s">
        <v>784</v>
      </c>
      <c r="L12" s="12" t="s">
        <v>76</v>
      </c>
      <c r="M12" s="15" t="s">
        <v>785</v>
      </c>
      <c r="N12" s="12" t="s">
        <v>41</v>
      </c>
      <c r="O12" s="14" t="s">
        <v>786</v>
      </c>
      <c r="P12" s="16" t="str">
        <f aca="false">IF(AC12&gt;=Reference!$H$2, Reference!$G$2, IF(AC12&gt;=Reference!$H$3, Reference!$G$3, IF(AC12&gt;=Reference!$H$4, Reference!$G$4, IF(AC12&gt;=Reference!$H$5, Reference!$G$5, ""))))</f>
        <v>Severe</v>
      </c>
      <c r="Q12" s="16" t="str">
        <f aca="false">IF(F12="Physical", "Very Low", IF(F12="Local", "Low", IF(F12="Adjacent", "Medium", IF(F12="Network", "High", ""))))</f>
        <v>High</v>
      </c>
      <c r="R12" s="16" t="str">
        <f aca="false">IF(AE12&gt;=Reference!$D$2, Reference!$E$2, IF(AE12&gt;=Reference!$D$3, Reference!$E$3, IF(AE12&gt;=Reference!$D$4, Reference!$E$4, IF(AE12&gt;=Reference!$D$5, Reference!$E$5, ""))))</f>
        <v>Critical</v>
      </c>
      <c r="S12" s="17" t="s">
        <v>46</v>
      </c>
      <c r="T12" s="14" t="s">
        <v>787</v>
      </c>
      <c r="U12" s="14" t="s">
        <v>788</v>
      </c>
      <c r="V12" s="14" t="s">
        <v>789</v>
      </c>
      <c r="W12" s="12" t="s">
        <v>725</v>
      </c>
      <c r="X12" s="18" t="s">
        <v>790</v>
      </c>
      <c r="Y12" s="19" t="n">
        <f aca="false">IF(H12=Reference!$A$12, Reference!$C$12, IF(H12=Reference!$A$11, Reference!$C$11, IF(H12=Reference!$A$10, Reference!$C$10, IF(H12=Reference!$A$9, Reference!$C$9, 0))))</f>
        <v>7</v>
      </c>
      <c r="Z12" s="19" t="n">
        <f aca="false">IF(J12=Reference!$A$20, Reference!$C$20, IF(J12=Reference!$A$19, Reference!$C$19, IF(J12=Reference!$A$18, Reference!$C$18, IF(J12=Reference!$A$17, Reference!$C$17, 0))))</f>
        <v>7</v>
      </c>
      <c r="AA12" s="19" t="n">
        <f aca="false">IF(L12=Reference!$A$28, Reference!$C$28, IF(L12=Reference!$A$27, Reference!$C$27, IF(L12=Reference!$A$26, Reference!$C$26, IF(L12=Reference!$A$25, Reference!$C$25, 0))))</f>
        <v>10</v>
      </c>
      <c r="AB12" s="19" t="n">
        <f aca="false">IF(N12=Reference!$A$36, Reference!$C$36, IF(N12=Reference!$A$35, Reference!$C$35, IF(N12=Reference!$A$34, Reference!$C$34, IF(N12=Reference!$A$33, Reference!$C$33, 0))))</f>
        <v>4</v>
      </c>
      <c r="AC12" s="19" t="n">
        <f aca="false">(Reference!$B$2*Y12 + Reference!$B$3*AA12 + Reference!$B$4*Z12 + Reference!$B$5 * AB12)/4</f>
        <v>12.375</v>
      </c>
      <c r="AD12" s="19" t="n">
        <f aca="false">IF(Q12=Reference!$C$41, Reference!$D$41, IF(Q12=Reference!$C$42, Reference!$D$42, IF(Q12=Reference!$C$43, Reference!$D$43, IF(Q12=Reference!$C$44, Reference!$D$44, 0))))</f>
        <v>10</v>
      </c>
      <c r="AE12" s="19" t="n">
        <f aca="false">1 + (AC12 * AD12)</f>
        <v>124.75</v>
      </c>
      <c r="AF12" s="12" t="s">
        <v>678</v>
      </c>
      <c r="AG12" s="12" t="s">
        <v>791</v>
      </c>
    </row>
    <row r="13" customFormat="false" ht="150" hidden="false" customHeight="true" outlineLevel="0" collapsed="false">
      <c r="A13" s="10" t="s">
        <v>217</v>
      </c>
      <c r="B13" s="11" t="s">
        <v>307</v>
      </c>
      <c r="C13" s="12" t="s">
        <v>308</v>
      </c>
      <c r="D13" s="13" t="s">
        <v>792</v>
      </c>
      <c r="E13" s="14" t="s">
        <v>793</v>
      </c>
      <c r="F13" s="12" t="s">
        <v>100</v>
      </c>
      <c r="G13" s="12" t="s">
        <v>794</v>
      </c>
      <c r="H13" s="12" t="s">
        <v>44</v>
      </c>
      <c r="I13" s="14" t="s">
        <v>312</v>
      </c>
      <c r="J13" s="12" t="s">
        <v>39</v>
      </c>
      <c r="K13" s="15" t="s">
        <v>795</v>
      </c>
      <c r="L13" s="12" t="s">
        <v>41</v>
      </c>
      <c r="M13" s="15" t="s">
        <v>796</v>
      </c>
      <c r="N13" s="12" t="s">
        <v>44</v>
      </c>
      <c r="O13" s="14" t="s">
        <v>797</v>
      </c>
      <c r="P13" s="16" t="str">
        <f aca="false">IF(AC13&gt;=Reference!$H$2, Reference!$G$2, IF(AC13&gt;=Reference!$H$3, Reference!$G$3, IF(AC13&gt;=Reference!$H$4, Reference!$G$4, IF(AC13&gt;=Reference!$H$5, Reference!$G$5, ""))))</f>
        <v>Moderate</v>
      </c>
      <c r="Q13" s="16" t="str">
        <f aca="false">IF(F13="Physical", "Very Low", IF(F13="Local", "Low", IF(F13="Adjacent", "Medium", IF(F13="Network", "High", ""))))</f>
        <v>High</v>
      </c>
      <c r="R13" s="16" t="str">
        <f aca="false">IF(AE13&gt;=Reference!$D$2, Reference!$E$2, IF(AE13&gt;=Reference!$D$3, Reference!$E$3, IF(AE13&gt;=Reference!$D$4, Reference!$E$4, IF(AE13&gt;=Reference!$D$5, Reference!$E$5, ""))))</f>
        <v>Medium</v>
      </c>
      <c r="S13" s="17" t="s">
        <v>46</v>
      </c>
      <c r="T13" s="14" t="s">
        <v>798</v>
      </c>
      <c r="U13" s="14" t="s">
        <v>799</v>
      </c>
      <c r="V13" s="14" t="s">
        <v>800</v>
      </c>
      <c r="W13" s="12" t="s">
        <v>319</v>
      </c>
      <c r="X13" s="18" t="s">
        <v>790</v>
      </c>
      <c r="Y13" s="19" t="n">
        <f aca="false">IF(H13=Reference!$A$12, Reference!$C$12, IF(H13=Reference!$A$11, Reference!$C$11, IF(H13=Reference!$A$10, Reference!$C$10, IF(H13=Reference!$A$9, Reference!$C$9, 0))))</f>
        <v>1</v>
      </c>
      <c r="Z13" s="19" t="n">
        <f aca="false">IF(J13=Reference!$A$20, Reference!$C$20, IF(J13=Reference!$A$19, Reference!$C$19, IF(J13=Reference!$A$18, Reference!$C$18, IF(J13=Reference!$A$17, Reference!$C$17, 0))))</f>
        <v>7</v>
      </c>
      <c r="AA13" s="19" t="n">
        <f aca="false">IF(L13=Reference!$A$28, Reference!$C$28, IF(L13=Reference!$A$27, Reference!$C$27, IF(L13=Reference!$A$26, Reference!$C$26, IF(L13=Reference!$A$25, Reference!$C$25, 0))))</f>
        <v>4</v>
      </c>
      <c r="AB13" s="19" t="n">
        <f aca="false">IF(N13=Reference!$A$36, Reference!$C$36, IF(N13=Reference!$A$35, Reference!$C$35, IF(N13=Reference!$A$34, Reference!$C$34, IF(N13=Reference!$A$33, Reference!$C$33, 0))))</f>
        <v>1</v>
      </c>
      <c r="AC13" s="19" t="n">
        <f aca="false">(Reference!$B$2*Y13 + Reference!$B$3*AA13 + Reference!$B$4*Z13 + Reference!$B$5 * AB13)/4</f>
        <v>3.1875</v>
      </c>
      <c r="AD13" s="19" t="n">
        <f aca="false">IF(Q13=Reference!$C$41, Reference!$D$41, IF(Q13=Reference!$C$42, Reference!$D$42, IF(Q13=Reference!$C$43, Reference!$D$43, IF(Q13=Reference!$C$44, Reference!$D$44, 0))))</f>
        <v>10</v>
      </c>
      <c r="AE13" s="19" t="n">
        <f aca="false">1 + (AC13 * AD13)</f>
        <v>32.875</v>
      </c>
      <c r="AF13" s="12" t="s">
        <v>678</v>
      </c>
      <c r="AG13" s="12" t="s">
        <v>801</v>
      </c>
    </row>
    <row r="14" customFormat="false" ht="150" hidden="false" customHeight="true" outlineLevel="0" collapsed="false">
      <c r="A14" s="10" t="s">
        <v>802</v>
      </c>
      <c r="B14" s="11" t="s">
        <v>307</v>
      </c>
      <c r="C14" s="12" t="s">
        <v>308</v>
      </c>
      <c r="D14" s="13" t="s">
        <v>803</v>
      </c>
      <c r="E14" s="14" t="s">
        <v>804</v>
      </c>
      <c r="F14" s="12" t="s">
        <v>100</v>
      </c>
      <c r="G14" s="12" t="s">
        <v>805</v>
      </c>
      <c r="H14" s="12" t="s">
        <v>44</v>
      </c>
      <c r="I14" s="14" t="s">
        <v>312</v>
      </c>
      <c r="J14" s="12" t="s">
        <v>39</v>
      </c>
      <c r="K14" s="15" t="s">
        <v>806</v>
      </c>
      <c r="L14" s="12" t="s">
        <v>41</v>
      </c>
      <c r="M14" s="15" t="s">
        <v>807</v>
      </c>
      <c r="N14" s="12" t="s">
        <v>44</v>
      </c>
      <c r="O14" s="14" t="s">
        <v>808</v>
      </c>
      <c r="P14" s="16" t="str">
        <f aca="false">IF(AC14&gt;=Reference!$H$2, Reference!$G$2, IF(AC14&gt;=Reference!$H$3, Reference!$G$3, IF(AC14&gt;=Reference!$H$4, Reference!$G$4, IF(AC14&gt;=Reference!$H$5, Reference!$G$5, ""))))</f>
        <v>Moderate</v>
      </c>
      <c r="Q14" s="16" t="str">
        <f aca="false">IF(F14="Physical", "Very Low", IF(F14="Local", "Low", IF(F14="Adjacent", "Medium", IF(F14="Network", "High", ""))))</f>
        <v>High</v>
      </c>
      <c r="R14" s="16" t="str">
        <f aca="false">IF(AE14&gt;=Reference!$D$2, Reference!$E$2, IF(AE14&gt;=Reference!$D$3, Reference!$E$3, IF(AE14&gt;=Reference!$D$4, Reference!$E$4, IF(AE14&gt;=Reference!$D$5, Reference!$E$5, ""))))</f>
        <v>Medium</v>
      </c>
      <c r="S14" s="17" t="s">
        <v>46</v>
      </c>
      <c r="T14" s="14" t="s">
        <v>809</v>
      </c>
      <c r="U14" s="14" t="s">
        <v>810</v>
      </c>
      <c r="V14" s="14" t="s">
        <v>811</v>
      </c>
      <c r="W14" s="12" t="s">
        <v>319</v>
      </c>
      <c r="X14" s="18" t="s">
        <v>790</v>
      </c>
      <c r="Y14" s="19" t="n">
        <f aca="false">IF(H14=Reference!$A$12, Reference!$C$12, IF(H14=Reference!$A$11, Reference!$C$11, IF(H14=Reference!$A$10, Reference!$C$10, IF(H14=Reference!$A$9, Reference!$C$9, 0))))</f>
        <v>1</v>
      </c>
      <c r="Z14" s="19" t="n">
        <f aca="false">IF(J14=Reference!$A$20, Reference!$C$20, IF(J14=Reference!$A$19, Reference!$C$19, IF(J14=Reference!$A$18, Reference!$C$18, IF(J14=Reference!$A$17, Reference!$C$17, 0))))</f>
        <v>7</v>
      </c>
      <c r="AA14" s="19" t="n">
        <f aca="false">IF(L14=Reference!$A$28, Reference!$C$28, IF(L14=Reference!$A$27, Reference!$C$27, IF(L14=Reference!$A$26, Reference!$C$26, IF(L14=Reference!$A$25, Reference!$C$25, 0))))</f>
        <v>4</v>
      </c>
      <c r="AB14" s="19" t="n">
        <f aca="false">IF(N14=Reference!$A$36, Reference!$C$36, IF(N14=Reference!$A$35, Reference!$C$35, IF(N14=Reference!$A$34, Reference!$C$34, IF(N14=Reference!$A$33, Reference!$C$33, 0))))</f>
        <v>1</v>
      </c>
      <c r="AC14" s="19" t="n">
        <f aca="false">(Reference!$B$2*Y14 + Reference!$B$3*AA14 + Reference!$B$4*Z14 + Reference!$B$5 * AB14)/4</f>
        <v>3.1875</v>
      </c>
      <c r="AD14" s="19" t="n">
        <f aca="false">IF(Q14=Reference!$C$41, Reference!$D$41, IF(Q14=Reference!$C$42, Reference!$D$42, IF(Q14=Reference!$C$43, Reference!$D$43, IF(Q14=Reference!$C$44, Reference!$D$44, 0))))</f>
        <v>10</v>
      </c>
      <c r="AE14" s="19" t="n">
        <f aca="false">1 + (AC14 * AD14)</f>
        <v>32.875</v>
      </c>
      <c r="AF14" s="12" t="s">
        <v>701</v>
      </c>
      <c r="AG14" s="12" t="s">
        <v>812</v>
      </c>
    </row>
  </sheetData>
  <autoFilter ref="A1:X14"/>
  <dataValidations count="8">
    <dataValidation allowBlank="true" errorStyle="stop" operator="between" showDropDown="false" showErrorMessage="false" showInputMessage="false" sqref="B2:B14" type="list">
      <formula1>"Spoofing,Tampering,Repudiation,Information disclosure,Denial of service,Elevation of privilege"</formula1>
      <formula2>0</formula2>
    </dataValidation>
    <dataValidation allowBlank="true" errorStyle="stop" operator="between" showDropDown="false" showErrorMessage="false" showInputMessage="false" sqref="C2:C14" type="list">
      <formula1>"Confidentiality,Integrity,Availability,Authenticity,Non-repudiation,Accountability,Authorization"</formula1>
      <formula2>0</formula2>
    </dataValidation>
    <dataValidation allowBlank="true" errorStyle="stop" operator="between" showDropDown="false" showErrorMessage="false" showInputMessage="false" sqref="F2:F14" type="list">
      <formula1>"Physical,Local,Adjacent,Network"</formula1>
      <formula2>0</formula2>
    </dataValidation>
    <dataValidation allowBlank="true" errorStyle="stop" operator="between" showDropDown="false" showErrorMessage="false" showInputMessage="false" sqref="H2:H14" type="list">
      <formula1>"Negligible,Moderate,Major,Severe"</formula1>
      <formula2>0</formula2>
    </dataValidation>
    <dataValidation allowBlank="true" errorStyle="stop" operator="between" showDropDown="false" showErrorMessage="false" showInputMessage="false" sqref="J2:J14" type="list">
      <formula1>"Negligible,Moderate,Major,Severe"</formula1>
      <formula2>0</formula2>
    </dataValidation>
    <dataValidation allowBlank="true" errorStyle="stop" operator="between" showDropDown="false" showErrorMessage="false" showInputMessage="false" sqref="L2:L14" type="list">
      <formula1>"Negligible,Moderate,Major,Severe"</formula1>
      <formula2>0</formula2>
    </dataValidation>
    <dataValidation allowBlank="true" errorStyle="stop" operator="between" showDropDown="false" showErrorMessage="false" showInputMessage="false" sqref="N2:N14" type="list">
      <formula1>"Negligible,Moderate,Major,Severe"</formula1>
      <formula2>0</formula2>
    </dataValidation>
    <dataValidation allowBlank="true" errorStyle="stop" operator="between" showDropDown="false" showErrorMessage="false" showInputMessage="false" sqref="S2:S14" type="list">
      <formula1>"Avoidance,Mitigation,Acceptance,Transfer"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6"/>
  </cols>
  <sheetData>
    <row r="1" customFormat="false" ht="15" hidden="false" customHeight="true" outlineLevel="0" collapsed="false">
      <c r="A1" s="20" t="s">
        <v>813</v>
      </c>
    </row>
    <row r="3" customFormat="false" ht="15" hidden="false" customHeight="true" outlineLevel="0" collapsed="false">
      <c r="A3" s="20" t="s">
        <v>814</v>
      </c>
      <c r="B3" s="20" t="s">
        <v>815</v>
      </c>
    </row>
    <row r="4" customFormat="false" ht="15" hidden="false" customHeight="true" outlineLevel="0" collapsed="false">
      <c r="A4" s="21" t="s">
        <v>816</v>
      </c>
      <c r="B4" s="21" t="n">
        <f aca="false">COUNTIF('AI threat scenarios'!$R$2:$R$44,A4)</f>
        <v>10</v>
      </c>
    </row>
    <row r="5" customFormat="false" ht="15" hidden="false" customHeight="true" outlineLevel="0" collapsed="false">
      <c r="A5" s="21" t="s">
        <v>817</v>
      </c>
      <c r="B5" s="21" t="n">
        <f aca="false">COUNTIF('AI threat scenarios'!$R$2:$R$44,A5)</f>
        <v>12</v>
      </c>
    </row>
    <row r="6" customFormat="false" ht="15" hidden="false" customHeight="true" outlineLevel="0" collapsed="false">
      <c r="A6" s="21" t="s">
        <v>818</v>
      </c>
      <c r="B6" s="21" t="n">
        <f aca="false">COUNTIF('AI threat scenarios'!$R$2:$R$44,A6)</f>
        <v>14</v>
      </c>
    </row>
    <row r="7" customFormat="false" ht="15" hidden="false" customHeight="true" outlineLevel="0" collapsed="false">
      <c r="A7" s="21" t="s">
        <v>819</v>
      </c>
      <c r="B7" s="21" t="n">
        <f aca="false">COUNTIF('AI threat scenarios'!$R$2:$R$44,A7)</f>
        <v>7</v>
      </c>
    </row>
    <row r="8" customFormat="false" ht="15" hidden="false" customHeight="true" outlineLevel="0" collapsed="false">
      <c r="A8" s="21" t="s">
        <v>820</v>
      </c>
      <c r="B8" s="21" t="n">
        <f aca="false">COUNTIF('AI threat scenarios'!$R$2:$R$44,A8)</f>
        <v>0</v>
      </c>
    </row>
    <row r="9" customFormat="false" ht="15" hidden="false" customHeight="true" outlineLevel="0" collapsed="false">
      <c r="A9" s="22" t="s">
        <v>821</v>
      </c>
      <c r="B9" s="22" t="n">
        <f aca="false">SUM(B4:B8)</f>
        <v>43</v>
      </c>
    </row>
    <row r="11" customFormat="false" ht="15" hidden="false" customHeight="true" outlineLevel="0" collapsed="false">
      <c r="A11" s="20" t="s">
        <v>822</v>
      </c>
      <c r="B11" s="20" t="s">
        <v>815</v>
      </c>
    </row>
    <row r="12" customFormat="false" ht="15" hidden="false" customHeight="true" outlineLevel="0" collapsed="false">
      <c r="A12" s="21" t="s">
        <v>33</v>
      </c>
      <c r="B12" s="21" t="n">
        <f aca="false">COUNTIF('AI threat scenarios'!$B$2:$B$44,A12)</f>
        <v>9</v>
      </c>
    </row>
    <row r="13" customFormat="false" ht="15" hidden="false" customHeight="true" outlineLevel="0" collapsed="false">
      <c r="A13" s="21" t="s">
        <v>53</v>
      </c>
      <c r="B13" s="21" t="n">
        <f aca="false">COUNTIF('AI threat scenarios'!$B$2:$B$44,A13)</f>
        <v>11</v>
      </c>
    </row>
    <row r="14" customFormat="false" ht="15" hidden="false" customHeight="true" outlineLevel="0" collapsed="false">
      <c r="A14" s="21" t="s">
        <v>307</v>
      </c>
      <c r="B14" s="21" t="n">
        <f aca="false">COUNTIF('AI threat scenarios'!$B$2:$B$44,A14)</f>
        <v>5</v>
      </c>
    </row>
    <row r="15" customFormat="false" ht="15" hidden="false" customHeight="true" outlineLevel="0" collapsed="false">
      <c r="A15" s="21" t="s">
        <v>125</v>
      </c>
      <c r="B15" s="21" t="n">
        <f aca="false">COUNTIF('AI threat scenarios'!$B$2:$B$44,A15)</f>
        <v>6</v>
      </c>
    </row>
    <row r="16" customFormat="false" ht="15" hidden="false" customHeight="true" outlineLevel="0" collapsed="false">
      <c r="A16" s="21" t="s">
        <v>69</v>
      </c>
      <c r="B16" s="21" t="n">
        <f aca="false">COUNTIF('AI threat scenarios'!$B$2:$B$44,A16)</f>
        <v>9</v>
      </c>
    </row>
    <row r="17" customFormat="false" ht="15" hidden="false" customHeight="true" outlineLevel="0" collapsed="false">
      <c r="A17" s="21" t="s">
        <v>323</v>
      </c>
      <c r="B17" s="21" t="n">
        <f aca="false">COUNTIF('AI threat scenarios'!$B$2:$B$44,A17)</f>
        <v>3</v>
      </c>
    </row>
    <row r="18" customFormat="false" ht="15" hidden="false" customHeight="true" outlineLevel="0" collapsed="false">
      <c r="A18" s="22" t="s">
        <v>821</v>
      </c>
      <c r="B18" s="22" t="n">
        <f aca="false">SUM(B12:B17)</f>
        <v>43</v>
      </c>
    </row>
    <row r="20" customFormat="false" ht="15" hidden="false" customHeight="true" outlineLevel="0" collapsed="false">
      <c r="A20" s="20" t="s">
        <v>5</v>
      </c>
      <c r="B20" s="20" t="s">
        <v>815</v>
      </c>
    </row>
    <row r="21" customFormat="false" ht="15" hidden="false" customHeight="true" outlineLevel="0" collapsed="false">
      <c r="A21" s="21" t="s">
        <v>100</v>
      </c>
      <c r="B21" s="21" t="n">
        <f aca="false">COUNTIF('AI threat scenarios'!$F$2:$F$44,A21)</f>
        <v>22</v>
      </c>
    </row>
    <row r="22" customFormat="false" ht="15" hidden="false" customHeight="true" outlineLevel="0" collapsed="false">
      <c r="A22" s="21" t="s">
        <v>37</v>
      </c>
      <c r="B22" s="21" t="n">
        <f aca="false">COUNTIF('AI threat scenarios'!$F$2:$F$44,A22)</f>
        <v>9</v>
      </c>
    </row>
    <row r="23" customFormat="false" ht="15" hidden="false" customHeight="true" outlineLevel="0" collapsed="false">
      <c r="A23" s="21" t="s">
        <v>193</v>
      </c>
      <c r="B23" s="21" t="n">
        <f aca="false">COUNTIF('AI threat scenarios'!$F$2:$F$44,A23)</f>
        <v>5</v>
      </c>
    </row>
    <row r="24" customFormat="false" ht="15" hidden="false" customHeight="true" outlineLevel="0" collapsed="false">
      <c r="A24" s="21" t="s">
        <v>57</v>
      </c>
      <c r="B24" s="21" t="n">
        <f aca="false">COUNTIF('AI threat scenarios'!$F$2:$F$44,A24)</f>
        <v>7</v>
      </c>
    </row>
    <row r="25" customFormat="false" ht="15" hidden="false" customHeight="true" outlineLevel="0" collapsed="false">
      <c r="A25" s="22" t="s">
        <v>821</v>
      </c>
      <c r="B25" s="22" t="n">
        <f aca="false">SUM(B21:B24)</f>
        <v>43</v>
      </c>
    </row>
    <row r="27" customFormat="false" ht="15" hidden="false" customHeight="true" outlineLevel="0" collapsed="false">
      <c r="A27" s="20" t="s">
        <v>823</v>
      </c>
      <c r="B27" s="20" t="s">
        <v>815</v>
      </c>
    </row>
    <row r="28" customFormat="false" ht="15" hidden="false" customHeight="true" outlineLevel="0" collapsed="false">
      <c r="A28" s="21" t="s">
        <v>76</v>
      </c>
      <c r="B28" s="21" t="n">
        <f aca="false">COUNTIF('AI threat scenarios'!$P$2:$P$44,A28)</f>
        <v>27</v>
      </c>
    </row>
    <row r="29" customFormat="false" ht="15" hidden="false" customHeight="true" outlineLevel="0" collapsed="false">
      <c r="A29" s="21" t="s">
        <v>39</v>
      </c>
      <c r="B29" s="21" t="n">
        <f aca="false">COUNTIF('AI threat scenarios'!$P$2:$P$44,A29)</f>
        <v>6</v>
      </c>
    </row>
    <row r="30" customFormat="false" ht="15" hidden="false" customHeight="true" outlineLevel="0" collapsed="false">
      <c r="A30" s="21" t="s">
        <v>41</v>
      </c>
      <c r="B30" s="21" t="n">
        <f aca="false">COUNTIF('AI threat scenarios'!$P$2:$P$44,A30)</f>
        <v>10</v>
      </c>
    </row>
    <row r="31" customFormat="false" ht="15" hidden="false" customHeight="true" outlineLevel="0" collapsed="false">
      <c r="A31" s="21" t="s">
        <v>44</v>
      </c>
      <c r="B31" s="21" t="n">
        <f aca="false">COUNTIF('AI threat scenarios'!$P$2:$P$44,A31)</f>
        <v>0</v>
      </c>
    </row>
    <row r="32" customFormat="false" ht="15" hidden="false" customHeight="true" outlineLevel="0" collapsed="false">
      <c r="A32" s="22" t="s">
        <v>821</v>
      </c>
      <c r="B32" s="22" t="n">
        <f aca="false">SUM(B28:B31)</f>
        <v>43</v>
      </c>
    </row>
    <row r="34" customFormat="false" ht="15" hidden="false" customHeight="true" outlineLevel="0" collapsed="false">
      <c r="A34" s="22" t="s">
        <v>824</v>
      </c>
      <c r="B34" s="23" t="n">
        <f aca="false">ROUND(AVERAGE('AI threat scenarios'!$AE$2:$AE$44),1)</f>
        <v>65.9</v>
      </c>
    </row>
    <row r="35" customFormat="false" ht="15" hidden="false" customHeight="true" outlineLevel="0" collapsed="false">
      <c r="A35" s="22" t="s">
        <v>825</v>
      </c>
      <c r="B35" s="21" t="n">
        <f aca="false">ROUND(MAX('AI threat scenarios'!$AE$2:$AE$44),1)</f>
        <v>167.9</v>
      </c>
    </row>
    <row r="36" customFormat="false" ht="15" hidden="false" customHeight="true" outlineLevel="0" collapsed="false">
      <c r="A36" s="22" t="s">
        <v>826</v>
      </c>
      <c r="B36" s="21" t="n">
        <f aca="false">COUNTA('AI threat scenarios'!$A$2:$A$44)</f>
        <v>43</v>
      </c>
    </row>
    <row r="38" customFormat="false" ht="45" hidden="false" customHeight="true" outlineLevel="0" collapsed="false">
      <c r="A38" s="22" t="s">
        <v>827</v>
      </c>
      <c r="B38" s="24" t="s">
        <v>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3" min="3" style="1" width="34"/>
    <col collapsed="false" customWidth="true" hidden="false" outlineLevel="0" max="4" min="4" style="1" width="14"/>
    <col collapsed="false" customWidth="true" hidden="false" outlineLevel="0" max="5" min="5" style="1" width="20"/>
    <col collapsed="false" customWidth="true" hidden="false" outlineLevel="0" max="6" min="6" style="1" width="14"/>
    <col collapsed="false" customWidth="true" hidden="false" outlineLevel="0" max="8" min="7" style="1" width="12"/>
    <col collapsed="false" customWidth="true" hidden="false" outlineLevel="0" max="10" min="9" style="1" width="16"/>
    <col collapsed="false" customWidth="true" hidden="false" outlineLevel="0" max="11" min="11" style="1" width="14"/>
    <col collapsed="false" customWidth="true" hidden="false" outlineLevel="0" max="12" min="12" style="1" width="30"/>
    <col collapsed="false" customWidth="true" hidden="false" outlineLevel="0" max="13" min="13" style="1" width="40"/>
    <col collapsed="false" customWidth="true" hidden="false" outlineLevel="0" max="14" min="14" style="1" width="22"/>
    <col collapsed="false" customWidth="true" hidden="false" outlineLevel="0" max="15" min="15" style="1" width="13"/>
    <col collapsed="false" customWidth="true" hidden="false" outlineLevel="0" max="16" min="16" style="1" width="12"/>
    <col collapsed="false" customWidth="true" hidden="false" outlineLevel="0" max="17" min="17" style="1" width="13"/>
  </cols>
  <sheetData>
    <row r="1" customFormat="false" ht="15" hidden="false" customHeight="true" outlineLevel="0" collapsed="false">
      <c r="A1" s="22" t="s">
        <v>829</v>
      </c>
      <c r="B1" s="22" t="s">
        <v>830</v>
      </c>
      <c r="C1" s="22" t="s">
        <v>831</v>
      </c>
      <c r="D1" s="22" t="s">
        <v>832</v>
      </c>
      <c r="E1" s="22" t="s">
        <v>833</v>
      </c>
      <c r="F1" s="22" t="s">
        <v>834</v>
      </c>
      <c r="G1" s="22" t="s">
        <v>835</v>
      </c>
      <c r="H1" s="22" t="s">
        <v>836</v>
      </c>
      <c r="I1" s="22" t="s">
        <v>837</v>
      </c>
      <c r="J1" s="22" t="s">
        <v>838</v>
      </c>
      <c r="K1" s="22" t="s">
        <v>839</v>
      </c>
      <c r="L1" s="20" t="s">
        <v>840</v>
      </c>
      <c r="M1" s="20" t="s">
        <v>841</v>
      </c>
      <c r="N1" s="20" t="s">
        <v>842</v>
      </c>
      <c r="O1" s="20" t="s">
        <v>843</v>
      </c>
      <c r="P1" s="20" t="s">
        <v>844</v>
      </c>
      <c r="Q1" s="20" t="s">
        <v>845</v>
      </c>
    </row>
    <row r="2" customFormat="false" ht="15" hidden="false" customHeight="true" outlineLevel="0" collapsed="false">
      <c r="A2" s="21" t="s">
        <v>846</v>
      </c>
      <c r="B2" s="21" t="s">
        <v>847</v>
      </c>
      <c r="C2" s="21" t="s">
        <v>848</v>
      </c>
      <c r="D2" s="21" t="s">
        <v>849</v>
      </c>
      <c r="E2" s="21" t="s">
        <v>850</v>
      </c>
      <c r="F2" s="21"/>
      <c r="G2" s="21"/>
      <c r="H2" s="21"/>
      <c r="I2" s="21"/>
      <c r="J2" s="21"/>
      <c r="K2" s="21"/>
      <c r="L2" s="21" t="s">
        <v>851</v>
      </c>
      <c r="M2" s="21" t="str">
        <f aca="false">L2&amp;"|"&amp;E2</f>
        <v>Mono + Stereo|Information Disclosure</v>
      </c>
      <c r="N2" s="21" t="s">
        <v>851</v>
      </c>
      <c r="O2" s="21" t="s">
        <v>842</v>
      </c>
      <c r="P2" s="21" t="n">
        <f aca="false">COUNTIF(Mapping!$G$2:$G$44,M2)</f>
        <v>1</v>
      </c>
      <c r="Q2" s="21" t="str">
        <f aca="false">IF(P2&gt;0,"Yes","No")</f>
        <v>Yes</v>
      </c>
    </row>
    <row r="3" customFormat="false" ht="15" hidden="false" customHeight="true" outlineLevel="0" collapsed="false">
      <c r="A3" s="21" t="s">
        <v>67</v>
      </c>
      <c r="B3" s="21" t="s">
        <v>852</v>
      </c>
      <c r="C3" s="21" t="s">
        <v>848</v>
      </c>
      <c r="D3" s="21" t="s">
        <v>849</v>
      </c>
      <c r="E3" s="21" t="s">
        <v>53</v>
      </c>
      <c r="F3" s="21"/>
      <c r="G3" s="21"/>
      <c r="H3" s="21"/>
      <c r="I3" s="21"/>
      <c r="J3" s="21"/>
      <c r="K3" s="21"/>
      <c r="L3" s="21" t="s">
        <v>851</v>
      </c>
      <c r="M3" s="21" t="str">
        <f aca="false">L3&amp;"|"&amp;E3</f>
        <v>Mono + Stereo|Tampering</v>
      </c>
      <c r="N3" s="21" t="s">
        <v>851</v>
      </c>
      <c r="O3" s="21" t="s">
        <v>842</v>
      </c>
      <c r="P3" s="21" t="n">
        <f aca="false">COUNTIF(Mapping!$G$2:$G$44,M3)</f>
        <v>1</v>
      </c>
      <c r="Q3" s="21" t="str">
        <f aca="false">IF(P3&gt;0,"Yes","No")</f>
        <v>Yes</v>
      </c>
    </row>
    <row r="4" customFormat="false" ht="15" hidden="false" customHeight="true" outlineLevel="0" collapsed="false">
      <c r="A4" s="21" t="s">
        <v>83</v>
      </c>
      <c r="B4" s="21" t="s">
        <v>853</v>
      </c>
      <c r="C4" s="21" t="s">
        <v>848</v>
      </c>
      <c r="D4" s="21" t="s">
        <v>849</v>
      </c>
      <c r="E4" s="21" t="s">
        <v>854</v>
      </c>
      <c r="F4" s="21"/>
      <c r="G4" s="21"/>
      <c r="H4" s="21"/>
      <c r="I4" s="21"/>
      <c r="J4" s="21"/>
      <c r="K4" s="21"/>
      <c r="L4" s="21" t="s">
        <v>851</v>
      </c>
      <c r="M4" s="21" t="str">
        <f aca="false">L4&amp;"|"&amp;E4</f>
        <v>Mono + Stereo|Denial of Service</v>
      </c>
      <c r="N4" s="21" t="s">
        <v>851</v>
      </c>
      <c r="O4" s="21" t="s">
        <v>842</v>
      </c>
      <c r="P4" s="21" t="n">
        <f aca="false">COUNTIF(Mapping!$G$2:$G$44,M4)</f>
        <v>1</v>
      </c>
      <c r="Q4" s="21" t="str">
        <f aca="false">IF(P4&gt;0,"Yes","No")</f>
        <v>Yes</v>
      </c>
    </row>
    <row r="5" customFormat="false" ht="15" hidden="false" customHeight="true" outlineLevel="0" collapsed="false">
      <c r="A5" s="21" t="s">
        <v>51</v>
      </c>
      <c r="B5" s="21" t="s">
        <v>855</v>
      </c>
      <c r="C5" s="21" t="s">
        <v>848</v>
      </c>
      <c r="D5" s="21" t="s">
        <v>849</v>
      </c>
      <c r="E5" s="21" t="s">
        <v>33</v>
      </c>
      <c r="F5" s="21"/>
      <c r="G5" s="21"/>
      <c r="H5" s="21"/>
      <c r="I5" s="21"/>
      <c r="J5" s="21"/>
      <c r="K5" s="21"/>
      <c r="L5" s="21" t="s">
        <v>851</v>
      </c>
      <c r="M5" s="21" t="str">
        <f aca="false">L5&amp;"|"&amp;E5</f>
        <v>Mono + Stereo|Spoofing</v>
      </c>
      <c r="N5" s="21" t="s">
        <v>851</v>
      </c>
      <c r="O5" s="21" t="s">
        <v>842</v>
      </c>
      <c r="P5" s="21" t="n">
        <f aca="false">COUNTIF(Mapping!$G$2:$G$44,M5)</f>
        <v>0</v>
      </c>
      <c r="Q5" s="21" t="str">
        <f aca="false">IF(P5&gt;0,"Yes","No")</f>
        <v>No</v>
      </c>
    </row>
    <row r="6" customFormat="false" ht="15" hidden="false" customHeight="true" outlineLevel="0" collapsed="false">
      <c r="A6" s="21" t="s">
        <v>663</v>
      </c>
      <c r="B6" s="21" t="s">
        <v>856</v>
      </c>
      <c r="C6" s="21" t="s">
        <v>848</v>
      </c>
      <c r="D6" s="21" t="s">
        <v>849</v>
      </c>
      <c r="E6" s="21" t="s">
        <v>857</v>
      </c>
      <c r="F6" s="21"/>
      <c r="G6" s="21"/>
      <c r="H6" s="21"/>
      <c r="I6" s="21"/>
      <c r="J6" s="21"/>
      <c r="K6" s="21"/>
      <c r="L6" s="21" t="s">
        <v>851</v>
      </c>
      <c r="M6" s="21" t="str">
        <f aca="false">L6&amp;"|"&amp;E6</f>
        <v>Mono + Stereo|Elevation of Privilege</v>
      </c>
      <c r="N6" s="21" t="s">
        <v>851</v>
      </c>
      <c r="O6" s="21" t="s">
        <v>842</v>
      </c>
      <c r="P6" s="21" t="n">
        <f aca="false">COUNTIF(Mapping!$G$2:$G$44,M6)</f>
        <v>0</v>
      </c>
      <c r="Q6" s="21" t="str">
        <f aca="false">IF(P6&gt;0,"Yes","No")</f>
        <v>No</v>
      </c>
    </row>
    <row r="7" customFormat="false" ht="15" hidden="false" customHeight="true" outlineLevel="0" collapsed="false">
      <c r="A7" s="21" t="s">
        <v>677</v>
      </c>
      <c r="B7" s="21" t="s">
        <v>858</v>
      </c>
      <c r="C7" s="21" t="s">
        <v>848</v>
      </c>
      <c r="D7" s="21" t="s">
        <v>849</v>
      </c>
      <c r="E7" s="21" t="s">
        <v>307</v>
      </c>
      <c r="F7" s="21"/>
      <c r="G7" s="21"/>
      <c r="H7" s="21"/>
      <c r="I7" s="21"/>
      <c r="J7" s="21"/>
      <c r="K7" s="21"/>
      <c r="L7" s="21" t="s">
        <v>851</v>
      </c>
      <c r="M7" s="21" t="str">
        <f aca="false">L7&amp;"|"&amp;E7</f>
        <v>Mono + Stereo|Repudiation</v>
      </c>
      <c r="N7" s="21" t="s">
        <v>851</v>
      </c>
      <c r="O7" s="21" t="s">
        <v>842</v>
      </c>
      <c r="P7" s="21" t="n">
        <f aca="false">COUNTIF(Mapping!$G$2:$G$44,M7)</f>
        <v>0</v>
      </c>
      <c r="Q7" s="21" t="str">
        <f aca="false">IF(P7&gt;0,"Yes","No")</f>
        <v>No</v>
      </c>
    </row>
    <row r="8" customFormat="false" ht="15" hidden="false" customHeight="true" outlineLevel="0" collapsed="false">
      <c r="A8" s="21" t="s">
        <v>859</v>
      </c>
      <c r="B8" s="21" t="s">
        <v>860</v>
      </c>
      <c r="C8" s="21" t="s">
        <v>861</v>
      </c>
      <c r="D8" s="21" t="s">
        <v>849</v>
      </c>
      <c r="E8" s="21" t="s">
        <v>850</v>
      </c>
      <c r="F8" s="21"/>
      <c r="G8" s="21"/>
      <c r="H8" s="21"/>
      <c r="I8" s="21"/>
      <c r="J8" s="21"/>
      <c r="K8" s="21"/>
      <c r="L8" s="21" t="s">
        <v>862</v>
      </c>
      <c r="M8" s="21" t="str">
        <f aca="false">L8&amp;"|"&amp;E8</f>
        <v>Mono + Stereo::image_out|Information Disclosure</v>
      </c>
      <c r="N8" s="21" t="s">
        <v>851</v>
      </c>
      <c r="O8" s="21" t="s">
        <v>863</v>
      </c>
      <c r="P8" s="21" t="n">
        <f aca="false">COUNTIF(Mapping!$G$2:$G$44,M8)</f>
        <v>0</v>
      </c>
      <c r="Q8" s="21" t="str">
        <f aca="false">IF(P8&gt;0,"Yes","No")</f>
        <v>No</v>
      </c>
    </row>
    <row r="9" customFormat="false" ht="15" hidden="false" customHeight="true" outlineLevel="0" collapsed="false">
      <c r="A9" s="21" t="s">
        <v>864</v>
      </c>
      <c r="B9" s="21" t="s">
        <v>865</v>
      </c>
      <c r="C9" s="21" t="s">
        <v>861</v>
      </c>
      <c r="D9" s="21" t="s">
        <v>849</v>
      </c>
      <c r="E9" s="21" t="s">
        <v>53</v>
      </c>
      <c r="F9" s="21"/>
      <c r="G9" s="21"/>
      <c r="H9" s="21"/>
      <c r="I9" s="21"/>
      <c r="J9" s="21"/>
      <c r="K9" s="21"/>
      <c r="L9" s="21" t="s">
        <v>862</v>
      </c>
      <c r="M9" s="21" t="str">
        <f aca="false">L9&amp;"|"&amp;E9</f>
        <v>Mono + Stereo::image_out|Tampering</v>
      </c>
      <c r="N9" s="21" t="s">
        <v>851</v>
      </c>
      <c r="O9" s="21" t="s">
        <v>863</v>
      </c>
      <c r="P9" s="21" t="n">
        <f aca="false">COUNTIF(Mapping!$G$2:$G$44,M9)</f>
        <v>0</v>
      </c>
      <c r="Q9" s="21" t="str">
        <f aca="false">IF(P9&gt;0,"Yes","No")</f>
        <v>No</v>
      </c>
    </row>
    <row r="10" customFormat="false" ht="15" hidden="false" customHeight="true" outlineLevel="0" collapsed="false">
      <c r="A10" s="21" t="s">
        <v>866</v>
      </c>
      <c r="B10" s="21" t="s">
        <v>867</v>
      </c>
      <c r="C10" s="21" t="s">
        <v>861</v>
      </c>
      <c r="D10" s="21" t="s">
        <v>849</v>
      </c>
      <c r="E10" s="21" t="s">
        <v>854</v>
      </c>
      <c r="F10" s="21"/>
      <c r="G10" s="21"/>
      <c r="H10" s="21"/>
      <c r="I10" s="21"/>
      <c r="J10" s="21"/>
      <c r="K10" s="21"/>
      <c r="L10" s="21" t="s">
        <v>862</v>
      </c>
      <c r="M10" s="21" t="str">
        <f aca="false">L10&amp;"|"&amp;E10</f>
        <v>Mono + Stereo::image_out|Denial of Service</v>
      </c>
      <c r="N10" s="21" t="s">
        <v>851</v>
      </c>
      <c r="O10" s="21" t="s">
        <v>863</v>
      </c>
      <c r="P10" s="21" t="n">
        <f aca="false">COUNTIF(Mapping!$G$2:$G$44,M10)</f>
        <v>0</v>
      </c>
      <c r="Q10" s="21" t="str">
        <f aca="false">IF(P10&gt;0,"Yes","No")</f>
        <v>No</v>
      </c>
    </row>
    <row r="11" customFormat="false" ht="15" hidden="false" customHeight="true" outlineLevel="0" collapsed="false">
      <c r="A11" s="21" t="s">
        <v>868</v>
      </c>
      <c r="B11" s="21" t="s">
        <v>869</v>
      </c>
      <c r="C11" s="21" t="s">
        <v>870</v>
      </c>
      <c r="D11" s="21" t="s">
        <v>849</v>
      </c>
      <c r="E11" s="21" t="s">
        <v>850</v>
      </c>
      <c r="F11" s="21"/>
      <c r="G11" s="21"/>
      <c r="H11" s="21"/>
      <c r="I11" s="21"/>
      <c r="J11" s="21"/>
      <c r="K11" s="21"/>
      <c r="L11" s="21" t="s">
        <v>871</v>
      </c>
      <c r="M11" s="21" t="str">
        <f aca="false">L11&amp;"|"&amp;E11</f>
        <v>image_out ↔ image_in|Information Disclosure</v>
      </c>
      <c r="N11" s="21" t="s">
        <v>872</v>
      </c>
      <c r="O11" s="21" t="s">
        <v>873</v>
      </c>
      <c r="P11" s="21" t="n">
        <f aca="false">COUNTIF(Mapping!$G$2:$G$44,M11)</f>
        <v>1</v>
      </c>
      <c r="Q11" s="21" t="str">
        <f aca="false">IF(P11&gt;0,"Yes","No")</f>
        <v>Yes</v>
      </c>
    </row>
    <row r="12" customFormat="false" ht="15" hidden="false" customHeight="true" outlineLevel="0" collapsed="false">
      <c r="A12" s="21" t="s">
        <v>874</v>
      </c>
      <c r="B12" s="21" t="s">
        <v>875</v>
      </c>
      <c r="C12" s="21" t="s">
        <v>870</v>
      </c>
      <c r="D12" s="21" t="s">
        <v>849</v>
      </c>
      <c r="E12" s="21" t="s">
        <v>53</v>
      </c>
      <c r="F12" s="21"/>
      <c r="G12" s="21"/>
      <c r="H12" s="21"/>
      <c r="I12" s="21"/>
      <c r="J12" s="21"/>
      <c r="K12" s="21"/>
      <c r="L12" s="21" t="s">
        <v>871</v>
      </c>
      <c r="M12" s="21" t="str">
        <f aca="false">L12&amp;"|"&amp;E12</f>
        <v>image_out ↔ image_in|Tampering</v>
      </c>
      <c r="N12" s="21" t="s">
        <v>872</v>
      </c>
      <c r="O12" s="21" t="s">
        <v>873</v>
      </c>
      <c r="P12" s="21" t="n">
        <f aca="false">COUNTIF(Mapping!$G$2:$G$44,M12)</f>
        <v>1</v>
      </c>
      <c r="Q12" s="21" t="str">
        <f aca="false">IF(P12&gt;0,"Yes","No")</f>
        <v>Yes</v>
      </c>
    </row>
    <row r="13" customFormat="false" ht="15" hidden="false" customHeight="true" outlineLevel="0" collapsed="false">
      <c r="A13" s="21" t="s">
        <v>876</v>
      </c>
      <c r="B13" s="21" t="s">
        <v>877</v>
      </c>
      <c r="C13" s="21" t="s">
        <v>870</v>
      </c>
      <c r="D13" s="21" t="s">
        <v>849</v>
      </c>
      <c r="E13" s="21" t="s">
        <v>854</v>
      </c>
      <c r="F13" s="21"/>
      <c r="G13" s="21"/>
      <c r="H13" s="21"/>
      <c r="I13" s="21"/>
      <c r="J13" s="21"/>
      <c r="K13" s="21"/>
      <c r="L13" s="21" t="s">
        <v>871</v>
      </c>
      <c r="M13" s="21" t="str">
        <f aca="false">L13&amp;"|"&amp;E13</f>
        <v>image_out ↔ image_in|Denial of Service</v>
      </c>
      <c r="N13" s="21" t="s">
        <v>872</v>
      </c>
      <c r="O13" s="21" t="s">
        <v>873</v>
      </c>
      <c r="P13" s="21" t="n">
        <f aca="false">COUNTIF(Mapping!$G$2:$G$44,M13)</f>
        <v>0</v>
      </c>
      <c r="Q13" s="21" t="str">
        <f aca="false">IF(P13&gt;0,"Yes","No")</f>
        <v>No</v>
      </c>
    </row>
    <row r="14" customFormat="false" ht="15" hidden="false" customHeight="true" outlineLevel="0" collapsed="false">
      <c r="A14" s="21" t="s">
        <v>878</v>
      </c>
      <c r="B14" s="21" t="s">
        <v>879</v>
      </c>
      <c r="C14" s="21" t="s">
        <v>880</v>
      </c>
      <c r="D14" s="21" t="s">
        <v>849</v>
      </c>
      <c r="E14" s="21" t="s">
        <v>850</v>
      </c>
      <c r="F14" s="21"/>
      <c r="G14" s="21"/>
      <c r="H14" s="21"/>
      <c r="I14" s="21"/>
      <c r="J14" s="21"/>
      <c r="K14" s="21"/>
      <c r="L14" s="21" t="s">
        <v>881</v>
      </c>
      <c r="M14" s="21" t="str">
        <f aca="false">L14&amp;"|"&amp;E14</f>
        <v>YOLOv5 fast path|Information Disclosure</v>
      </c>
      <c r="N14" s="21" t="s">
        <v>881</v>
      </c>
      <c r="O14" s="21" t="s">
        <v>842</v>
      </c>
      <c r="P14" s="21" t="n">
        <f aca="false">COUNTIF(Mapping!$G$2:$G$44,M14)</f>
        <v>0</v>
      </c>
      <c r="Q14" s="21" t="str">
        <f aca="false">IF(P14&gt;0,"Yes","No")</f>
        <v>No</v>
      </c>
    </row>
    <row r="15" customFormat="false" ht="15" hidden="false" customHeight="true" outlineLevel="0" collapsed="false">
      <c r="A15" s="21" t="s">
        <v>882</v>
      </c>
      <c r="B15" s="21" t="s">
        <v>883</v>
      </c>
      <c r="C15" s="21" t="s">
        <v>880</v>
      </c>
      <c r="D15" s="21" t="s">
        <v>849</v>
      </c>
      <c r="E15" s="21" t="s">
        <v>53</v>
      </c>
      <c r="F15" s="21"/>
      <c r="G15" s="21"/>
      <c r="H15" s="21"/>
      <c r="I15" s="21"/>
      <c r="J15" s="21"/>
      <c r="K15" s="21"/>
      <c r="L15" s="21" t="s">
        <v>881</v>
      </c>
      <c r="M15" s="21" t="str">
        <f aca="false">L15&amp;"|"&amp;E15</f>
        <v>YOLOv5 fast path|Tampering</v>
      </c>
      <c r="N15" s="21" t="s">
        <v>881</v>
      </c>
      <c r="O15" s="21" t="s">
        <v>842</v>
      </c>
      <c r="P15" s="21" t="n">
        <f aca="false">COUNTIF(Mapping!$G$2:$G$44,M15)</f>
        <v>1</v>
      </c>
      <c r="Q15" s="21" t="str">
        <f aca="false">IF(P15&gt;0,"Yes","No")</f>
        <v>Yes</v>
      </c>
    </row>
    <row r="16" customFormat="false" ht="15" hidden="false" customHeight="true" outlineLevel="0" collapsed="false">
      <c r="A16" s="21" t="s">
        <v>884</v>
      </c>
      <c r="B16" s="21" t="s">
        <v>885</v>
      </c>
      <c r="C16" s="21" t="s">
        <v>880</v>
      </c>
      <c r="D16" s="21" t="s">
        <v>849</v>
      </c>
      <c r="E16" s="21" t="s">
        <v>854</v>
      </c>
      <c r="F16" s="21"/>
      <c r="G16" s="21"/>
      <c r="H16" s="21"/>
      <c r="I16" s="21"/>
      <c r="J16" s="21"/>
      <c r="K16" s="21"/>
      <c r="L16" s="21" t="s">
        <v>881</v>
      </c>
      <c r="M16" s="21" t="str">
        <f aca="false">L16&amp;"|"&amp;E16</f>
        <v>YOLOv5 fast path|Denial of Service</v>
      </c>
      <c r="N16" s="21" t="s">
        <v>881</v>
      </c>
      <c r="O16" s="21" t="s">
        <v>842</v>
      </c>
      <c r="P16" s="21" t="n">
        <f aca="false">COUNTIF(Mapping!$G$2:$G$44,M16)</f>
        <v>1</v>
      </c>
      <c r="Q16" s="21" t="str">
        <f aca="false">IF(P16&gt;0,"Yes","No")</f>
        <v>Yes</v>
      </c>
    </row>
    <row r="17" customFormat="false" ht="15" hidden="false" customHeight="true" outlineLevel="0" collapsed="false">
      <c r="A17" s="21" t="s">
        <v>886</v>
      </c>
      <c r="B17" s="21" t="s">
        <v>887</v>
      </c>
      <c r="C17" s="21" t="s">
        <v>880</v>
      </c>
      <c r="D17" s="21" t="s">
        <v>849</v>
      </c>
      <c r="E17" s="21" t="s">
        <v>33</v>
      </c>
      <c r="F17" s="21"/>
      <c r="G17" s="21"/>
      <c r="H17" s="21"/>
      <c r="I17" s="21"/>
      <c r="J17" s="21"/>
      <c r="K17" s="21"/>
      <c r="L17" s="21" t="s">
        <v>881</v>
      </c>
      <c r="M17" s="21" t="str">
        <f aca="false">L17&amp;"|"&amp;E17</f>
        <v>YOLOv5 fast path|Spoofing</v>
      </c>
      <c r="N17" s="21" t="s">
        <v>881</v>
      </c>
      <c r="O17" s="21" t="s">
        <v>842</v>
      </c>
      <c r="P17" s="21" t="n">
        <f aca="false">COUNTIF(Mapping!$G$2:$G$44,M17)</f>
        <v>1</v>
      </c>
      <c r="Q17" s="21" t="str">
        <f aca="false">IF(P17&gt;0,"Yes","No")</f>
        <v>Yes</v>
      </c>
    </row>
    <row r="18" customFormat="false" ht="15" hidden="false" customHeight="true" outlineLevel="0" collapsed="false">
      <c r="A18" s="21" t="s">
        <v>888</v>
      </c>
      <c r="B18" s="21" t="s">
        <v>889</v>
      </c>
      <c r="C18" s="21" t="s">
        <v>880</v>
      </c>
      <c r="D18" s="21" t="s">
        <v>849</v>
      </c>
      <c r="E18" s="21" t="s">
        <v>857</v>
      </c>
      <c r="F18" s="21"/>
      <c r="G18" s="21"/>
      <c r="H18" s="21"/>
      <c r="I18" s="21"/>
      <c r="J18" s="21"/>
      <c r="K18" s="21"/>
      <c r="L18" s="21" t="s">
        <v>881</v>
      </c>
      <c r="M18" s="21" t="str">
        <f aca="false">L18&amp;"|"&amp;E18</f>
        <v>YOLOv5 fast path|Elevation of Privilege</v>
      </c>
      <c r="N18" s="21" t="s">
        <v>881</v>
      </c>
      <c r="O18" s="21" t="s">
        <v>842</v>
      </c>
      <c r="P18" s="21" t="n">
        <f aca="false">COUNTIF(Mapping!$G$2:$G$44,M18)</f>
        <v>0</v>
      </c>
      <c r="Q18" s="21" t="str">
        <f aca="false">IF(P18&gt;0,"Yes","No")</f>
        <v>No</v>
      </c>
    </row>
    <row r="19" customFormat="false" ht="15" hidden="false" customHeight="true" outlineLevel="0" collapsed="false">
      <c r="A19" s="21" t="s">
        <v>890</v>
      </c>
      <c r="B19" s="21" t="s">
        <v>891</v>
      </c>
      <c r="C19" s="21" t="s">
        <v>880</v>
      </c>
      <c r="D19" s="21" t="s">
        <v>849</v>
      </c>
      <c r="E19" s="21" t="s">
        <v>307</v>
      </c>
      <c r="F19" s="21"/>
      <c r="G19" s="21"/>
      <c r="H19" s="21"/>
      <c r="I19" s="21"/>
      <c r="J19" s="21"/>
      <c r="K19" s="21"/>
      <c r="L19" s="21" t="s">
        <v>881</v>
      </c>
      <c r="M19" s="21" t="str">
        <f aca="false">L19&amp;"|"&amp;E19</f>
        <v>YOLOv5 fast path|Repudiation</v>
      </c>
      <c r="N19" s="21" t="s">
        <v>881</v>
      </c>
      <c r="O19" s="21" t="s">
        <v>842</v>
      </c>
      <c r="P19" s="21" t="n">
        <f aca="false">COUNTIF(Mapping!$G$2:$G$44,M19)</f>
        <v>0</v>
      </c>
      <c r="Q19" s="21" t="str">
        <f aca="false">IF(P19&gt;0,"Yes","No")</f>
        <v>No</v>
      </c>
    </row>
    <row r="20" customFormat="false" ht="15" hidden="false" customHeight="true" outlineLevel="0" collapsed="false">
      <c r="A20" s="21" t="s">
        <v>892</v>
      </c>
      <c r="B20" s="21" t="s">
        <v>893</v>
      </c>
      <c r="C20" s="21" t="s">
        <v>894</v>
      </c>
      <c r="D20" s="21" t="s">
        <v>849</v>
      </c>
      <c r="E20" s="21" t="s">
        <v>850</v>
      </c>
      <c r="F20" s="21"/>
      <c r="G20" s="21"/>
      <c r="H20" s="21"/>
      <c r="I20" s="21"/>
      <c r="J20" s="21"/>
      <c r="K20" s="21"/>
      <c r="L20" s="21" t="s">
        <v>895</v>
      </c>
      <c r="M20" s="21" t="str">
        <f aca="false">L20&amp;"|"&amp;E20</f>
        <v>YOLOv5 fast path::image_in|Information Disclosure</v>
      </c>
      <c r="N20" s="21" t="s">
        <v>881</v>
      </c>
      <c r="O20" s="21" t="s">
        <v>863</v>
      </c>
      <c r="P20" s="21" t="n">
        <f aca="false">COUNTIF(Mapping!$G$2:$G$44,M20)</f>
        <v>0</v>
      </c>
      <c r="Q20" s="21" t="str">
        <f aca="false">IF(P20&gt;0,"Yes","No")</f>
        <v>No</v>
      </c>
    </row>
    <row r="21" customFormat="false" ht="15" hidden="false" customHeight="true" outlineLevel="0" collapsed="false">
      <c r="A21" s="21" t="s">
        <v>896</v>
      </c>
      <c r="B21" s="21" t="s">
        <v>897</v>
      </c>
      <c r="C21" s="21" t="s">
        <v>894</v>
      </c>
      <c r="D21" s="21" t="s">
        <v>849</v>
      </c>
      <c r="E21" s="21" t="s">
        <v>53</v>
      </c>
      <c r="F21" s="21"/>
      <c r="G21" s="21"/>
      <c r="H21" s="21"/>
      <c r="I21" s="21"/>
      <c r="J21" s="21"/>
      <c r="K21" s="21"/>
      <c r="L21" s="21" t="s">
        <v>895</v>
      </c>
      <c r="M21" s="21" t="str">
        <f aca="false">L21&amp;"|"&amp;E21</f>
        <v>YOLOv5 fast path::image_in|Tampering</v>
      </c>
      <c r="N21" s="21" t="s">
        <v>881</v>
      </c>
      <c r="O21" s="21" t="s">
        <v>863</v>
      </c>
      <c r="P21" s="21" t="n">
        <f aca="false">COUNTIF(Mapping!$G$2:$G$44,M21)</f>
        <v>0</v>
      </c>
      <c r="Q21" s="21" t="str">
        <f aca="false">IF(P21&gt;0,"Yes","No")</f>
        <v>No</v>
      </c>
    </row>
    <row r="22" customFormat="false" ht="15" hidden="false" customHeight="true" outlineLevel="0" collapsed="false">
      <c r="A22" s="21" t="s">
        <v>898</v>
      </c>
      <c r="B22" s="21" t="s">
        <v>899</v>
      </c>
      <c r="C22" s="21" t="s">
        <v>894</v>
      </c>
      <c r="D22" s="21" t="s">
        <v>849</v>
      </c>
      <c r="E22" s="21" t="s">
        <v>854</v>
      </c>
      <c r="F22" s="21"/>
      <c r="G22" s="21"/>
      <c r="H22" s="21"/>
      <c r="I22" s="21"/>
      <c r="J22" s="21"/>
      <c r="K22" s="21"/>
      <c r="L22" s="21" t="s">
        <v>895</v>
      </c>
      <c r="M22" s="21" t="str">
        <f aca="false">L22&amp;"|"&amp;E22</f>
        <v>YOLOv5 fast path::image_in|Denial of Service</v>
      </c>
      <c r="N22" s="21" t="s">
        <v>881</v>
      </c>
      <c r="O22" s="21" t="s">
        <v>863</v>
      </c>
      <c r="P22" s="21" t="n">
        <f aca="false">COUNTIF(Mapping!$G$2:$G$44,M22)</f>
        <v>0</v>
      </c>
      <c r="Q22" s="21" t="str">
        <f aca="false">IF(P22&gt;0,"Yes","No")</f>
        <v>No</v>
      </c>
    </row>
    <row r="23" customFormat="false" ht="15" hidden="false" customHeight="true" outlineLevel="0" collapsed="false">
      <c r="A23" s="21" t="s">
        <v>900</v>
      </c>
      <c r="B23" s="21" t="s">
        <v>901</v>
      </c>
      <c r="C23" s="21" t="s">
        <v>902</v>
      </c>
      <c r="D23" s="21" t="s">
        <v>849</v>
      </c>
      <c r="E23" s="21" t="s">
        <v>850</v>
      </c>
      <c r="F23" s="21"/>
      <c r="G23" s="21"/>
      <c r="H23" s="21"/>
      <c r="I23" s="21"/>
      <c r="J23" s="21"/>
      <c r="K23" s="21"/>
      <c r="L23" s="21" t="s">
        <v>903</v>
      </c>
      <c r="M23" s="21" t="str">
        <f aca="false">L23&amp;"|"&amp;E23</f>
        <v>YOLOv5 fast path::detections_out|Information Disclosure</v>
      </c>
      <c r="N23" s="21" t="s">
        <v>881</v>
      </c>
      <c r="O23" s="21" t="s">
        <v>863</v>
      </c>
      <c r="P23" s="21" t="n">
        <f aca="false">COUNTIF(Mapping!$G$2:$G$44,M23)</f>
        <v>0</v>
      </c>
      <c r="Q23" s="21" t="str">
        <f aca="false">IF(P23&gt;0,"Yes","No")</f>
        <v>No</v>
      </c>
    </row>
    <row r="24" customFormat="false" ht="15" hidden="false" customHeight="true" outlineLevel="0" collapsed="false">
      <c r="A24" s="21" t="s">
        <v>904</v>
      </c>
      <c r="B24" s="21" t="s">
        <v>905</v>
      </c>
      <c r="C24" s="21" t="s">
        <v>902</v>
      </c>
      <c r="D24" s="21" t="s">
        <v>849</v>
      </c>
      <c r="E24" s="21" t="s">
        <v>53</v>
      </c>
      <c r="F24" s="21"/>
      <c r="G24" s="21"/>
      <c r="H24" s="21"/>
      <c r="I24" s="21"/>
      <c r="J24" s="21"/>
      <c r="K24" s="21"/>
      <c r="L24" s="21" t="s">
        <v>903</v>
      </c>
      <c r="M24" s="21" t="str">
        <f aca="false">L24&amp;"|"&amp;E24</f>
        <v>YOLOv5 fast path::detections_out|Tampering</v>
      </c>
      <c r="N24" s="21" t="s">
        <v>881</v>
      </c>
      <c r="O24" s="21" t="s">
        <v>863</v>
      </c>
      <c r="P24" s="21" t="n">
        <f aca="false">COUNTIF(Mapping!$G$2:$G$44,M24)</f>
        <v>0</v>
      </c>
      <c r="Q24" s="21" t="str">
        <f aca="false">IF(P24&gt;0,"Yes","No")</f>
        <v>No</v>
      </c>
    </row>
    <row r="25" customFormat="false" ht="15" hidden="false" customHeight="true" outlineLevel="0" collapsed="false">
      <c r="A25" s="21" t="s">
        <v>906</v>
      </c>
      <c r="B25" s="21" t="s">
        <v>907</v>
      </c>
      <c r="C25" s="21" t="s">
        <v>902</v>
      </c>
      <c r="D25" s="21" t="s">
        <v>849</v>
      </c>
      <c r="E25" s="21" t="s">
        <v>854</v>
      </c>
      <c r="F25" s="21"/>
      <c r="G25" s="21"/>
      <c r="H25" s="21"/>
      <c r="I25" s="21"/>
      <c r="J25" s="21"/>
      <c r="K25" s="21"/>
      <c r="L25" s="21" t="s">
        <v>903</v>
      </c>
      <c r="M25" s="21" t="str">
        <f aca="false">L25&amp;"|"&amp;E25</f>
        <v>YOLOv5 fast path::detections_out|Denial of Service</v>
      </c>
      <c r="N25" s="21" t="s">
        <v>881</v>
      </c>
      <c r="O25" s="21" t="s">
        <v>863</v>
      </c>
      <c r="P25" s="21" t="n">
        <f aca="false">COUNTIF(Mapping!$G$2:$G$44,M25)</f>
        <v>0</v>
      </c>
      <c r="Q25" s="21" t="str">
        <f aca="false">IF(P25&gt;0,"Yes","No")</f>
        <v>No</v>
      </c>
    </row>
    <row r="26" customFormat="false" ht="15" hidden="false" customHeight="true" outlineLevel="0" collapsed="false">
      <c r="A26" s="21" t="s">
        <v>908</v>
      </c>
      <c r="B26" s="21" t="s">
        <v>909</v>
      </c>
      <c r="C26" s="21" t="s">
        <v>910</v>
      </c>
      <c r="D26" s="21" t="s">
        <v>849</v>
      </c>
      <c r="E26" s="21" t="s">
        <v>850</v>
      </c>
      <c r="F26" s="21"/>
      <c r="G26" s="21"/>
      <c r="H26" s="21"/>
      <c r="I26" s="21"/>
      <c r="J26" s="21"/>
      <c r="K26" s="21"/>
      <c r="L26" s="21" t="s">
        <v>911</v>
      </c>
      <c r="M26" s="21" t="str">
        <f aca="false">L26&amp;"|"&amp;E26</f>
        <v>detections_out ↔ detections_in|Information Disclosure</v>
      </c>
      <c r="N26" s="21" t="s">
        <v>872</v>
      </c>
      <c r="O26" s="21" t="s">
        <v>873</v>
      </c>
      <c r="P26" s="21" t="n">
        <f aca="false">COUNTIF(Mapping!$G$2:$G$44,M26)</f>
        <v>0</v>
      </c>
      <c r="Q26" s="21" t="str">
        <f aca="false">IF(P26&gt;0,"Yes","No")</f>
        <v>No</v>
      </c>
    </row>
    <row r="27" customFormat="false" ht="15" hidden="false" customHeight="true" outlineLevel="0" collapsed="false">
      <c r="A27" s="21" t="s">
        <v>912</v>
      </c>
      <c r="B27" s="21" t="s">
        <v>913</v>
      </c>
      <c r="C27" s="21" t="s">
        <v>910</v>
      </c>
      <c r="D27" s="21" t="s">
        <v>849</v>
      </c>
      <c r="E27" s="21" t="s">
        <v>53</v>
      </c>
      <c r="F27" s="21"/>
      <c r="G27" s="21"/>
      <c r="H27" s="21"/>
      <c r="I27" s="21"/>
      <c r="J27" s="21"/>
      <c r="K27" s="21"/>
      <c r="L27" s="21" t="s">
        <v>911</v>
      </c>
      <c r="M27" s="21" t="str">
        <f aca="false">L27&amp;"|"&amp;E27</f>
        <v>detections_out ↔ detections_in|Tampering</v>
      </c>
      <c r="N27" s="21" t="s">
        <v>872</v>
      </c>
      <c r="O27" s="21" t="s">
        <v>873</v>
      </c>
      <c r="P27" s="21" t="n">
        <f aca="false">COUNTIF(Mapping!$G$2:$G$44,M27)</f>
        <v>0</v>
      </c>
      <c r="Q27" s="21" t="str">
        <f aca="false">IF(P27&gt;0,"Yes","No")</f>
        <v>No</v>
      </c>
    </row>
    <row r="28" customFormat="false" ht="15" hidden="false" customHeight="true" outlineLevel="0" collapsed="false">
      <c r="A28" s="21" t="s">
        <v>914</v>
      </c>
      <c r="B28" s="21" t="s">
        <v>915</v>
      </c>
      <c r="C28" s="21" t="s">
        <v>910</v>
      </c>
      <c r="D28" s="21" t="s">
        <v>849</v>
      </c>
      <c r="E28" s="21" t="s">
        <v>854</v>
      </c>
      <c r="F28" s="21"/>
      <c r="G28" s="21"/>
      <c r="H28" s="21"/>
      <c r="I28" s="21"/>
      <c r="J28" s="21"/>
      <c r="K28" s="21"/>
      <c r="L28" s="21" t="s">
        <v>911</v>
      </c>
      <c r="M28" s="21" t="str">
        <f aca="false">L28&amp;"|"&amp;E28</f>
        <v>detections_out ↔ detections_in|Denial of Service</v>
      </c>
      <c r="N28" s="21" t="s">
        <v>872</v>
      </c>
      <c r="O28" s="21" t="s">
        <v>873</v>
      </c>
      <c r="P28" s="21" t="n">
        <f aca="false">COUNTIF(Mapping!$G$2:$G$44,M28)</f>
        <v>0</v>
      </c>
      <c r="Q28" s="21" t="str">
        <f aca="false">IF(P28&gt;0,"Yes","No")</f>
        <v>No</v>
      </c>
    </row>
    <row r="29" customFormat="false" ht="15" hidden="false" customHeight="true" outlineLevel="0" collapsed="false">
      <c r="A29" s="21" t="s">
        <v>916</v>
      </c>
      <c r="B29" s="21" t="s">
        <v>917</v>
      </c>
      <c r="C29" s="21" t="s">
        <v>918</v>
      </c>
      <c r="D29" s="21" t="s">
        <v>849</v>
      </c>
      <c r="E29" s="21" t="s">
        <v>850</v>
      </c>
      <c r="F29" s="21"/>
      <c r="G29" s="21"/>
      <c r="H29" s="21"/>
      <c r="I29" s="21"/>
      <c r="J29" s="21"/>
      <c r="K29" s="21"/>
      <c r="L29" s="21" t="s">
        <v>919</v>
      </c>
      <c r="M29" s="21" t="str">
        <f aca="false">L29&amp;"|"&amp;E29</f>
        <v>Agent 1, MLLM call|Information Disclosure</v>
      </c>
      <c r="N29" s="21" t="s">
        <v>919</v>
      </c>
      <c r="O29" s="21" t="s">
        <v>842</v>
      </c>
      <c r="P29" s="21" t="n">
        <f aca="false">COUNTIF(Mapping!$G$2:$G$44,M29)</f>
        <v>0</v>
      </c>
      <c r="Q29" s="21" t="str">
        <f aca="false">IF(P29&gt;0,"Yes","No")</f>
        <v>No</v>
      </c>
    </row>
    <row r="30" customFormat="false" ht="15" hidden="false" customHeight="true" outlineLevel="0" collapsed="false">
      <c r="A30" s="21" t="s">
        <v>920</v>
      </c>
      <c r="B30" s="21" t="s">
        <v>921</v>
      </c>
      <c r="C30" s="21" t="s">
        <v>918</v>
      </c>
      <c r="D30" s="21" t="s">
        <v>849</v>
      </c>
      <c r="E30" s="21" t="s">
        <v>53</v>
      </c>
      <c r="F30" s="21"/>
      <c r="G30" s="21"/>
      <c r="H30" s="21"/>
      <c r="I30" s="21"/>
      <c r="J30" s="21"/>
      <c r="K30" s="21"/>
      <c r="L30" s="21" t="s">
        <v>919</v>
      </c>
      <c r="M30" s="21" t="str">
        <f aca="false">L30&amp;"|"&amp;E30</f>
        <v>Agent 1, MLLM call|Tampering</v>
      </c>
      <c r="N30" s="21" t="s">
        <v>919</v>
      </c>
      <c r="O30" s="21" t="s">
        <v>842</v>
      </c>
      <c r="P30" s="21" t="n">
        <f aca="false">COUNTIF(Mapping!$G$2:$G$44,M30)</f>
        <v>0</v>
      </c>
      <c r="Q30" s="21" t="str">
        <f aca="false">IF(P30&gt;0,"Yes","No")</f>
        <v>No</v>
      </c>
    </row>
    <row r="31" customFormat="false" ht="15" hidden="false" customHeight="true" outlineLevel="0" collapsed="false">
      <c r="A31" s="21" t="s">
        <v>922</v>
      </c>
      <c r="B31" s="21" t="s">
        <v>923</v>
      </c>
      <c r="C31" s="21" t="s">
        <v>918</v>
      </c>
      <c r="D31" s="21" t="s">
        <v>849</v>
      </c>
      <c r="E31" s="21" t="s">
        <v>854</v>
      </c>
      <c r="F31" s="21"/>
      <c r="G31" s="21"/>
      <c r="H31" s="21"/>
      <c r="I31" s="21"/>
      <c r="J31" s="21"/>
      <c r="K31" s="21"/>
      <c r="L31" s="21" t="s">
        <v>919</v>
      </c>
      <c r="M31" s="21" t="str">
        <f aca="false">L31&amp;"|"&amp;E31</f>
        <v>Agent 1, MLLM call|Denial of Service</v>
      </c>
      <c r="N31" s="21" t="s">
        <v>919</v>
      </c>
      <c r="O31" s="21" t="s">
        <v>842</v>
      </c>
      <c r="P31" s="21" t="n">
        <f aca="false">COUNTIF(Mapping!$G$2:$G$44,M31)</f>
        <v>1</v>
      </c>
      <c r="Q31" s="21" t="str">
        <f aca="false">IF(P31&gt;0,"Yes","No")</f>
        <v>Yes</v>
      </c>
    </row>
    <row r="32" customFormat="false" ht="15" hidden="false" customHeight="true" outlineLevel="0" collapsed="false">
      <c r="A32" s="21" t="s">
        <v>924</v>
      </c>
      <c r="B32" s="21" t="s">
        <v>925</v>
      </c>
      <c r="C32" s="21" t="s">
        <v>918</v>
      </c>
      <c r="D32" s="21" t="s">
        <v>849</v>
      </c>
      <c r="E32" s="21" t="s">
        <v>33</v>
      </c>
      <c r="F32" s="21"/>
      <c r="G32" s="21"/>
      <c r="H32" s="21"/>
      <c r="I32" s="21"/>
      <c r="J32" s="21"/>
      <c r="K32" s="21"/>
      <c r="L32" s="21" t="s">
        <v>919</v>
      </c>
      <c r="M32" s="21" t="str">
        <f aca="false">L32&amp;"|"&amp;E32</f>
        <v>Agent 1, MLLM call|Spoofing</v>
      </c>
      <c r="N32" s="21" t="s">
        <v>919</v>
      </c>
      <c r="O32" s="21" t="s">
        <v>842</v>
      </c>
      <c r="P32" s="21" t="n">
        <f aca="false">COUNTIF(Mapping!$G$2:$G$44,M32)</f>
        <v>1</v>
      </c>
      <c r="Q32" s="21" t="str">
        <f aca="false">IF(P32&gt;0,"Yes","No")</f>
        <v>Yes</v>
      </c>
    </row>
    <row r="33" customFormat="false" ht="15" hidden="false" customHeight="true" outlineLevel="0" collapsed="false">
      <c r="A33" s="21" t="s">
        <v>926</v>
      </c>
      <c r="B33" s="21" t="s">
        <v>927</v>
      </c>
      <c r="C33" s="21" t="s">
        <v>918</v>
      </c>
      <c r="D33" s="21" t="s">
        <v>849</v>
      </c>
      <c r="E33" s="21" t="s">
        <v>857</v>
      </c>
      <c r="F33" s="21"/>
      <c r="G33" s="21"/>
      <c r="H33" s="21"/>
      <c r="I33" s="21"/>
      <c r="J33" s="21"/>
      <c r="K33" s="21"/>
      <c r="L33" s="21" t="s">
        <v>919</v>
      </c>
      <c r="M33" s="21" t="str">
        <f aca="false">L33&amp;"|"&amp;E33</f>
        <v>Agent 1, MLLM call|Elevation of Privilege</v>
      </c>
      <c r="N33" s="21" t="s">
        <v>919</v>
      </c>
      <c r="O33" s="21" t="s">
        <v>842</v>
      </c>
      <c r="P33" s="21" t="n">
        <f aca="false">COUNTIF(Mapping!$G$2:$G$44,M33)</f>
        <v>0</v>
      </c>
      <c r="Q33" s="21" t="str">
        <f aca="false">IF(P33&gt;0,"Yes","No")</f>
        <v>No</v>
      </c>
    </row>
    <row r="34" customFormat="false" ht="15" hidden="false" customHeight="true" outlineLevel="0" collapsed="false">
      <c r="A34" s="21" t="s">
        <v>691</v>
      </c>
      <c r="B34" s="21" t="s">
        <v>928</v>
      </c>
      <c r="C34" s="21" t="s">
        <v>918</v>
      </c>
      <c r="D34" s="21" t="s">
        <v>849</v>
      </c>
      <c r="E34" s="21" t="s">
        <v>307</v>
      </c>
      <c r="F34" s="21"/>
      <c r="G34" s="21"/>
      <c r="H34" s="21"/>
      <c r="I34" s="21"/>
      <c r="J34" s="21"/>
      <c r="K34" s="21"/>
      <c r="L34" s="21" t="s">
        <v>919</v>
      </c>
      <c r="M34" s="21" t="str">
        <f aca="false">L34&amp;"|"&amp;E34</f>
        <v>Agent 1, MLLM call|Repudiation</v>
      </c>
      <c r="N34" s="21" t="s">
        <v>919</v>
      </c>
      <c r="O34" s="21" t="s">
        <v>842</v>
      </c>
      <c r="P34" s="21" t="n">
        <f aca="false">COUNTIF(Mapping!$G$2:$G$44,M34)</f>
        <v>1</v>
      </c>
      <c r="Q34" s="21" t="str">
        <f aca="false">IF(P34&gt;0,"Yes","No")</f>
        <v>Yes</v>
      </c>
    </row>
    <row r="35" customFormat="false" ht="15" hidden="false" customHeight="true" outlineLevel="0" collapsed="false">
      <c r="A35" s="21" t="s">
        <v>929</v>
      </c>
      <c r="B35" s="21" t="s">
        <v>930</v>
      </c>
      <c r="C35" s="21" t="s">
        <v>931</v>
      </c>
      <c r="D35" s="21" t="s">
        <v>849</v>
      </c>
      <c r="E35" s="21" t="s">
        <v>850</v>
      </c>
      <c r="F35" s="21"/>
      <c r="G35" s="21"/>
      <c r="H35" s="21"/>
      <c r="I35" s="21"/>
      <c r="J35" s="21"/>
      <c r="K35" s="21"/>
      <c r="L35" s="21" t="s">
        <v>932</v>
      </c>
      <c r="M35" s="21" t="str">
        <f aca="false">L35&amp;"|"&amp;E35</f>
        <v>Agent 1, MLLM call::detections_in|Information Disclosure</v>
      </c>
      <c r="N35" s="21" t="s">
        <v>919</v>
      </c>
      <c r="O35" s="21" t="s">
        <v>863</v>
      </c>
      <c r="P35" s="21" t="n">
        <f aca="false">COUNTIF(Mapping!$G$2:$G$44,M35)</f>
        <v>0</v>
      </c>
      <c r="Q35" s="21" t="str">
        <f aca="false">IF(P35&gt;0,"Yes","No")</f>
        <v>No</v>
      </c>
    </row>
    <row r="36" customFormat="false" ht="15" hidden="false" customHeight="true" outlineLevel="0" collapsed="false">
      <c r="A36" s="21" t="s">
        <v>933</v>
      </c>
      <c r="B36" s="21" t="s">
        <v>934</v>
      </c>
      <c r="C36" s="21" t="s">
        <v>931</v>
      </c>
      <c r="D36" s="21" t="s">
        <v>849</v>
      </c>
      <c r="E36" s="21" t="s">
        <v>53</v>
      </c>
      <c r="F36" s="21"/>
      <c r="G36" s="21"/>
      <c r="H36" s="21"/>
      <c r="I36" s="21"/>
      <c r="J36" s="21"/>
      <c r="K36" s="21"/>
      <c r="L36" s="21" t="s">
        <v>932</v>
      </c>
      <c r="M36" s="21" t="str">
        <f aca="false">L36&amp;"|"&amp;E36</f>
        <v>Agent 1, MLLM call::detections_in|Tampering</v>
      </c>
      <c r="N36" s="21" t="s">
        <v>919</v>
      </c>
      <c r="O36" s="21" t="s">
        <v>863</v>
      </c>
      <c r="P36" s="21" t="n">
        <f aca="false">COUNTIF(Mapping!$G$2:$G$44,M36)</f>
        <v>0</v>
      </c>
      <c r="Q36" s="21" t="str">
        <f aca="false">IF(P36&gt;0,"Yes","No")</f>
        <v>No</v>
      </c>
    </row>
    <row r="37" customFormat="false" ht="15" hidden="false" customHeight="true" outlineLevel="0" collapsed="false">
      <c r="A37" s="21" t="s">
        <v>935</v>
      </c>
      <c r="B37" s="21" t="s">
        <v>936</v>
      </c>
      <c r="C37" s="21" t="s">
        <v>931</v>
      </c>
      <c r="D37" s="21" t="s">
        <v>849</v>
      </c>
      <c r="E37" s="21" t="s">
        <v>854</v>
      </c>
      <c r="F37" s="21"/>
      <c r="G37" s="21"/>
      <c r="H37" s="21"/>
      <c r="I37" s="21"/>
      <c r="J37" s="21"/>
      <c r="K37" s="21"/>
      <c r="L37" s="21" t="s">
        <v>932</v>
      </c>
      <c r="M37" s="21" t="str">
        <f aca="false">L37&amp;"|"&amp;E37</f>
        <v>Agent 1, MLLM call::detections_in|Denial of Service</v>
      </c>
      <c r="N37" s="21" t="s">
        <v>919</v>
      </c>
      <c r="O37" s="21" t="s">
        <v>863</v>
      </c>
      <c r="P37" s="21" t="n">
        <f aca="false">COUNTIF(Mapping!$G$2:$G$44,M37)</f>
        <v>0</v>
      </c>
      <c r="Q37" s="21" t="str">
        <f aca="false">IF(P37&gt;0,"Yes","No")</f>
        <v>No</v>
      </c>
    </row>
    <row r="38" customFormat="false" ht="15" hidden="false" customHeight="true" outlineLevel="0" collapsed="false">
      <c r="A38" s="21" t="s">
        <v>937</v>
      </c>
      <c r="B38" s="21" t="s">
        <v>938</v>
      </c>
      <c r="C38" s="21" t="s">
        <v>939</v>
      </c>
      <c r="D38" s="21" t="s">
        <v>849</v>
      </c>
      <c r="E38" s="21" t="s">
        <v>850</v>
      </c>
      <c r="F38" s="21"/>
      <c r="G38" s="21"/>
      <c r="H38" s="21"/>
      <c r="I38" s="21"/>
      <c r="J38" s="21"/>
      <c r="K38" s="21"/>
      <c r="L38" s="21" t="s">
        <v>940</v>
      </c>
      <c r="M38" s="21" t="str">
        <f aca="false">L38&amp;"|"&amp;E38</f>
        <v>Agent 1, MLLM call::hazard_out|Information Disclosure</v>
      </c>
      <c r="N38" s="21" t="s">
        <v>919</v>
      </c>
      <c r="O38" s="21" t="s">
        <v>863</v>
      </c>
      <c r="P38" s="21" t="n">
        <f aca="false">COUNTIF(Mapping!$G$2:$G$44,M38)</f>
        <v>0</v>
      </c>
      <c r="Q38" s="21" t="str">
        <f aca="false">IF(P38&gt;0,"Yes","No")</f>
        <v>No</v>
      </c>
    </row>
    <row r="39" customFormat="false" ht="15" hidden="false" customHeight="true" outlineLevel="0" collapsed="false">
      <c r="A39" s="21" t="s">
        <v>941</v>
      </c>
      <c r="B39" s="21" t="s">
        <v>942</v>
      </c>
      <c r="C39" s="21" t="s">
        <v>939</v>
      </c>
      <c r="D39" s="21" t="s">
        <v>849</v>
      </c>
      <c r="E39" s="21" t="s">
        <v>53</v>
      </c>
      <c r="F39" s="21"/>
      <c r="G39" s="21"/>
      <c r="H39" s="21"/>
      <c r="I39" s="21"/>
      <c r="J39" s="21"/>
      <c r="K39" s="21"/>
      <c r="L39" s="21" t="s">
        <v>940</v>
      </c>
      <c r="M39" s="21" t="str">
        <f aca="false">L39&amp;"|"&amp;E39</f>
        <v>Agent 1, MLLM call::hazard_out|Tampering</v>
      </c>
      <c r="N39" s="21" t="s">
        <v>919</v>
      </c>
      <c r="O39" s="21" t="s">
        <v>863</v>
      </c>
      <c r="P39" s="21" t="n">
        <f aca="false">COUNTIF(Mapping!$G$2:$G$44,M39)</f>
        <v>0</v>
      </c>
      <c r="Q39" s="21" t="str">
        <f aca="false">IF(P39&gt;0,"Yes","No")</f>
        <v>No</v>
      </c>
    </row>
    <row r="40" customFormat="false" ht="15" hidden="false" customHeight="true" outlineLevel="0" collapsed="false">
      <c r="A40" s="21" t="s">
        <v>943</v>
      </c>
      <c r="B40" s="21" t="s">
        <v>944</v>
      </c>
      <c r="C40" s="21" t="s">
        <v>939</v>
      </c>
      <c r="D40" s="21" t="s">
        <v>849</v>
      </c>
      <c r="E40" s="21" t="s">
        <v>854</v>
      </c>
      <c r="F40" s="21"/>
      <c r="G40" s="21"/>
      <c r="H40" s="21"/>
      <c r="I40" s="21"/>
      <c r="J40" s="21"/>
      <c r="K40" s="21"/>
      <c r="L40" s="21" t="s">
        <v>940</v>
      </c>
      <c r="M40" s="21" t="str">
        <f aca="false">L40&amp;"|"&amp;E40</f>
        <v>Agent 1, MLLM call::hazard_out|Denial of Service</v>
      </c>
      <c r="N40" s="21" t="s">
        <v>919</v>
      </c>
      <c r="O40" s="21" t="s">
        <v>863</v>
      </c>
      <c r="P40" s="21" t="n">
        <f aca="false">COUNTIF(Mapping!$G$2:$G$44,M40)</f>
        <v>0</v>
      </c>
      <c r="Q40" s="21" t="str">
        <f aca="false">IF(P40&gt;0,"Yes","No")</f>
        <v>No</v>
      </c>
    </row>
    <row r="41" customFormat="false" ht="15" hidden="false" customHeight="true" outlineLevel="0" collapsed="false">
      <c r="A41" s="21" t="s">
        <v>945</v>
      </c>
      <c r="B41" s="21" t="s">
        <v>946</v>
      </c>
      <c r="C41" s="21" t="s">
        <v>947</v>
      </c>
      <c r="D41" s="21" t="s">
        <v>849</v>
      </c>
      <c r="E41" s="21" t="s">
        <v>850</v>
      </c>
      <c r="F41" s="21"/>
      <c r="G41" s="21"/>
      <c r="H41" s="21"/>
      <c r="I41" s="21"/>
      <c r="J41" s="21"/>
      <c r="K41" s="21"/>
      <c r="L41" s="21" t="s">
        <v>948</v>
      </c>
      <c r="M41" s="21" t="str">
        <f aca="false">L41&amp;"|"&amp;E41</f>
        <v>Agent 1, MLLM call::mllm_request|Information Disclosure</v>
      </c>
      <c r="N41" s="21" t="s">
        <v>919</v>
      </c>
      <c r="O41" s="21" t="s">
        <v>863</v>
      </c>
      <c r="P41" s="21" t="n">
        <f aca="false">COUNTIF(Mapping!$G$2:$G$44,M41)</f>
        <v>0</v>
      </c>
      <c r="Q41" s="21" t="str">
        <f aca="false">IF(P41&gt;0,"Yes","No")</f>
        <v>No</v>
      </c>
    </row>
    <row r="42" customFormat="false" ht="15" hidden="false" customHeight="true" outlineLevel="0" collapsed="false">
      <c r="A42" s="21" t="s">
        <v>949</v>
      </c>
      <c r="B42" s="21" t="s">
        <v>950</v>
      </c>
      <c r="C42" s="21" t="s">
        <v>947</v>
      </c>
      <c r="D42" s="21" t="s">
        <v>849</v>
      </c>
      <c r="E42" s="21" t="s">
        <v>53</v>
      </c>
      <c r="F42" s="21"/>
      <c r="G42" s="21"/>
      <c r="H42" s="21"/>
      <c r="I42" s="21"/>
      <c r="J42" s="21"/>
      <c r="K42" s="21"/>
      <c r="L42" s="21" t="s">
        <v>948</v>
      </c>
      <c r="M42" s="21" t="str">
        <f aca="false">L42&amp;"|"&amp;E42</f>
        <v>Agent 1, MLLM call::mllm_request|Tampering</v>
      </c>
      <c r="N42" s="21" t="s">
        <v>919</v>
      </c>
      <c r="O42" s="21" t="s">
        <v>863</v>
      </c>
      <c r="P42" s="21" t="n">
        <f aca="false">COUNTIF(Mapping!$G$2:$G$44,M42)</f>
        <v>0</v>
      </c>
      <c r="Q42" s="21" t="str">
        <f aca="false">IF(P42&gt;0,"Yes","No")</f>
        <v>No</v>
      </c>
    </row>
    <row r="43" customFormat="false" ht="15" hidden="false" customHeight="true" outlineLevel="0" collapsed="false">
      <c r="A43" s="21" t="s">
        <v>951</v>
      </c>
      <c r="B43" s="21" t="s">
        <v>952</v>
      </c>
      <c r="C43" s="21" t="s">
        <v>947</v>
      </c>
      <c r="D43" s="21" t="s">
        <v>849</v>
      </c>
      <c r="E43" s="21" t="s">
        <v>854</v>
      </c>
      <c r="F43" s="21"/>
      <c r="G43" s="21"/>
      <c r="H43" s="21"/>
      <c r="I43" s="21"/>
      <c r="J43" s="21"/>
      <c r="K43" s="21"/>
      <c r="L43" s="21" t="s">
        <v>948</v>
      </c>
      <c r="M43" s="21" t="str">
        <f aca="false">L43&amp;"|"&amp;E43</f>
        <v>Agent 1, MLLM call::mllm_request|Denial of Service</v>
      </c>
      <c r="N43" s="21" t="s">
        <v>919</v>
      </c>
      <c r="O43" s="21" t="s">
        <v>863</v>
      </c>
      <c r="P43" s="21" t="n">
        <f aca="false">COUNTIF(Mapping!$G$2:$G$44,M43)</f>
        <v>0</v>
      </c>
      <c r="Q43" s="21" t="str">
        <f aca="false">IF(P43&gt;0,"Yes","No")</f>
        <v>No</v>
      </c>
    </row>
    <row r="44" customFormat="false" ht="15" hidden="false" customHeight="true" outlineLevel="0" collapsed="false">
      <c r="A44" s="21" t="s">
        <v>953</v>
      </c>
      <c r="B44" s="21" t="s">
        <v>954</v>
      </c>
      <c r="C44" s="21" t="s">
        <v>955</v>
      </c>
      <c r="D44" s="21" t="s">
        <v>849</v>
      </c>
      <c r="E44" s="21" t="s">
        <v>850</v>
      </c>
      <c r="F44" s="21"/>
      <c r="G44" s="21"/>
      <c r="H44" s="21"/>
      <c r="I44" s="21"/>
      <c r="J44" s="21"/>
      <c r="K44" s="21"/>
      <c r="L44" s="21" t="s">
        <v>956</v>
      </c>
      <c r="M44" s="21" t="str">
        <f aca="false">L44&amp;"|"&amp;E44</f>
        <v>Agent 1, MLLM call::uu_mllm_link|Information Disclosure</v>
      </c>
      <c r="N44" s="21" t="s">
        <v>919</v>
      </c>
      <c r="O44" s="21" t="s">
        <v>863</v>
      </c>
      <c r="P44" s="21" t="n">
        <f aca="false">COUNTIF(Mapping!$G$2:$G$44,M44)</f>
        <v>0</v>
      </c>
      <c r="Q44" s="21" t="str">
        <f aca="false">IF(P44&gt;0,"Yes","No")</f>
        <v>No</v>
      </c>
    </row>
    <row r="45" customFormat="false" ht="15" hidden="false" customHeight="true" outlineLevel="0" collapsed="false">
      <c r="A45" s="21" t="s">
        <v>957</v>
      </c>
      <c r="B45" s="21" t="s">
        <v>958</v>
      </c>
      <c r="C45" s="21" t="s">
        <v>955</v>
      </c>
      <c r="D45" s="21" t="s">
        <v>849</v>
      </c>
      <c r="E45" s="21" t="s">
        <v>53</v>
      </c>
      <c r="F45" s="21"/>
      <c r="G45" s="21"/>
      <c r="H45" s="21"/>
      <c r="I45" s="21"/>
      <c r="J45" s="21"/>
      <c r="K45" s="21"/>
      <c r="L45" s="21" t="s">
        <v>956</v>
      </c>
      <c r="M45" s="21" t="str">
        <f aca="false">L45&amp;"|"&amp;E45</f>
        <v>Agent 1, MLLM call::uu_mllm_link|Tampering</v>
      </c>
      <c r="N45" s="21" t="s">
        <v>919</v>
      </c>
      <c r="O45" s="21" t="s">
        <v>863</v>
      </c>
      <c r="P45" s="21" t="n">
        <f aca="false">COUNTIF(Mapping!$G$2:$G$44,M45)</f>
        <v>0</v>
      </c>
      <c r="Q45" s="21" t="str">
        <f aca="false">IF(P45&gt;0,"Yes","No")</f>
        <v>No</v>
      </c>
    </row>
    <row r="46" customFormat="false" ht="15" hidden="false" customHeight="true" outlineLevel="0" collapsed="false">
      <c r="A46" s="21" t="s">
        <v>959</v>
      </c>
      <c r="B46" s="21" t="s">
        <v>960</v>
      </c>
      <c r="C46" s="21" t="s">
        <v>955</v>
      </c>
      <c r="D46" s="21" t="s">
        <v>849</v>
      </c>
      <c r="E46" s="21" t="s">
        <v>854</v>
      </c>
      <c r="F46" s="21"/>
      <c r="G46" s="21"/>
      <c r="H46" s="21"/>
      <c r="I46" s="21"/>
      <c r="J46" s="21"/>
      <c r="K46" s="21"/>
      <c r="L46" s="21" t="s">
        <v>956</v>
      </c>
      <c r="M46" s="21" t="str">
        <f aca="false">L46&amp;"|"&amp;E46</f>
        <v>Agent 1, MLLM call::uu_mllm_link|Denial of Service</v>
      </c>
      <c r="N46" s="21" t="s">
        <v>919</v>
      </c>
      <c r="O46" s="21" t="s">
        <v>863</v>
      </c>
      <c r="P46" s="21" t="n">
        <f aca="false">COUNTIF(Mapping!$G$2:$G$44,M46)</f>
        <v>0</v>
      </c>
      <c r="Q46" s="21" t="str">
        <f aca="false">IF(P46&gt;0,"Yes","No")</f>
        <v>No</v>
      </c>
    </row>
    <row r="47" customFormat="false" ht="15" hidden="false" customHeight="true" outlineLevel="0" collapsed="false">
      <c r="A47" s="21" t="s">
        <v>961</v>
      </c>
      <c r="B47" s="21" t="s">
        <v>962</v>
      </c>
      <c r="C47" s="21" t="s">
        <v>963</v>
      </c>
      <c r="D47" s="21" t="s">
        <v>849</v>
      </c>
      <c r="E47" s="21" t="s">
        <v>850</v>
      </c>
      <c r="F47" s="21"/>
      <c r="G47" s="21"/>
      <c r="H47" s="21"/>
      <c r="I47" s="21"/>
      <c r="J47" s="21"/>
      <c r="K47" s="21"/>
      <c r="L47" s="21" t="s">
        <v>964</v>
      </c>
      <c r="M47" s="21" t="str">
        <f aca="false">L47&amp;"|"&amp;E47</f>
        <v>hazard_out ↔ hazard_in|Information Disclosure</v>
      </c>
      <c r="N47" s="21" t="s">
        <v>872</v>
      </c>
      <c r="O47" s="21" t="s">
        <v>873</v>
      </c>
      <c r="P47" s="21" t="n">
        <f aca="false">COUNTIF(Mapping!$G$2:$G$44,M47)</f>
        <v>0</v>
      </c>
      <c r="Q47" s="21" t="str">
        <f aca="false">IF(P47&gt;0,"Yes","No")</f>
        <v>No</v>
      </c>
    </row>
    <row r="48" customFormat="false" ht="15" hidden="false" customHeight="true" outlineLevel="0" collapsed="false">
      <c r="A48" s="21" t="s">
        <v>965</v>
      </c>
      <c r="B48" s="21" t="s">
        <v>966</v>
      </c>
      <c r="C48" s="21" t="s">
        <v>963</v>
      </c>
      <c r="D48" s="21" t="s">
        <v>849</v>
      </c>
      <c r="E48" s="21" t="s">
        <v>53</v>
      </c>
      <c r="F48" s="21"/>
      <c r="G48" s="21"/>
      <c r="H48" s="21"/>
      <c r="I48" s="21"/>
      <c r="J48" s="21"/>
      <c r="K48" s="21"/>
      <c r="L48" s="21" t="s">
        <v>964</v>
      </c>
      <c r="M48" s="21" t="str">
        <f aca="false">L48&amp;"|"&amp;E48</f>
        <v>hazard_out ↔ hazard_in|Tampering</v>
      </c>
      <c r="N48" s="21" t="s">
        <v>872</v>
      </c>
      <c r="O48" s="21" t="s">
        <v>873</v>
      </c>
      <c r="P48" s="21" t="n">
        <f aca="false">COUNTIF(Mapping!$G$2:$G$44,M48)</f>
        <v>0</v>
      </c>
      <c r="Q48" s="21" t="str">
        <f aca="false">IF(P48&gt;0,"Yes","No")</f>
        <v>No</v>
      </c>
    </row>
    <row r="49" customFormat="false" ht="15" hidden="false" customHeight="true" outlineLevel="0" collapsed="false">
      <c r="A49" s="21" t="s">
        <v>967</v>
      </c>
      <c r="B49" s="21" t="s">
        <v>968</v>
      </c>
      <c r="C49" s="21" t="s">
        <v>963</v>
      </c>
      <c r="D49" s="21" t="s">
        <v>849</v>
      </c>
      <c r="E49" s="21" t="s">
        <v>854</v>
      </c>
      <c r="F49" s="21"/>
      <c r="G49" s="21"/>
      <c r="H49" s="21"/>
      <c r="I49" s="21"/>
      <c r="J49" s="21"/>
      <c r="K49" s="21"/>
      <c r="L49" s="21" t="s">
        <v>964</v>
      </c>
      <c r="M49" s="21" t="str">
        <f aca="false">L49&amp;"|"&amp;E49</f>
        <v>hazard_out ↔ hazard_in|Denial of Service</v>
      </c>
      <c r="N49" s="21" t="s">
        <v>872</v>
      </c>
      <c r="O49" s="21" t="s">
        <v>873</v>
      </c>
      <c r="P49" s="21" t="n">
        <f aca="false">COUNTIF(Mapping!$G$2:$G$44,M49)</f>
        <v>0</v>
      </c>
      <c r="Q49" s="21" t="str">
        <f aca="false">IF(P49&gt;0,"Yes","No")</f>
        <v>No</v>
      </c>
    </row>
    <row r="50" customFormat="false" ht="15" hidden="false" customHeight="true" outlineLevel="0" collapsed="false">
      <c r="A50" s="21" t="s">
        <v>969</v>
      </c>
      <c r="B50" s="21" t="s">
        <v>970</v>
      </c>
      <c r="C50" s="21" t="s">
        <v>971</v>
      </c>
      <c r="D50" s="21" t="s">
        <v>849</v>
      </c>
      <c r="E50" s="21" t="s">
        <v>850</v>
      </c>
      <c r="F50" s="21"/>
      <c r="G50" s="21"/>
      <c r="H50" s="21"/>
      <c r="I50" s="21"/>
      <c r="J50" s="21"/>
      <c r="K50" s="21"/>
      <c r="L50" s="21" t="s">
        <v>972</v>
      </c>
      <c r="M50" s="21" t="str">
        <f aca="false">L50&amp;"|"&amp;E50</f>
        <v>mllm_request ↔ mllm_in|Information Disclosure</v>
      </c>
      <c r="N50" s="21" t="s">
        <v>872</v>
      </c>
      <c r="O50" s="21" t="s">
        <v>873</v>
      </c>
      <c r="P50" s="21" t="n">
        <f aca="false">COUNTIF(Mapping!$G$2:$G$44,M50)</f>
        <v>0</v>
      </c>
      <c r="Q50" s="21" t="str">
        <f aca="false">IF(P50&gt;0,"Yes","No")</f>
        <v>No</v>
      </c>
    </row>
    <row r="51" customFormat="false" ht="15" hidden="false" customHeight="true" outlineLevel="0" collapsed="false">
      <c r="A51" s="21" t="s">
        <v>973</v>
      </c>
      <c r="B51" s="21" t="s">
        <v>974</v>
      </c>
      <c r="C51" s="21" t="s">
        <v>971</v>
      </c>
      <c r="D51" s="21" t="s">
        <v>849</v>
      </c>
      <c r="E51" s="21" t="s">
        <v>53</v>
      </c>
      <c r="F51" s="21"/>
      <c r="G51" s="21"/>
      <c r="H51" s="21"/>
      <c r="I51" s="21"/>
      <c r="J51" s="21"/>
      <c r="K51" s="21"/>
      <c r="L51" s="21" t="s">
        <v>972</v>
      </c>
      <c r="M51" s="21" t="str">
        <f aca="false">L51&amp;"|"&amp;E51</f>
        <v>mllm_request ↔ mllm_in|Tampering</v>
      </c>
      <c r="N51" s="21" t="s">
        <v>872</v>
      </c>
      <c r="O51" s="21" t="s">
        <v>873</v>
      </c>
      <c r="P51" s="21" t="n">
        <f aca="false">COUNTIF(Mapping!$G$2:$G$44,M51)</f>
        <v>0</v>
      </c>
      <c r="Q51" s="21" t="str">
        <f aca="false">IF(P51&gt;0,"Yes","No")</f>
        <v>No</v>
      </c>
    </row>
    <row r="52" customFormat="false" ht="15" hidden="false" customHeight="true" outlineLevel="0" collapsed="false">
      <c r="A52" s="21" t="s">
        <v>975</v>
      </c>
      <c r="B52" s="21" t="s">
        <v>976</v>
      </c>
      <c r="C52" s="21" t="s">
        <v>971</v>
      </c>
      <c r="D52" s="21" t="s">
        <v>849</v>
      </c>
      <c r="E52" s="21" t="s">
        <v>854</v>
      </c>
      <c r="F52" s="21"/>
      <c r="G52" s="21"/>
      <c r="H52" s="21"/>
      <c r="I52" s="21"/>
      <c r="J52" s="21"/>
      <c r="K52" s="21"/>
      <c r="L52" s="21" t="s">
        <v>972</v>
      </c>
      <c r="M52" s="21" t="str">
        <f aca="false">L52&amp;"|"&amp;E52</f>
        <v>mllm_request ↔ mllm_in|Denial of Service</v>
      </c>
      <c r="N52" s="21" t="s">
        <v>872</v>
      </c>
      <c r="O52" s="21" t="s">
        <v>873</v>
      </c>
      <c r="P52" s="21" t="n">
        <f aca="false">COUNTIF(Mapping!$G$2:$G$44,M52)</f>
        <v>0</v>
      </c>
      <c r="Q52" s="21" t="str">
        <f aca="false">IF(P52&gt;0,"Yes","No")</f>
        <v>No</v>
      </c>
    </row>
    <row r="53" customFormat="false" ht="15" hidden="false" customHeight="true" outlineLevel="0" collapsed="false">
      <c r="A53" s="21" t="s">
        <v>241</v>
      </c>
      <c r="B53" s="21" t="s">
        <v>977</v>
      </c>
      <c r="C53" s="21" t="s">
        <v>978</v>
      </c>
      <c r="D53" s="21" t="s">
        <v>849</v>
      </c>
      <c r="E53" s="21" t="s">
        <v>850</v>
      </c>
      <c r="F53" s="21"/>
      <c r="G53" s="21"/>
      <c r="H53" s="21"/>
      <c r="I53" s="21"/>
      <c r="J53" s="21"/>
      <c r="K53" s="21"/>
      <c r="L53" s="21" t="s">
        <v>979</v>
      </c>
      <c r="M53" s="21" t="str">
        <f aca="false">L53&amp;"|"&amp;E53</f>
        <v>uu_mllm_link ↔ mllm_link_1|Information Disclosure</v>
      </c>
      <c r="N53" s="21" t="s">
        <v>872</v>
      </c>
      <c r="O53" s="21" t="s">
        <v>873</v>
      </c>
      <c r="P53" s="21" t="n">
        <f aca="false">COUNTIF(Mapping!$G$2:$G$44,M53)</f>
        <v>0</v>
      </c>
      <c r="Q53" s="21" t="str">
        <f aca="false">IF(P53&gt;0,"Yes","No")</f>
        <v>No</v>
      </c>
    </row>
    <row r="54" customFormat="false" ht="15" hidden="false" customHeight="true" outlineLevel="0" collapsed="false">
      <c r="A54" s="21" t="s">
        <v>228</v>
      </c>
      <c r="B54" s="21" t="s">
        <v>980</v>
      </c>
      <c r="C54" s="21" t="s">
        <v>978</v>
      </c>
      <c r="D54" s="21" t="s">
        <v>849</v>
      </c>
      <c r="E54" s="21" t="s">
        <v>53</v>
      </c>
      <c r="F54" s="21"/>
      <c r="G54" s="21"/>
      <c r="H54" s="21"/>
      <c r="I54" s="21"/>
      <c r="J54" s="21"/>
      <c r="K54" s="21"/>
      <c r="L54" s="21" t="s">
        <v>979</v>
      </c>
      <c r="M54" s="21" t="str">
        <f aca="false">L54&amp;"|"&amp;E54</f>
        <v>uu_mllm_link ↔ mllm_link_1|Tampering</v>
      </c>
      <c r="N54" s="21" t="s">
        <v>872</v>
      </c>
      <c r="O54" s="21" t="s">
        <v>873</v>
      </c>
      <c r="P54" s="21" t="n">
        <f aca="false">COUNTIF(Mapping!$G$2:$G$44,M54)</f>
        <v>0</v>
      </c>
      <c r="Q54" s="21" t="str">
        <f aca="false">IF(P54&gt;0,"Yes","No")</f>
        <v>No</v>
      </c>
    </row>
    <row r="55" customFormat="false" ht="15" hidden="false" customHeight="true" outlineLevel="0" collapsed="false">
      <c r="A55" s="21" t="s">
        <v>252</v>
      </c>
      <c r="B55" s="21" t="s">
        <v>981</v>
      </c>
      <c r="C55" s="21" t="s">
        <v>978</v>
      </c>
      <c r="D55" s="21" t="s">
        <v>849</v>
      </c>
      <c r="E55" s="21" t="s">
        <v>854</v>
      </c>
      <c r="F55" s="21"/>
      <c r="G55" s="21"/>
      <c r="H55" s="21"/>
      <c r="I55" s="21"/>
      <c r="J55" s="21"/>
      <c r="K55" s="21"/>
      <c r="L55" s="21" t="s">
        <v>979</v>
      </c>
      <c r="M55" s="21" t="str">
        <f aca="false">L55&amp;"|"&amp;E55</f>
        <v>uu_mllm_link ↔ mllm_link_1|Denial of Service</v>
      </c>
      <c r="N55" s="21" t="s">
        <v>872</v>
      </c>
      <c r="O55" s="21" t="s">
        <v>873</v>
      </c>
      <c r="P55" s="21" t="n">
        <f aca="false">COUNTIF(Mapping!$G$2:$G$44,M55)</f>
        <v>0</v>
      </c>
      <c r="Q55" s="21" t="str">
        <f aca="false">IF(P55&gt;0,"Yes","No")</f>
        <v>No</v>
      </c>
    </row>
    <row r="56" customFormat="false" ht="15" hidden="false" customHeight="true" outlineLevel="0" collapsed="false">
      <c r="A56" s="21" t="s">
        <v>712</v>
      </c>
      <c r="B56" s="21" t="s">
        <v>982</v>
      </c>
      <c r="C56" s="21" t="s">
        <v>983</v>
      </c>
      <c r="D56" s="21" t="s">
        <v>849</v>
      </c>
      <c r="E56" s="21" t="s">
        <v>850</v>
      </c>
      <c r="F56" s="21"/>
      <c r="G56" s="21"/>
      <c r="H56" s="21"/>
      <c r="I56" s="21"/>
      <c r="J56" s="21"/>
      <c r="K56" s="21"/>
      <c r="L56" s="21" t="s">
        <v>984</v>
      </c>
      <c r="M56" s="21" t="str">
        <f aca="false">L56&amp;"|"&amp;E56</f>
        <v>Agent 2, Depth Pro|Information Disclosure</v>
      </c>
      <c r="N56" s="21" t="s">
        <v>984</v>
      </c>
      <c r="O56" s="21" t="s">
        <v>842</v>
      </c>
      <c r="P56" s="21" t="n">
        <f aca="false">COUNTIF(Mapping!$G$2:$G$44,M56)</f>
        <v>0</v>
      </c>
      <c r="Q56" s="21" t="str">
        <f aca="false">IF(P56&gt;0,"Yes","No")</f>
        <v>No</v>
      </c>
    </row>
    <row r="57" customFormat="false" ht="15" hidden="false" customHeight="true" outlineLevel="0" collapsed="false">
      <c r="A57" s="21" t="s">
        <v>985</v>
      </c>
      <c r="B57" s="21" t="s">
        <v>986</v>
      </c>
      <c r="C57" s="21" t="s">
        <v>983</v>
      </c>
      <c r="D57" s="21" t="s">
        <v>849</v>
      </c>
      <c r="E57" s="21" t="s">
        <v>53</v>
      </c>
      <c r="F57" s="21"/>
      <c r="G57" s="21"/>
      <c r="H57" s="21"/>
      <c r="I57" s="21"/>
      <c r="J57" s="21"/>
      <c r="K57" s="21"/>
      <c r="L57" s="21" t="s">
        <v>984</v>
      </c>
      <c r="M57" s="21" t="str">
        <f aca="false">L57&amp;"|"&amp;E57</f>
        <v>Agent 2, Depth Pro|Tampering</v>
      </c>
      <c r="N57" s="21" t="s">
        <v>984</v>
      </c>
      <c r="O57" s="21" t="s">
        <v>842</v>
      </c>
      <c r="P57" s="21" t="n">
        <f aca="false">COUNTIF(Mapping!$G$2:$G$44,M57)</f>
        <v>1</v>
      </c>
      <c r="Q57" s="21" t="str">
        <f aca="false">IF(P57&gt;0,"Yes","No")</f>
        <v>Yes</v>
      </c>
    </row>
    <row r="58" customFormat="false" ht="15" hidden="false" customHeight="true" outlineLevel="0" collapsed="false">
      <c r="A58" s="21" t="s">
        <v>987</v>
      </c>
      <c r="B58" s="21" t="s">
        <v>988</v>
      </c>
      <c r="C58" s="21" t="s">
        <v>983</v>
      </c>
      <c r="D58" s="21" t="s">
        <v>849</v>
      </c>
      <c r="E58" s="21" t="s">
        <v>854</v>
      </c>
      <c r="F58" s="21"/>
      <c r="G58" s="21"/>
      <c r="H58" s="21"/>
      <c r="I58" s="21"/>
      <c r="J58" s="21"/>
      <c r="K58" s="21"/>
      <c r="L58" s="21" t="s">
        <v>984</v>
      </c>
      <c r="M58" s="21" t="str">
        <f aca="false">L58&amp;"|"&amp;E58</f>
        <v>Agent 2, Depth Pro|Denial of Service</v>
      </c>
      <c r="N58" s="21" t="s">
        <v>984</v>
      </c>
      <c r="O58" s="21" t="s">
        <v>842</v>
      </c>
      <c r="P58" s="21" t="n">
        <f aca="false">COUNTIF(Mapping!$G$2:$G$44,M58)</f>
        <v>0</v>
      </c>
      <c r="Q58" s="21" t="str">
        <f aca="false">IF(P58&gt;0,"Yes","No")</f>
        <v>No</v>
      </c>
    </row>
    <row r="59" customFormat="false" ht="15" hidden="false" customHeight="true" outlineLevel="0" collapsed="false">
      <c r="A59" s="21" t="s">
        <v>700</v>
      </c>
      <c r="B59" s="21" t="s">
        <v>989</v>
      </c>
      <c r="C59" s="21" t="s">
        <v>983</v>
      </c>
      <c r="D59" s="21" t="s">
        <v>849</v>
      </c>
      <c r="E59" s="21" t="s">
        <v>33</v>
      </c>
      <c r="F59" s="21"/>
      <c r="G59" s="21"/>
      <c r="H59" s="21"/>
      <c r="I59" s="21"/>
      <c r="J59" s="21"/>
      <c r="K59" s="21"/>
      <c r="L59" s="21" t="s">
        <v>984</v>
      </c>
      <c r="M59" s="21" t="str">
        <f aca="false">L59&amp;"|"&amp;E59</f>
        <v>Agent 2, Depth Pro|Spoofing</v>
      </c>
      <c r="N59" s="21" t="s">
        <v>984</v>
      </c>
      <c r="O59" s="21" t="s">
        <v>842</v>
      </c>
      <c r="P59" s="21" t="n">
        <f aca="false">COUNTIF(Mapping!$G$2:$G$44,M59)</f>
        <v>0</v>
      </c>
      <c r="Q59" s="21" t="str">
        <f aca="false">IF(P59&gt;0,"Yes","No")</f>
        <v>No</v>
      </c>
    </row>
    <row r="60" customFormat="false" ht="15" hidden="false" customHeight="true" outlineLevel="0" collapsed="false">
      <c r="A60" s="21" t="s">
        <v>726</v>
      </c>
      <c r="B60" s="21" t="s">
        <v>990</v>
      </c>
      <c r="C60" s="21" t="s">
        <v>983</v>
      </c>
      <c r="D60" s="21" t="s">
        <v>849</v>
      </c>
      <c r="E60" s="21" t="s">
        <v>857</v>
      </c>
      <c r="F60" s="21"/>
      <c r="G60" s="21"/>
      <c r="H60" s="21"/>
      <c r="I60" s="21"/>
      <c r="J60" s="21"/>
      <c r="K60" s="21"/>
      <c r="L60" s="21" t="s">
        <v>984</v>
      </c>
      <c r="M60" s="21" t="str">
        <f aca="false">L60&amp;"|"&amp;E60</f>
        <v>Agent 2, Depth Pro|Elevation of Privilege</v>
      </c>
      <c r="N60" s="21" t="s">
        <v>984</v>
      </c>
      <c r="O60" s="21" t="s">
        <v>842</v>
      </c>
      <c r="P60" s="21" t="n">
        <f aca="false">COUNTIF(Mapping!$G$2:$G$44,M60)</f>
        <v>0</v>
      </c>
      <c r="Q60" s="21" t="str">
        <f aca="false">IF(P60&gt;0,"Yes","No")</f>
        <v>No</v>
      </c>
    </row>
    <row r="61" customFormat="false" ht="15" hidden="false" customHeight="true" outlineLevel="0" collapsed="false">
      <c r="A61" s="21" t="s">
        <v>739</v>
      </c>
      <c r="B61" s="21" t="s">
        <v>991</v>
      </c>
      <c r="C61" s="21" t="s">
        <v>983</v>
      </c>
      <c r="D61" s="21" t="s">
        <v>849</v>
      </c>
      <c r="E61" s="21" t="s">
        <v>307</v>
      </c>
      <c r="F61" s="21"/>
      <c r="G61" s="21"/>
      <c r="H61" s="21"/>
      <c r="I61" s="21"/>
      <c r="J61" s="21"/>
      <c r="K61" s="21"/>
      <c r="L61" s="21" t="s">
        <v>984</v>
      </c>
      <c r="M61" s="21" t="str">
        <f aca="false">L61&amp;"|"&amp;E61</f>
        <v>Agent 2, Depth Pro|Repudiation</v>
      </c>
      <c r="N61" s="21" t="s">
        <v>984</v>
      </c>
      <c r="O61" s="21" t="s">
        <v>842</v>
      </c>
      <c r="P61" s="21" t="n">
        <f aca="false">COUNTIF(Mapping!$G$2:$G$44,M61)</f>
        <v>0</v>
      </c>
      <c r="Q61" s="21" t="str">
        <f aca="false">IF(P61&gt;0,"Yes","No")</f>
        <v>No</v>
      </c>
    </row>
    <row r="62" customFormat="false" ht="15" hidden="false" customHeight="true" outlineLevel="0" collapsed="false">
      <c r="A62" s="21" t="s">
        <v>992</v>
      </c>
      <c r="B62" s="21" t="s">
        <v>993</v>
      </c>
      <c r="C62" s="21" t="s">
        <v>994</v>
      </c>
      <c r="D62" s="21" t="s">
        <v>849</v>
      </c>
      <c r="E62" s="21" t="s">
        <v>850</v>
      </c>
      <c r="F62" s="21"/>
      <c r="G62" s="21"/>
      <c r="H62" s="21"/>
      <c r="I62" s="21"/>
      <c r="J62" s="21"/>
      <c r="K62" s="21"/>
      <c r="L62" s="21" t="s">
        <v>995</v>
      </c>
      <c r="M62" s="21" t="str">
        <f aca="false">L62&amp;"|"&amp;E62</f>
        <v>Agent 2, Depth Pro::hazard_in|Information Disclosure</v>
      </c>
      <c r="N62" s="21" t="s">
        <v>984</v>
      </c>
      <c r="O62" s="21" t="s">
        <v>863</v>
      </c>
      <c r="P62" s="21" t="n">
        <f aca="false">COUNTIF(Mapping!$G$2:$G$44,M62)</f>
        <v>0</v>
      </c>
      <c r="Q62" s="21" t="str">
        <f aca="false">IF(P62&gt;0,"Yes","No")</f>
        <v>No</v>
      </c>
    </row>
    <row r="63" customFormat="false" ht="15" hidden="false" customHeight="true" outlineLevel="0" collapsed="false">
      <c r="A63" s="21" t="s">
        <v>996</v>
      </c>
      <c r="B63" s="21" t="s">
        <v>997</v>
      </c>
      <c r="C63" s="21" t="s">
        <v>994</v>
      </c>
      <c r="D63" s="21" t="s">
        <v>849</v>
      </c>
      <c r="E63" s="21" t="s">
        <v>53</v>
      </c>
      <c r="F63" s="21"/>
      <c r="G63" s="21"/>
      <c r="H63" s="21"/>
      <c r="I63" s="21"/>
      <c r="J63" s="21"/>
      <c r="K63" s="21"/>
      <c r="L63" s="21" t="s">
        <v>995</v>
      </c>
      <c r="M63" s="21" t="str">
        <f aca="false">L63&amp;"|"&amp;E63</f>
        <v>Agent 2, Depth Pro::hazard_in|Tampering</v>
      </c>
      <c r="N63" s="21" t="s">
        <v>984</v>
      </c>
      <c r="O63" s="21" t="s">
        <v>863</v>
      </c>
      <c r="P63" s="21" t="n">
        <f aca="false">COUNTIF(Mapping!$G$2:$G$44,M63)</f>
        <v>0</v>
      </c>
      <c r="Q63" s="21" t="str">
        <f aca="false">IF(P63&gt;0,"Yes","No")</f>
        <v>No</v>
      </c>
    </row>
    <row r="64" customFormat="false" ht="15" hidden="false" customHeight="true" outlineLevel="0" collapsed="false">
      <c r="A64" s="21" t="s">
        <v>998</v>
      </c>
      <c r="B64" s="21" t="s">
        <v>999</v>
      </c>
      <c r="C64" s="21" t="s">
        <v>994</v>
      </c>
      <c r="D64" s="21" t="s">
        <v>849</v>
      </c>
      <c r="E64" s="21" t="s">
        <v>854</v>
      </c>
      <c r="F64" s="21"/>
      <c r="G64" s="21"/>
      <c r="H64" s="21"/>
      <c r="I64" s="21"/>
      <c r="J64" s="21"/>
      <c r="K64" s="21"/>
      <c r="L64" s="21" t="s">
        <v>995</v>
      </c>
      <c r="M64" s="21" t="str">
        <f aca="false">L64&amp;"|"&amp;E64</f>
        <v>Agent 2, Depth Pro::hazard_in|Denial of Service</v>
      </c>
      <c r="N64" s="21" t="s">
        <v>984</v>
      </c>
      <c r="O64" s="21" t="s">
        <v>863</v>
      </c>
      <c r="P64" s="21" t="n">
        <f aca="false">COUNTIF(Mapping!$G$2:$G$44,M64)</f>
        <v>0</v>
      </c>
      <c r="Q64" s="21" t="str">
        <f aca="false">IF(P64&gt;0,"Yes","No")</f>
        <v>No</v>
      </c>
    </row>
    <row r="65" customFormat="false" ht="15" hidden="false" customHeight="true" outlineLevel="0" collapsed="false">
      <c r="A65" s="21" t="s">
        <v>1000</v>
      </c>
      <c r="B65" s="21" t="s">
        <v>1001</v>
      </c>
      <c r="C65" s="21" t="s">
        <v>1002</v>
      </c>
      <c r="D65" s="21" t="s">
        <v>849</v>
      </c>
      <c r="E65" s="21" t="s">
        <v>850</v>
      </c>
      <c r="F65" s="21"/>
      <c r="G65" s="21"/>
      <c r="H65" s="21"/>
      <c r="I65" s="21"/>
      <c r="J65" s="21"/>
      <c r="K65" s="21"/>
      <c r="L65" s="21" t="s">
        <v>1003</v>
      </c>
      <c r="M65" s="21" t="str">
        <f aca="false">L65&amp;"|"&amp;E65</f>
        <v>Agent 2, Depth Pro::distance_out|Information Disclosure</v>
      </c>
      <c r="N65" s="21" t="s">
        <v>984</v>
      </c>
      <c r="O65" s="21" t="s">
        <v>863</v>
      </c>
      <c r="P65" s="21" t="n">
        <f aca="false">COUNTIF(Mapping!$G$2:$G$44,M65)</f>
        <v>0</v>
      </c>
      <c r="Q65" s="21" t="str">
        <f aca="false">IF(P65&gt;0,"Yes","No")</f>
        <v>No</v>
      </c>
    </row>
    <row r="66" customFormat="false" ht="15" hidden="false" customHeight="true" outlineLevel="0" collapsed="false">
      <c r="A66" s="21" t="s">
        <v>1004</v>
      </c>
      <c r="B66" s="21" t="s">
        <v>1005</v>
      </c>
      <c r="C66" s="21" t="s">
        <v>1002</v>
      </c>
      <c r="D66" s="21" t="s">
        <v>849</v>
      </c>
      <c r="E66" s="21" t="s">
        <v>53</v>
      </c>
      <c r="F66" s="21"/>
      <c r="G66" s="21"/>
      <c r="H66" s="21"/>
      <c r="I66" s="21"/>
      <c r="J66" s="21"/>
      <c r="K66" s="21"/>
      <c r="L66" s="21" t="s">
        <v>1003</v>
      </c>
      <c r="M66" s="21" t="str">
        <f aca="false">L66&amp;"|"&amp;E66</f>
        <v>Agent 2, Depth Pro::distance_out|Tampering</v>
      </c>
      <c r="N66" s="21" t="s">
        <v>984</v>
      </c>
      <c r="O66" s="21" t="s">
        <v>863</v>
      </c>
      <c r="P66" s="21" t="n">
        <f aca="false">COUNTIF(Mapping!$G$2:$G$44,M66)</f>
        <v>0</v>
      </c>
      <c r="Q66" s="21" t="str">
        <f aca="false">IF(P66&gt;0,"Yes","No")</f>
        <v>No</v>
      </c>
    </row>
    <row r="67" customFormat="false" ht="15" hidden="false" customHeight="true" outlineLevel="0" collapsed="false">
      <c r="A67" s="21" t="s">
        <v>1006</v>
      </c>
      <c r="B67" s="21" t="s">
        <v>1007</v>
      </c>
      <c r="C67" s="21" t="s">
        <v>1002</v>
      </c>
      <c r="D67" s="21" t="s">
        <v>849</v>
      </c>
      <c r="E67" s="21" t="s">
        <v>854</v>
      </c>
      <c r="F67" s="21"/>
      <c r="G67" s="21"/>
      <c r="H67" s="21"/>
      <c r="I67" s="21"/>
      <c r="J67" s="21"/>
      <c r="K67" s="21"/>
      <c r="L67" s="21" t="s">
        <v>1003</v>
      </c>
      <c r="M67" s="21" t="str">
        <f aca="false">L67&amp;"|"&amp;E67</f>
        <v>Agent 2, Depth Pro::distance_out|Denial of Service</v>
      </c>
      <c r="N67" s="21" t="s">
        <v>984</v>
      </c>
      <c r="O67" s="21" t="s">
        <v>863</v>
      </c>
      <c r="P67" s="21" t="n">
        <f aca="false">COUNTIF(Mapping!$G$2:$G$44,M67)</f>
        <v>0</v>
      </c>
      <c r="Q67" s="21" t="str">
        <f aca="false">IF(P67&gt;0,"Yes","No")</f>
        <v>No</v>
      </c>
    </row>
    <row r="68" customFormat="false" ht="15" hidden="false" customHeight="true" outlineLevel="0" collapsed="false">
      <c r="A68" s="21" t="s">
        <v>1008</v>
      </c>
      <c r="B68" s="21" t="s">
        <v>1009</v>
      </c>
      <c r="C68" s="21" t="s">
        <v>1010</v>
      </c>
      <c r="D68" s="21" t="s">
        <v>849</v>
      </c>
      <c r="E68" s="21" t="s">
        <v>850</v>
      </c>
      <c r="F68" s="21"/>
      <c r="G68" s="21"/>
      <c r="H68" s="21"/>
      <c r="I68" s="21"/>
      <c r="J68" s="21"/>
      <c r="K68" s="21"/>
      <c r="L68" s="21" t="s">
        <v>1011</v>
      </c>
      <c r="M68" s="21" t="str">
        <f aca="false">L68&amp;"|"&amp;E68</f>
        <v>distance_out ↔ distance_in|Information Disclosure</v>
      </c>
      <c r="N68" s="21" t="s">
        <v>872</v>
      </c>
      <c r="O68" s="21" t="s">
        <v>873</v>
      </c>
      <c r="P68" s="21" t="n">
        <f aca="false">COUNTIF(Mapping!$G$2:$G$44,M68)</f>
        <v>0</v>
      </c>
      <c r="Q68" s="21" t="str">
        <f aca="false">IF(P68&gt;0,"Yes","No")</f>
        <v>No</v>
      </c>
    </row>
    <row r="69" customFormat="false" ht="15" hidden="false" customHeight="true" outlineLevel="0" collapsed="false">
      <c r="A69" s="21" t="s">
        <v>1012</v>
      </c>
      <c r="B69" s="21" t="s">
        <v>1013</v>
      </c>
      <c r="C69" s="21" t="s">
        <v>1010</v>
      </c>
      <c r="D69" s="21" t="s">
        <v>849</v>
      </c>
      <c r="E69" s="21" t="s">
        <v>53</v>
      </c>
      <c r="F69" s="21"/>
      <c r="G69" s="21"/>
      <c r="H69" s="21"/>
      <c r="I69" s="21"/>
      <c r="J69" s="21"/>
      <c r="K69" s="21"/>
      <c r="L69" s="21" t="s">
        <v>1011</v>
      </c>
      <c r="M69" s="21" t="str">
        <f aca="false">L69&amp;"|"&amp;E69</f>
        <v>distance_out ↔ distance_in|Tampering</v>
      </c>
      <c r="N69" s="21" t="s">
        <v>872</v>
      </c>
      <c r="O69" s="21" t="s">
        <v>873</v>
      </c>
      <c r="P69" s="21" t="n">
        <f aca="false">COUNTIF(Mapping!$G$2:$G$44,M69)</f>
        <v>0</v>
      </c>
      <c r="Q69" s="21" t="str">
        <f aca="false">IF(P69&gt;0,"Yes","No")</f>
        <v>No</v>
      </c>
    </row>
    <row r="70" customFormat="false" ht="15" hidden="false" customHeight="true" outlineLevel="0" collapsed="false">
      <c r="A70" s="21" t="s">
        <v>1014</v>
      </c>
      <c r="B70" s="21" t="s">
        <v>1015</v>
      </c>
      <c r="C70" s="21" t="s">
        <v>1010</v>
      </c>
      <c r="D70" s="21" t="s">
        <v>849</v>
      </c>
      <c r="E70" s="21" t="s">
        <v>854</v>
      </c>
      <c r="F70" s="21"/>
      <c r="G70" s="21"/>
      <c r="H70" s="21"/>
      <c r="I70" s="21"/>
      <c r="J70" s="21"/>
      <c r="K70" s="21"/>
      <c r="L70" s="21" t="s">
        <v>1011</v>
      </c>
      <c r="M70" s="21" t="str">
        <f aca="false">L70&amp;"|"&amp;E70</f>
        <v>distance_out ↔ distance_in|Denial of Service</v>
      </c>
      <c r="N70" s="21" t="s">
        <v>872</v>
      </c>
      <c r="O70" s="21" t="s">
        <v>873</v>
      </c>
      <c r="P70" s="21" t="n">
        <f aca="false">COUNTIF(Mapping!$G$2:$G$44,M70)</f>
        <v>0</v>
      </c>
      <c r="Q70" s="21" t="str">
        <f aca="false">IF(P70&gt;0,"Yes","No")</f>
        <v>No</v>
      </c>
    </row>
    <row r="71" customFormat="false" ht="15" hidden="false" customHeight="true" outlineLevel="0" collapsed="false">
      <c r="A71" s="21" t="s">
        <v>751</v>
      </c>
      <c r="B71" s="21" t="s">
        <v>1016</v>
      </c>
      <c r="C71" s="21" t="s">
        <v>1017</v>
      </c>
      <c r="D71" s="21" t="s">
        <v>849</v>
      </c>
      <c r="E71" s="21" t="s">
        <v>850</v>
      </c>
      <c r="F71" s="21"/>
      <c r="G71" s="21"/>
      <c r="H71" s="21"/>
      <c r="I71" s="21"/>
      <c r="J71" s="21"/>
      <c r="K71" s="21"/>
      <c r="L71" s="21" t="s">
        <v>1018</v>
      </c>
      <c r="M71" s="21" t="str">
        <f aca="false">L71&amp;"|"&amp;E71</f>
        <v>Agent 3, MLLM call|Information Disclosure</v>
      </c>
      <c r="N71" s="21" t="s">
        <v>1018</v>
      </c>
      <c r="O71" s="21" t="s">
        <v>842</v>
      </c>
      <c r="P71" s="21" t="n">
        <f aca="false">COUNTIF(Mapping!$G$2:$G$44,M71)</f>
        <v>0</v>
      </c>
      <c r="Q71" s="21" t="str">
        <f aca="false">IF(P71&gt;0,"Yes","No")</f>
        <v>No</v>
      </c>
    </row>
    <row r="72" customFormat="false" ht="15" hidden="false" customHeight="true" outlineLevel="0" collapsed="false">
      <c r="A72" s="21" t="s">
        <v>1019</v>
      </c>
      <c r="B72" s="21" t="s">
        <v>1020</v>
      </c>
      <c r="C72" s="21" t="s">
        <v>1017</v>
      </c>
      <c r="D72" s="21" t="s">
        <v>849</v>
      </c>
      <c r="E72" s="21" t="s">
        <v>53</v>
      </c>
      <c r="F72" s="21"/>
      <c r="G72" s="21"/>
      <c r="H72" s="21"/>
      <c r="I72" s="21"/>
      <c r="J72" s="21"/>
      <c r="K72" s="21"/>
      <c r="L72" s="21" t="s">
        <v>1018</v>
      </c>
      <c r="M72" s="21" t="str">
        <f aca="false">L72&amp;"|"&amp;E72</f>
        <v>Agent 3, MLLM call|Tampering</v>
      </c>
      <c r="N72" s="21" t="s">
        <v>1018</v>
      </c>
      <c r="O72" s="21" t="s">
        <v>842</v>
      </c>
      <c r="P72" s="21" t="n">
        <f aca="false">COUNTIF(Mapping!$G$2:$G$44,M72)</f>
        <v>1</v>
      </c>
      <c r="Q72" s="21" t="str">
        <f aca="false">IF(P72&gt;0,"Yes","No")</f>
        <v>Yes</v>
      </c>
    </row>
    <row r="73" customFormat="false" ht="15" hidden="false" customHeight="true" outlineLevel="0" collapsed="false">
      <c r="A73" s="21" t="s">
        <v>1021</v>
      </c>
      <c r="B73" s="21" t="s">
        <v>1022</v>
      </c>
      <c r="C73" s="21" t="s">
        <v>1017</v>
      </c>
      <c r="D73" s="21" t="s">
        <v>849</v>
      </c>
      <c r="E73" s="21" t="s">
        <v>854</v>
      </c>
      <c r="F73" s="21"/>
      <c r="G73" s="21"/>
      <c r="H73" s="21"/>
      <c r="I73" s="21"/>
      <c r="J73" s="21"/>
      <c r="K73" s="21"/>
      <c r="L73" s="21" t="s">
        <v>1018</v>
      </c>
      <c r="M73" s="21" t="str">
        <f aca="false">L73&amp;"|"&amp;E73</f>
        <v>Agent 3, MLLM call|Denial of Service</v>
      </c>
      <c r="N73" s="21" t="s">
        <v>1018</v>
      </c>
      <c r="O73" s="21" t="s">
        <v>842</v>
      </c>
      <c r="P73" s="21" t="n">
        <f aca="false">COUNTIF(Mapping!$G$2:$G$44,M73)</f>
        <v>0</v>
      </c>
      <c r="Q73" s="21" t="str">
        <f aca="false">IF(P73&gt;0,"Yes","No")</f>
        <v>No</v>
      </c>
    </row>
    <row r="74" customFormat="false" ht="15" hidden="false" customHeight="true" outlineLevel="0" collapsed="false">
      <c r="A74" s="21" t="s">
        <v>1023</v>
      </c>
      <c r="B74" s="21" t="s">
        <v>1024</v>
      </c>
      <c r="C74" s="21" t="s">
        <v>1017</v>
      </c>
      <c r="D74" s="21" t="s">
        <v>849</v>
      </c>
      <c r="E74" s="21" t="s">
        <v>33</v>
      </c>
      <c r="F74" s="21"/>
      <c r="G74" s="21"/>
      <c r="H74" s="21"/>
      <c r="I74" s="21"/>
      <c r="J74" s="21"/>
      <c r="K74" s="21"/>
      <c r="L74" s="21" t="s">
        <v>1018</v>
      </c>
      <c r="M74" s="21" t="str">
        <f aca="false">L74&amp;"|"&amp;E74</f>
        <v>Agent 3, MLLM call|Spoofing</v>
      </c>
      <c r="N74" s="21" t="s">
        <v>1018</v>
      </c>
      <c r="O74" s="21" t="s">
        <v>842</v>
      </c>
      <c r="P74" s="21" t="n">
        <f aca="false">COUNTIF(Mapping!$G$2:$G$44,M74)</f>
        <v>0</v>
      </c>
      <c r="Q74" s="21" t="str">
        <f aca="false">IF(P74&gt;0,"Yes","No")</f>
        <v>No</v>
      </c>
    </row>
    <row r="75" customFormat="false" ht="15" hidden="false" customHeight="true" outlineLevel="0" collapsed="false">
      <c r="A75" s="21" t="s">
        <v>765</v>
      </c>
      <c r="B75" s="21" t="s">
        <v>1025</v>
      </c>
      <c r="C75" s="21" t="s">
        <v>1017</v>
      </c>
      <c r="D75" s="21" t="s">
        <v>849</v>
      </c>
      <c r="E75" s="21" t="s">
        <v>857</v>
      </c>
      <c r="F75" s="21"/>
      <c r="G75" s="21"/>
      <c r="H75" s="21"/>
      <c r="I75" s="21"/>
      <c r="J75" s="21"/>
      <c r="K75" s="21"/>
      <c r="L75" s="21" t="s">
        <v>1018</v>
      </c>
      <c r="M75" s="21" t="str">
        <f aca="false">L75&amp;"|"&amp;E75</f>
        <v>Agent 3, MLLM call|Elevation of Privilege</v>
      </c>
      <c r="N75" s="21" t="s">
        <v>1018</v>
      </c>
      <c r="O75" s="21" t="s">
        <v>842</v>
      </c>
      <c r="P75" s="21" t="n">
        <f aca="false">COUNTIF(Mapping!$G$2:$G$44,M75)</f>
        <v>0</v>
      </c>
      <c r="Q75" s="21" t="str">
        <f aca="false">IF(P75&gt;0,"Yes","No")</f>
        <v>No</v>
      </c>
    </row>
    <row r="76" customFormat="false" ht="15" hidden="false" customHeight="true" outlineLevel="0" collapsed="false">
      <c r="A76" s="21" t="s">
        <v>1026</v>
      </c>
      <c r="B76" s="21" t="s">
        <v>1027</v>
      </c>
      <c r="C76" s="21" t="s">
        <v>1017</v>
      </c>
      <c r="D76" s="21" t="s">
        <v>849</v>
      </c>
      <c r="E76" s="21" t="s">
        <v>307</v>
      </c>
      <c r="F76" s="21"/>
      <c r="G76" s="21"/>
      <c r="H76" s="21"/>
      <c r="I76" s="21"/>
      <c r="J76" s="21"/>
      <c r="K76" s="21"/>
      <c r="L76" s="21" t="s">
        <v>1018</v>
      </c>
      <c r="M76" s="21" t="str">
        <f aca="false">L76&amp;"|"&amp;E76</f>
        <v>Agent 3, MLLM call|Repudiation</v>
      </c>
      <c r="N76" s="21" t="s">
        <v>1018</v>
      </c>
      <c r="O76" s="21" t="s">
        <v>842</v>
      </c>
      <c r="P76" s="21" t="n">
        <f aca="false">COUNTIF(Mapping!$G$2:$G$44,M76)</f>
        <v>0</v>
      </c>
      <c r="Q76" s="21" t="str">
        <f aca="false">IF(P76&gt;0,"Yes","No")</f>
        <v>No</v>
      </c>
    </row>
    <row r="77" customFormat="false" ht="15" hidden="false" customHeight="true" outlineLevel="0" collapsed="false">
      <c r="A77" s="21" t="s">
        <v>1028</v>
      </c>
      <c r="B77" s="21" t="s">
        <v>1029</v>
      </c>
      <c r="C77" s="21" t="s">
        <v>1030</v>
      </c>
      <c r="D77" s="21" t="s">
        <v>849</v>
      </c>
      <c r="E77" s="21" t="s">
        <v>850</v>
      </c>
      <c r="F77" s="21"/>
      <c r="G77" s="21"/>
      <c r="H77" s="21"/>
      <c r="I77" s="21"/>
      <c r="J77" s="21"/>
      <c r="K77" s="21"/>
      <c r="L77" s="21" t="s">
        <v>1031</v>
      </c>
      <c r="M77" s="21" t="str">
        <f aca="false">L77&amp;"|"&amp;E77</f>
        <v>Agent 3, MLLM call::distance_in|Information Disclosure</v>
      </c>
      <c r="N77" s="21" t="s">
        <v>1018</v>
      </c>
      <c r="O77" s="21" t="s">
        <v>863</v>
      </c>
      <c r="P77" s="21" t="n">
        <f aca="false">COUNTIF(Mapping!$G$2:$G$44,M77)</f>
        <v>0</v>
      </c>
      <c r="Q77" s="21" t="str">
        <f aca="false">IF(P77&gt;0,"Yes","No")</f>
        <v>No</v>
      </c>
    </row>
    <row r="78" customFormat="false" ht="15" hidden="false" customHeight="true" outlineLevel="0" collapsed="false">
      <c r="A78" s="21" t="s">
        <v>1032</v>
      </c>
      <c r="B78" s="21" t="s">
        <v>1033</v>
      </c>
      <c r="C78" s="21" t="s">
        <v>1030</v>
      </c>
      <c r="D78" s="21" t="s">
        <v>849</v>
      </c>
      <c r="E78" s="21" t="s">
        <v>53</v>
      </c>
      <c r="F78" s="21"/>
      <c r="G78" s="21"/>
      <c r="H78" s="21"/>
      <c r="I78" s="21"/>
      <c r="J78" s="21"/>
      <c r="K78" s="21"/>
      <c r="L78" s="21" t="s">
        <v>1031</v>
      </c>
      <c r="M78" s="21" t="str">
        <f aca="false">L78&amp;"|"&amp;E78</f>
        <v>Agent 3, MLLM call::distance_in|Tampering</v>
      </c>
      <c r="N78" s="21" t="s">
        <v>1018</v>
      </c>
      <c r="O78" s="21" t="s">
        <v>863</v>
      </c>
      <c r="P78" s="21" t="n">
        <f aca="false">COUNTIF(Mapping!$G$2:$G$44,M78)</f>
        <v>0</v>
      </c>
      <c r="Q78" s="21" t="str">
        <f aca="false">IF(P78&gt;0,"Yes","No")</f>
        <v>No</v>
      </c>
    </row>
    <row r="79" customFormat="false" ht="15" hidden="false" customHeight="true" outlineLevel="0" collapsed="false">
      <c r="A79" s="21" t="s">
        <v>1034</v>
      </c>
      <c r="B79" s="21" t="s">
        <v>1035</v>
      </c>
      <c r="C79" s="21" t="s">
        <v>1030</v>
      </c>
      <c r="D79" s="21" t="s">
        <v>849</v>
      </c>
      <c r="E79" s="21" t="s">
        <v>854</v>
      </c>
      <c r="F79" s="21"/>
      <c r="G79" s="21"/>
      <c r="H79" s="21"/>
      <c r="I79" s="21"/>
      <c r="J79" s="21"/>
      <c r="K79" s="21"/>
      <c r="L79" s="21" t="s">
        <v>1031</v>
      </c>
      <c r="M79" s="21" t="str">
        <f aca="false">L79&amp;"|"&amp;E79</f>
        <v>Agent 3, MLLM call::distance_in|Denial of Service</v>
      </c>
      <c r="N79" s="21" t="s">
        <v>1018</v>
      </c>
      <c r="O79" s="21" t="s">
        <v>863</v>
      </c>
      <c r="P79" s="21" t="n">
        <f aca="false">COUNTIF(Mapping!$G$2:$G$44,M79)</f>
        <v>0</v>
      </c>
      <c r="Q79" s="21" t="str">
        <f aca="false">IF(P79&gt;0,"Yes","No")</f>
        <v>No</v>
      </c>
    </row>
    <row r="80" customFormat="false" ht="15" hidden="false" customHeight="true" outlineLevel="0" collapsed="false">
      <c r="A80" s="21" t="s">
        <v>1036</v>
      </c>
      <c r="B80" s="21" t="s">
        <v>1037</v>
      </c>
      <c r="C80" s="21" t="s">
        <v>1038</v>
      </c>
      <c r="D80" s="21" t="s">
        <v>849</v>
      </c>
      <c r="E80" s="21" t="s">
        <v>850</v>
      </c>
      <c r="F80" s="21"/>
      <c r="G80" s="21"/>
      <c r="H80" s="21"/>
      <c r="I80" s="21"/>
      <c r="J80" s="21"/>
      <c r="K80" s="21"/>
      <c r="L80" s="21" t="s">
        <v>1039</v>
      </c>
      <c r="M80" s="21" t="str">
        <f aca="false">L80&amp;"|"&amp;E80</f>
        <v>Agent 3, MLLM call::content_out|Information Disclosure</v>
      </c>
      <c r="N80" s="21" t="s">
        <v>1018</v>
      </c>
      <c r="O80" s="21" t="s">
        <v>863</v>
      </c>
      <c r="P80" s="21" t="n">
        <f aca="false">COUNTIF(Mapping!$G$2:$G$44,M80)</f>
        <v>0</v>
      </c>
      <c r="Q80" s="21" t="str">
        <f aca="false">IF(P80&gt;0,"Yes","No")</f>
        <v>No</v>
      </c>
    </row>
    <row r="81" customFormat="false" ht="15" hidden="false" customHeight="true" outlineLevel="0" collapsed="false">
      <c r="A81" s="21" t="s">
        <v>1040</v>
      </c>
      <c r="B81" s="21" t="s">
        <v>1041</v>
      </c>
      <c r="C81" s="21" t="s">
        <v>1038</v>
      </c>
      <c r="D81" s="21" t="s">
        <v>849</v>
      </c>
      <c r="E81" s="21" t="s">
        <v>53</v>
      </c>
      <c r="F81" s="21"/>
      <c r="G81" s="21"/>
      <c r="H81" s="21"/>
      <c r="I81" s="21"/>
      <c r="J81" s="21"/>
      <c r="K81" s="21"/>
      <c r="L81" s="21" t="s">
        <v>1039</v>
      </c>
      <c r="M81" s="21" t="str">
        <f aca="false">L81&amp;"|"&amp;E81</f>
        <v>Agent 3, MLLM call::content_out|Tampering</v>
      </c>
      <c r="N81" s="21" t="s">
        <v>1018</v>
      </c>
      <c r="O81" s="21" t="s">
        <v>863</v>
      </c>
      <c r="P81" s="21" t="n">
        <f aca="false">COUNTIF(Mapping!$G$2:$G$44,M81)</f>
        <v>0</v>
      </c>
      <c r="Q81" s="21" t="str">
        <f aca="false">IF(P81&gt;0,"Yes","No")</f>
        <v>No</v>
      </c>
    </row>
    <row r="82" customFormat="false" ht="15" hidden="false" customHeight="true" outlineLevel="0" collapsed="false">
      <c r="A82" s="21" t="s">
        <v>1042</v>
      </c>
      <c r="B82" s="21" t="s">
        <v>1043</v>
      </c>
      <c r="C82" s="21" t="s">
        <v>1038</v>
      </c>
      <c r="D82" s="21" t="s">
        <v>849</v>
      </c>
      <c r="E82" s="21" t="s">
        <v>854</v>
      </c>
      <c r="F82" s="21"/>
      <c r="G82" s="21"/>
      <c r="H82" s="21"/>
      <c r="I82" s="21"/>
      <c r="J82" s="21"/>
      <c r="K82" s="21"/>
      <c r="L82" s="21" t="s">
        <v>1039</v>
      </c>
      <c r="M82" s="21" t="str">
        <f aca="false">L82&amp;"|"&amp;E82</f>
        <v>Agent 3, MLLM call::content_out|Denial of Service</v>
      </c>
      <c r="N82" s="21" t="s">
        <v>1018</v>
      </c>
      <c r="O82" s="21" t="s">
        <v>863</v>
      </c>
      <c r="P82" s="21" t="n">
        <f aca="false">COUNTIF(Mapping!$G$2:$G$44,M82)</f>
        <v>0</v>
      </c>
      <c r="Q82" s="21" t="str">
        <f aca="false">IF(P82&gt;0,"Yes","No")</f>
        <v>No</v>
      </c>
    </row>
    <row r="83" customFormat="false" ht="15" hidden="false" customHeight="true" outlineLevel="0" collapsed="false">
      <c r="A83" s="21" t="s">
        <v>1044</v>
      </c>
      <c r="B83" s="21" t="s">
        <v>946</v>
      </c>
      <c r="C83" s="21" t="s">
        <v>1045</v>
      </c>
      <c r="D83" s="21" t="s">
        <v>849</v>
      </c>
      <c r="E83" s="21" t="s">
        <v>850</v>
      </c>
      <c r="F83" s="21"/>
      <c r="G83" s="21"/>
      <c r="H83" s="21"/>
      <c r="I83" s="21"/>
      <c r="J83" s="21"/>
      <c r="K83" s="21"/>
      <c r="L83" s="21" t="s">
        <v>1046</v>
      </c>
      <c r="M83" s="21" t="str">
        <f aca="false">L83&amp;"|"&amp;E83</f>
        <v>Agent 3, MLLM call::mllm_request|Information Disclosure</v>
      </c>
      <c r="N83" s="21" t="s">
        <v>1018</v>
      </c>
      <c r="O83" s="21" t="s">
        <v>863</v>
      </c>
      <c r="P83" s="21" t="n">
        <f aca="false">COUNTIF(Mapping!$G$2:$G$44,M83)</f>
        <v>0</v>
      </c>
      <c r="Q83" s="21" t="str">
        <f aca="false">IF(P83&gt;0,"Yes","No")</f>
        <v>No</v>
      </c>
    </row>
    <row r="84" customFormat="false" ht="15" hidden="false" customHeight="true" outlineLevel="0" collapsed="false">
      <c r="A84" s="21" t="s">
        <v>1047</v>
      </c>
      <c r="B84" s="21" t="s">
        <v>950</v>
      </c>
      <c r="C84" s="21" t="s">
        <v>1045</v>
      </c>
      <c r="D84" s="21" t="s">
        <v>849</v>
      </c>
      <c r="E84" s="21" t="s">
        <v>53</v>
      </c>
      <c r="F84" s="21"/>
      <c r="G84" s="21"/>
      <c r="H84" s="21"/>
      <c r="I84" s="21"/>
      <c r="J84" s="21"/>
      <c r="K84" s="21"/>
      <c r="L84" s="21" t="s">
        <v>1046</v>
      </c>
      <c r="M84" s="21" t="str">
        <f aca="false">L84&amp;"|"&amp;E84</f>
        <v>Agent 3, MLLM call::mllm_request|Tampering</v>
      </c>
      <c r="N84" s="21" t="s">
        <v>1018</v>
      </c>
      <c r="O84" s="21" t="s">
        <v>863</v>
      </c>
      <c r="P84" s="21" t="n">
        <f aca="false">COUNTIF(Mapping!$G$2:$G$44,M84)</f>
        <v>0</v>
      </c>
      <c r="Q84" s="21" t="str">
        <f aca="false">IF(P84&gt;0,"Yes","No")</f>
        <v>No</v>
      </c>
    </row>
    <row r="85" customFormat="false" ht="15" hidden="false" customHeight="true" outlineLevel="0" collapsed="false">
      <c r="A85" s="21" t="s">
        <v>1048</v>
      </c>
      <c r="B85" s="21" t="s">
        <v>952</v>
      </c>
      <c r="C85" s="21" t="s">
        <v>1045</v>
      </c>
      <c r="D85" s="21" t="s">
        <v>849</v>
      </c>
      <c r="E85" s="21" t="s">
        <v>854</v>
      </c>
      <c r="F85" s="21"/>
      <c r="G85" s="21"/>
      <c r="H85" s="21"/>
      <c r="I85" s="21"/>
      <c r="J85" s="21"/>
      <c r="K85" s="21"/>
      <c r="L85" s="21" t="s">
        <v>1046</v>
      </c>
      <c r="M85" s="21" t="str">
        <f aca="false">L85&amp;"|"&amp;E85</f>
        <v>Agent 3, MLLM call::mllm_request|Denial of Service</v>
      </c>
      <c r="N85" s="21" t="s">
        <v>1018</v>
      </c>
      <c r="O85" s="21" t="s">
        <v>863</v>
      </c>
      <c r="P85" s="21" t="n">
        <f aca="false">COUNTIF(Mapping!$G$2:$G$44,M85)</f>
        <v>0</v>
      </c>
      <c r="Q85" s="21" t="str">
        <f aca="false">IF(P85&gt;0,"Yes","No")</f>
        <v>No</v>
      </c>
    </row>
    <row r="86" customFormat="false" ht="15" hidden="false" customHeight="true" outlineLevel="0" collapsed="false">
      <c r="A86" s="21" t="s">
        <v>1049</v>
      </c>
      <c r="B86" s="21" t="s">
        <v>954</v>
      </c>
      <c r="C86" s="21" t="s">
        <v>1050</v>
      </c>
      <c r="D86" s="21" t="s">
        <v>849</v>
      </c>
      <c r="E86" s="21" t="s">
        <v>850</v>
      </c>
      <c r="F86" s="21"/>
      <c r="G86" s="21"/>
      <c r="H86" s="21"/>
      <c r="I86" s="21"/>
      <c r="J86" s="21"/>
      <c r="K86" s="21"/>
      <c r="L86" s="21" t="s">
        <v>1051</v>
      </c>
      <c r="M86" s="21" t="str">
        <f aca="false">L86&amp;"|"&amp;E86</f>
        <v>Agent 3, MLLM call::uu_mllm_link|Information Disclosure</v>
      </c>
      <c r="N86" s="21" t="s">
        <v>1018</v>
      </c>
      <c r="O86" s="21" t="s">
        <v>863</v>
      </c>
      <c r="P86" s="21" t="n">
        <f aca="false">COUNTIF(Mapping!$G$2:$G$44,M86)</f>
        <v>0</v>
      </c>
      <c r="Q86" s="21" t="str">
        <f aca="false">IF(P86&gt;0,"Yes","No")</f>
        <v>No</v>
      </c>
    </row>
    <row r="87" customFormat="false" ht="15" hidden="false" customHeight="true" outlineLevel="0" collapsed="false">
      <c r="A87" s="21" t="s">
        <v>1052</v>
      </c>
      <c r="B87" s="21" t="s">
        <v>958</v>
      </c>
      <c r="C87" s="21" t="s">
        <v>1050</v>
      </c>
      <c r="D87" s="21" t="s">
        <v>849</v>
      </c>
      <c r="E87" s="21" t="s">
        <v>53</v>
      </c>
      <c r="F87" s="21"/>
      <c r="G87" s="21"/>
      <c r="H87" s="21"/>
      <c r="I87" s="21"/>
      <c r="J87" s="21"/>
      <c r="K87" s="21"/>
      <c r="L87" s="21" t="s">
        <v>1051</v>
      </c>
      <c r="M87" s="21" t="str">
        <f aca="false">L87&amp;"|"&amp;E87</f>
        <v>Agent 3, MLLM call::uu_mllm_link|Tampering</v>
      </c>
      <c r="N87" s="21" t="s">
        <v>1018</v>
      </c>
      <c r="O87" s="21" t="s">
        <v>863</v>
      </c>
      <c r="P87" s="21" t="n">
        <f aca="false">COUNTIF(Mapping!$G$2:$G$44,M87)</f>
        <v>0</v>
      </c>
      <c r="Q87" s="21" t="str">
        <f aca="false">IF(P87&gt;0,"Yes","No")</f>
        <v>No</v>
      </c>
    </row>
    <row r="88" customFormat="false" ht="15" hidden="false" customHeight="true" outlineLevel="0" collapsed="false">
      <c r="A88" s="21" t="s">
        <v>1053</v>
      </c>
      <c r="B88" s="21" t="s">
        <v>960</v>
      </c>
      <c r="C88" s="21" t="s">
        <v>1050</v>
      </c>
      <c r="D88" s="21" t="s">
        <v>849</v>
      </c>
      <c r="E88" s="21" t="s">
        <v>854</v>
      </c>
      <c r="F88" s="21"/>
      <c r="G88" s="21"/>
      <c r="H88" s="21"/>
      <c r="I88" s="21"/>
      <c r="J88" s="21"/>
      <c r="K88" s="21"/>
      <c r="L88" s="21" t="s">
        <v>1051</v>
      </c>
      <c r="M88" s="21" t="str">
        <f aca="false">L88&amp;"|"&amp;E88</f>
        <v>Agent 3, MLLM call::uu_mllm_link|Denial of Service</v>
      </c>
      <c r="N88" s="21" t="s">
        <v>1018</v>
      </c>
      <c r="O88" s="21" t="s">
        <v>863</v>
      </c>
      <c r="P88" s="21" t="n">
        <f aca="false">COUNTIF(Mapping!$G$2:$G$44,M88)</f>
        <v>0</v>
      </c>
      <c r="Q88" s="21" t="str">
        <f aca="false">IF(P88&gt;0,"Yes","No")</f>
        <v>No</v>
      </c>
    </row>
    <row r="89" customFormat="false" ht="15" hidden="false" customHeight="true" outlineLevel="0" collapsed="false">
      <c r="A89" s="21" t="s">
        <v>1054</v>
      </c>
      <c r="B89" s="21" t="s">
        <v>1055</v>
      </c>
      <c r="C89" s="21" t="s">
        <v>1056</v>
      </c>
      <c r="D89" s="21" t="s">
        <v>849</v>
      </c>
      <c r="E89" s="21" t="s">
        <v>850</v>
      </c>
      <c r="F89" s="21"/>
      <c r="G89" s="21"/>
      <c r="H89" s="21"/>
      <c r="I89" s="21"/>
      <c r="J89" s="21"/>
      <c r="K89" s="21"/>
      <c r="L89" s="21" t="s">
        <v>1057</v>
      </c>
      <c r="M89" s="21" t="str">
        <f aca="false">L89&amp;"|"&amp;E89</f>
        <v>content_out ↔ content_in|Information Disclosure</v>
      </c>
      <c r="N89" s="21" t="s">
        <v>872</v>
      </c>
      <c r="O89" s="21" t="s">
        <v>873</v>
      </c>
      <c r="P89" s="21" t="n">
        <f aca="false">COUNTIF(Mapping!$G$2:$G$44,M89)</f>
        <v>0</v>
      </c>
      <c r="Q89" s="21" t="str">
        <f aca="false">IF(P89&gt;0,"Yes","No")</f>
        <v>No</v>
      </c>
    </row>
    <row r="90" customFormat="false" ht="15" hidden="false" customHeight="true" outlineLevel="0" collapsed="false">
      <c r="A90" s="21" t="s">
        <v>1058</v>
      </c>
      <c r="B90" s="21" t="s">
        <v>1059</v>
      </c>
      <c r="C90" s="21" t="s">
        <v>1056</v>
      </c>
      <c r="D90" s="21" t="s">
        <v>849</v>
      </c>
      <c r="E90" s="21" t="s">
        <v>53</v>
      </c>
      <c r="F90" s="21"/>
      <c r="G90" s="21"/>
      <c r="H90" s="21"/>
      <c r="I90" s="21"/>
      <c r="J90" s="21"/>
      <c r="K90" s="21"/>
      <c r="L90" s="21" t="s">
        <v>1057</v>
      </c>
      <c r="M90" s="21" t="str">
        <f aca="false">L90&amp;"|"&amp;E90</f>
        <v>content_out ↔ content_in|Tampering</v>
      </c>
      <c r="N90" s="21" t="s">
        <v>872</v>
      </c>
      <c r="O90" s="21" t="s">
        <v>873</v>
      </c>
      <c r="P90" s="21" t="n">
        <f aca="false">COUNTIF(Mapping!$G$2:$G$44,M90)</f>
        <v>0</v>
      </c>
      <c r="Q90" s="21" t="str">
        <f aca="false">IF(P90&gt;0,"Yes","No")</f>
        <v>No</v>
      </c>
    </row>
    <row r="91" customFormat="false" ht="15" hidden="false" customHeight="true" outlineLevel="0" collapsed="false">
      <c r="A91" s="21" t="s">
        <v>1060</v>
      </c>
      <c r="B91" s="21" t="s">
        <v>1061</v>
      </c>
      <c r="C91" s="21" t="s">
        <v>1056</v>
      </c>
      <c r="D91" s="21" t="s">
        <v>849</v>
      </c>
      <c r="E91" s="21" t="s">
        <v>854</v>
      </c>
      <c r="F91" s="21"/>
      <c r="G91" s="21"/>
      <c r="H91" s="21"/>
      <c r="I91" s="21"/>
      <c r="J91" s="21"/>
      <c r="K91" s="21"/>
      <c r="L91" s="21" t="s">
        <v>1057</v>
      </c>
      <c r="M91" s="21" t="str">
        <f aca="false">L91&amp;"|"&amp;E91</f>
        <v>content_out ↔ content_in|Denial of Service</v>
      </c>
      <c r="N91" s="21" t="s">
        <v>872</v>
      </c>
      <c r="O91" s="21" t="s">
        <v>873</v>
      </c>
      <c r="P91" s="21" t="n">
        <f aca="false">COUNTIF(Mapping!$G$2:$G$44,M91)</f>
        <v>0</v>
      </c>
      <c r="Q91" s="21" t="str">
        <f aca="false">IF(P91&gt;0,"Yes","No")</f>
        <v>No</v>
      </c>
    </row>
    <row r="92" customFormat="false" ht="15" hidden="false" customHeight="true" outlineLevel="0" collapsed="false">
      <c r="A92" s="21" t="s">
        <v>1062</v>
      </c>
      <c r="B92" s="21" t="s">
        <v>1063</v>
      </c>
      <c r="C92" s="21" t="s">
        <v>1064</v>
      </c>
      <c r="D92" s="21" t="s">
        <v>849</v>
      </c>
      <c r="E92" s="21" t="s">
        <v>850</v>
      </c>
      <c r="F92" s="21"/>
      <c r="G92" s="21"/>
      <c r="H92" s="21"/>
      <c r="I92" s="21"/>
      <c r="J92" s="21"/>
      <c r="K92" s="21"/>
      <c r="L92" s="21" t="s">
        <v>1065</v>
      </c>
      <c r="M92" s="21" t="str">
        <f aca="false">L92&amp;"|"&amp;E92</f>
        <v>mllm_request ↔ mllm_in_2|Information Disclosure</v>
      </c>
      <c r="N92" s="21" t="s">
        <v>872</v>
      </c>
      <c r="O92" s="21" t="s">
        <v>873</v>
      </c>
      <c r="P92" s="21" t="n">
        <f aca="false">COUNTIF(Mapping!$G$2:$G$44,M92)</f>
        <v>0</v>
      </c>
      <c r="Q92" s="21" t="str">
        <f aca="false">IF(P92&gt;0,"Yes","No")</f>
        <v>No</v>
      </c>
    </row>
    <row r="93" customFormat="false" ht="15" hidden="false" customHeight="true" outlineLevel="0" collapsed="false">
      <c r="A93" s="21" t="s">
        <v>1066</v>
      </c>
      <c r="B93" s="21" t="s">
        <v>1067</v>
      </c>
      <c r="C93" s="21" t="s">
        <v>1064</v>
      </c>
      <c r="D93" s="21" t="s">
        <v>849</v>
      </c>
      <c r="E93" s="21" t="s">
        <v>53</v>
      </c>
      <c r="F93" s="21"/>
      <c r="G93" s="21"/>
      <c r="H93" s="21"/>
      <c r="I93" s="21"/>
      <c r="J93" s="21"/>
      <c r="K93" s="21"/>
      <c r="L93" s="21" t="s">
        <v>1065</v>
      </c>
      <c r="M93" s="21" t="str">
        <f aca="false">L93&amp;"|"&amp;E93</f>
        <v>mllm_request ↔ mllm_in_2|Tampering</v>
      </c>
      <c r="N93" s="21" t="s">
        <v>872</v>
      </c>
      <c r="O93" s="21" t="s">
        <v>873</v>
      </c>
      <c r="P93" s="21" t="n">
        <f aca="false">COUNTIF(Mapping!$G$2:$G$44,M93)</f>
        <v>0</v>
      </c>
      <c r="Q93" s="21" t="str">
        <f aca="false">IF(P93&gt;0,"Yes","No")</f>
        <v>No</v>
      </c>
    </row>
    <row r="94" customFormat="false" ht="15" hidden="false" customHeight="true" outlineLevel="0" collapsed="false">
      <c r="A94" s="21" t="s">
        <v>1068</v>
      </c>
      <c r="B94" s="21" t="s">
        <v>1069</v>
      </c>
      <c r="C94" s="21" t="s">
        <v>1064</v>
      </c>
      <c r="D94" s="21" t="s">
        <v>849</v>
      </c>
      <c r="E94" s="21" t="s">
        <v>854</v>
      </c>
      <c r="F94" s="21"/>
      <c r="G94" s="21"/>
      <c r="H94" s="21"/>
      <c r="I94" s="21"/>
      <c r="J94" s="21"/>
      <c r="K94" s="21"/>
      <c r="L94" s="21" t="s">
        <v>1065</v>
      </c>
      <c r="M94" s="21" t="str">
        <f aca="false">L94&amp;"|"&amp;E94</f>
        <v>mllm_request ↔ mllm_in_2|Denial of Service</v>
      </c>
      <c r="N94" s="21" t="s">
        <v>872</v>
      </c>
      <c r="O94" s="21" t="s">
        <v>873</v>
      </c>
      <c r="P94" s="21" t="n">
        <f aca="false">COUNTIF(Mapping!$G$2:$G$44,M94)</f>
        <v>0</v>
      </c>
      <c r="Q94" s="21" t="str">
        <f aca="false">IF(P94&gt;0,"Yes","No")</f>
        <v>No</v>
      </c>
    </row>
    <row r="95" customFormat="false" ht="15" hidden="false" customHeight="true" outlineLevel="0" collapsed="false">
      <c r="A95" s="21" t="s">
        <v>1070</v>
      </c>
      <c r="B95" s="21" t="s">
        <v>1071</v>
      </c>
      <c r="C95" s="21" t="s">
        <v>1072</v>
      </c>
      <c r="D95" s="21" t="s">
        <v>849</v>
      </c>
      <c r="E95" s="21" t="s">
        <v>850</v>
      </c>
      <c r="F95" s="21"/>
      <c r="G95" s="21"/>
      <c r="H95" s="21"/>
      <c r="I95" s="21"/>
      <c r="J95" s="21"/>
      <c r="K95" s="21"/>
      <c r="L95" s="21" t="s">
        <v>1073</v>
      </c>
      <c r="M95" s="21" t="str">
        <f aca="false">L95&amp;"|"&amp;E95</f>
        <v>uu_mllm_link ↔ mllm_link_2|Information Disclosure</v>
      </c>
      <c r="N95" s="21" t="s">
        <v>872</v>
      </c>
      <c r="O95" s="21" t="s">
        <v>873</v>
      </c>
      <c r="P95" s="21" t="n">
        <f aca="false">COUNTIF(Mapping!$G$2:$G$44,M95)</f>
        <v>0</v>
      </c>
      <c r="Q95" s="21" t="str">
        <f aca="false">IF(P95&gt;0,"Yes","No")</f>
        <v>No</v>
      </c>
    </row>
    <row r="96" customFormat="false" ht="15" hidden="false" customHeight="true" outlineLevel="0" collapsed="false">
      <c r="A96" s="21" t="s">
        <v>1074</v>
      </c>
      <c r="B96" s="21" t="s">
        <v>1075</v>
      </c>
      <c r="C96" s="21" t="s">
        <v>1072</v>
      </c>
      <c r="D96" s="21" t="s">
        <v>849</v>
      </c>
      <c r="E96" s="21" t="s">
        <v>53</v>
      </c>
      <c r="F96" s="21"/>
      <c r="G96" s="21"/>
      <c r="H96" s="21"/>
      <c r="I96" s="21"/>
      <c r="J96" s="21"/>
      <c r="K96" s="21"/>
      <c r="L96" s="21" t="s">
        <v>1073</v>
      </c>
      <c r="M96" s="21" t="str">
        <f aca="false">L96&amp;"|"&amp;E96</f>
        <v>uu_mllm_link ↔ mllm_link_2|Tampering</v>
      </c>
      <c r="N96" s="21" t="s">
        <v>872</v>
      </c>
      <c r="O96" s="21" t="s">
        <v>873</v>
      </c>
      <c r="P96" s="21" t="n">
        <f aca="false">COUNTIF(Mapping!$G$2:$G$44,M96)</f>
        <v>0</v>
      </c>
      <c r="Q96" s="21" t="str">
        <f aca="false">IF(P96&gt;0,"Yes","No")</f>
        <v>No</v>
      </c>
    </row>
    <row r="97" customFormat="false" ht="15" hidden="false" customHeight="true" outlineLevel="0" collapsed="false">
      <c r="A97" s="21" t="s">
        <v>1076</v>
      </c>
      <c r="B97" s="21" t="s">
        <v>1077</v>
      </c>
      <c r="C97" s="21" t="s">
        <v>1072</v>
      </c>
      <c r="D97" s="21" t="s">
        <v>849</v>
      </c>
      <c r="E97" s="21" t="s">
        <v>854</v>
      </c>
      <c r="F97" s="21"/>
      <c r="G97" s="21"/>
      <c r="H97" s="21"/>
      <c r="I97" s="21"/>
      <c r="J97" s="21"/>
      <c r="K97" s="21"/>
      <c r="L97" s="21" t="s">
        <v>1073</v>
      </c>
      <c r="M97" s="21" t="str">
        <f aca="false">L97&amp;"|"&amp;E97</f>
        <v>uu_mllm_link ↔ mllm_link_2|Denial of Service</v>
      </c>
      <c r="N97" s="21" t="s">
        <v>872</v>
      </c>
      <c r="O97" s="21" t="s">
        <v>873</v>
      </c>
      <c r="P97" s="21" t="n">
        <f aca="false">COUNTIF(Mapping!$G$2:$G$44,M97)</f>
        <v>0</v>
      </c>
      <c r="Q97" s="21" t="str">
        <f aca="false">IF(P97&gt;0,"Yes","No")</f>
        <v>No</v>
      </c>
    </row>
    <row r="98" customFormat="false" ht="15" hidden="false" customHeight="true" outlineLevel="0" collapsed="false">
      <c r="A98" s="21" t="s">
        <v>1078</v>
      </c>
      <c r="B98" s="21" t="s">
        <v>1079</v>
      </c>
      <c r="C98" s="21" t="s">
        <v>1080</v>
      </c>
      <c r="D98" s="21" t="s">
        <v>849</v>
      </c>
      <c r="E98" s="21" t="s">
        <v>850</v>
      </c>
      <c r="F98" s="21"/>
      <c r="G98" s="21"/>
      <c r="H98" s="21"/>
      <c r="I98" s="21"/>
      <c r="J98" s="21"/>
      <c r="K98" s="21"/>
      <c r="L98" s="21" t="s">
        <v>1081</v>
      </c>
      <c r="M98" s="21" t="str">
        <f aca="false">L98&amp;"|"&amp;E98</f>
        <v>ASN.1 UPER payload|Information Disclosure</v>
      </c>
      <c r="N98" s="21" t="s">
        <v>1081</v>
      </c>
      <c r="O98" s="21" t="s">
        <v>842</v>
      </c>
      <c r="P98" s="21" t="n">
        <f aca="false">COUNTIF(Mapping!$G$2:$G$44,M98)</f>
        <v>0</v>
      </c>
      <c r="Q98" s="21" t="str">
        <f aca="false">IF(P98&gt;0,"Yes","No")</f>
        <v>No</v>
      </c>
    </row>
    <row r="99" customFormat="false" ht="15" hidden="false" customHeight="true" outlineLevel="0" collapsed="false">
      <c r="A99" s="21" t="s">
        <v>95</v>
      </c>
      <c r="B99" s="21" t="s">
        <v>1082</v>
      </c>
      <c r="C99" s="21" t="s">
        <v>1080</v>
      </c>
      <c r="D99" s="21" t="s">
        <v>849</v>
      </c>
      <c r="E99" s="21" t="s">
        <v>53</v>
      </c>
      <c r="F99" s="21"/>
      <c r="G99" s="21"/>
      <c r="H99" s="21"/>
      <c r="I99" s="21"/>
      <c r="J99" s="21"/>
      <c r="K99" s="21"/>
      <c r="L99" s="21" t="s">
        <v>1081</v>
      </c>
      <c r="M99" s="21" t="str">
        <f aca="false">L99&amp;"|"&amp;E99</f>
        <v>ASN.1 UPER payload|Tampering</v>
      </c>
      <c r="N99" s="21" t="s">
        <v>1081</v>
      </c>
      <c r="O99" s="21" t="s">
        <v>842</v>
      </c>
      <c r="P99" s="21" t="n">
        <f aca="false">COUNTIF(Mapping!$G$2:$G$44,M99)</f>
        <v>1</v>
      </c>
      <c r="Q99" s="21" t="str">
        <f aca="false">IF(P99&gt;0,"Yes","No")</f>
        <v>Yes</v>
      </c>
    </row>
    <row r="100" customFormat="false" ht="15" hidden="false" customHeight="true" outlineLevel="0" collapsed="false">
      <c r="A100" s="21" t="s">
        <v>1083</v>
      </c>
      <c r="B100" s="21" t="s">
        <v>1084</v>
      </c>
      <c r="C100" s="21" t="s">
        <v>1080</v>
      </c>
      <c r="D100" s="21" t="s">
        <v>849</v>
      </c>
      <c r="E100" s="21" t="s">
        <v>854</v>
      </c>
      <c r="F100" s="21"/>
      <c r="G100" s="21"/>
      <c r="H100" s="21"/>
      <c r="I100" s="21"/>
      <c r="J100" s="21"/>
      <c r="K100" s="21"/>
      <c r="L100" s="21" t="s">
        <v>1081</v>
      </c>
      <c r="M100" s="21" t="str">
        <f aca="false">L100&amp;"|"&amp;E100</f>
        <v>ASN.1 UPER payload|Denial of Service</v>
      </c>
      <c r="N100" s="21" t="s">
        <v>1081</v>
      </c>
      <c r="O100" s="21" t="s">
        <v>842</v>
      </c>
      <c r="P100" s="21" t="n">
        <f aca="false">COUNTIF(Mapping!$G$2:$G$44,M100)</f>
        <v>0</v>
      </c>
      <c r="Q100" s="21" t="str">
        <f aca="false">IF(P100&gt;0,"Yes","No")</f>
        <v>No</v>
      </c>
    </row>
    <row r="101" customFormat="false" ht="15" hidden="false" customHeight="true" outlineLevel="0" collapsed="false">
      <c r="A101" s="21" t="s">
        <v>1085</v>
      </c>
      <c r="B101" s="21" t="s">
        <v>1086</v>
      </c>
      <c r="C101" s="21" t="s">
        <v>1080</v>
      </c>
      <c r="D101" s="21" t="s">
        <v>849</v>
      </c>
      <c r="E101" s="21" t="s">
        <v>33</v>
      </c>
      <c r="F101" s="21"/>
      <c r="G101" s="21"/>
      <c r="H101" s="21"/>
      <c r="I101" s="21"/>
      <c r="J101" s="21"/>
      <c r="K101" s="21"/>
      <c r="L101" s="21" t="s">
        <v>1081</v>
      </c>
      <c r="M101" s="21" t="str">
        <f aca="false">L101&amp;"|"&amp;E101</f>
        <v>ASN.1 UPER payload|Spoofing</v>
      </c>
      <c r="N101" s="21" t="s">
        <v>1081</v>
      </c>
      <c r="O101" s="21" t="s">
        <v>842</v>
      </c>
      <c r="P101" s="21" t="n">
        <f aca="false">COUNTIF(Mapping!$G$2:$G$44,M101)</f>
        <v>0</v>
      </c>
      <c r="Q101" s="21" t="str">
        <f aca="false">IF(P101&gt;0,"Yes","No")</f>
        <v>No</v>
      </c>
    </row>
    <row r="102" customFormat="false" ht="15" hidden="false" customHeight="true" outlineLevel="0" collapsed="false">
      <c r="A102" s="21" t="s">
        <v>778</v>
      </c>
      <c r="B102" s="21" t="s">
        <v>1087</v>
      </c>
      <c r="C102" s="21" t="s">
        <v>1080</v>
      </c>
      <c r="D102" s="21" t="s">
        <v>849</v>
      </c>
      <c r="E102" s="21" t="s">
        <v>857</v>
      </c>
      <c r="F102" s="21"/>
      <c r="G102" s="21"/>
      <c r="H102" s="21"/>
      <c r="I102" s="21"/>
      <c r="J102" s="21"/>
      <c r="K102" s="21"/>
      <c r="L102" s="21" t="s">
        <v>1081</v>
      </c>
      <c r="M102" s="21" t="str">
        <f aca="false">L102&amp;"|"&amp;E102</f>
        <v>ASN.1 UPER payload|Elevation of Privilege</v>
      </c>
      <c r="N102" s="21" t="s">
        <v>1081</v>
      </c>
      <c r="O102" s="21" t="s">
        <v>842</v>
      </c>
      <c r="P102" s="21" t="n">
        <f aca="false">COUNTIF(Mapping!$G$2:$G$44,M102)</f>
        <v>0</v>
      </c>
      <c r="Q102" s="21" t="str">
        <f aca="false">IF(P102&gt;0,"Yes","No")</f>
        <v>No</v>
      </c>
    </row>
    <row r="103" customFormat="false" ht="15" hidden="false" customHeight="true" outlineLevel="0" collapsed="false">
      <c r="A103" s="21" t="s">
        <v>1088</v>
      </c>
      <c r="B103" s="21" t="s">
        <v>1089</v>
      </c>
      <c r="C103" s="21" t="s">
        <v>1080</v>
      </c>
      <c r="D103" s="21" t="s">
        <v>849</v>
      </c>
      <c r="E103" s="21" t="s">
        <v>307</v>
      </c>
      <c r="F103" s="21"/>
      <c r="G103" s="21"/>
      <c r="H103" s="21"/>
      <c r="I103" s="21"/>
      <c r="J103" s="21"/>
      <c r="K103" s="21"/>
      <c r="L103" s="21" t="s">
        <v>1081</v>
      </c>
      <c r="M103" s="21" t="str">
        <f aca="false">L103&amp;"|"&amp;E103</f>
        <v>ASN.1 UPER payload|Repudiation</v>
      </c>
      <c r="N103" s="21" t="s">
        <v>1081</v>
      </c>
      <c r="O103" s="21" t="s">
        <v>842</v>
      </c>
      <c r="P103" s="21" t="n">
        <f aca="false">COUNTIF(Mapping!$G$2:$G$44,M103)</f>
        <v>1</v>
      </c>
      <c r="Q103" s="21" t="str">
        <f aca="false">IF(P103&gt;0,"Yes","No")</f>
        <v>Yes</v>
      </c>
    </row>
    <row r="104" customFormat="false" ht="15" hidden="false" customHeight="true" outlineLevel="0" collapsed="false">
      <c r="A104" s="21" t="s">
        <v>1090</v>
      </c>
      <c r="B104" s="21" t="s">
        <v>1091</v>
      </c>
      <c r="C104" s="21" t="s">
        <v>1092</v>
      </c>
      <c r="D104" s="21" t="s">
        <v>849</v>
      </c>
      <c r="E104" s="21" t="s">
        <v>850</v>
      </c>
      <c r="F104" s="21"/>
      <c r="G104" s="21"/>
      <c r="H104" s="21"/>
      <c r="I104" s="21"/>
      <c r="J104" s="21"/>
      <c r="K104" s="21"/>
      <c r="L104" s="21" t="s">
        <v>1093</v>
      </c>
      <c r="M104" s="21" t="str">
        <f aca="false">L104&amp;"|"&amp;E104</f>
        <v>ASN.1 UPER payload::content_in|Information Disclosure</v>
      </c>
      <c r="N104" s="21" t="s">
        <v>1081</v>
      </c>
      <c r="O104" s="21" t="s">
        <v>863</v>
      </c>
      <c r="P104" s="21" t="n">
        <f aca="false">COUNTIF(Mapping!$G$2:$G$44,M104)</f>
        <v>0</v>
      </c>
      <c r="Q104" s="21" t="str">
        <f aca="false">IF(P104&gt;0,"Yes","No")</f>
        <v>No</v>
      </c>
    </row>
    <row r="105" customFormat="false" ht="15" hidden="false" customHeight="true" outlineLevel="0" collapsed="false">
      <c r="A105" s="21" t="s">
        <v>1094</v>
      </c>
      <c r="B105" s="21" t="s">
        <v>1095</v>
      </c>
      <c r="C105" s="21" t="s">
        <v>1092</v>
      </c>
      <c r="D105" s="21" t="s">
        <v>849</v>
      </c>
      <c r="E105" s="21" t="s">
        <v>53</v>
      </c>
      <c r="F105" s="21"/>
      <c r="G105" s="21"/>
      <c r="H105" s="21"/>
      <c r="I105" s="21"/>
      <c r="J105" s="21"/>
      <c r="K105" s="21"/>
      <c r="L105" s="21" t="s">
        <v>1093</v>
      </c>
      <c r="M105" s="21" t="str">
        <f aca="false">L105&amp;"|"&amp;E105</f>
        <v>ASN.1 UPER payload::content_in|Tampering</v>
      </c>
      <c r="N105" s="21" t="s">
        <v>1081</v>
      </c>
      <c r="O105" s="21" t="s">
        <v>863</v>
      </c>
      <c r="P105" s="21" t="n">
        <f aca="false">COUNTIF(Mapping!$G$2:$G$44,M105)</f>
        <v>0</v>
      </c>
      <c r="Q105" s="21" t="str">
        <f aca="false">IF(P105&gt;0,"Yes","No")</f>
        <v>No</v>
      </c>
    </row>
    <row r="106" customFormat="false" ht="15" hidden="false" customHeight="true" outlineLevel="0" collapsed="false">
      <c r="A106" s="21" t="s">
        <v>1096</v>
      </c>
      <c r="B106" s="21" t="s">
        <v>1097</v>
      </c>
      <c r="C106" s="21" t="s">
        <v>1092</v>
      </c>
      <c r="D106" s="21" t="s">
        <v>849</v>
      </c>
      <c r="E106" s="21" t="s">
        <v>854</v>
      </c>
      <c r="F106" s="21"/>
      <c r="G106" s="21"/>
      <c r="H106" s="21"/>
      <c r="I106" s="21"/>
      <c r="J106" s="21"/>
      <c r="K106" s="21"/>
      <c r="L106" s="21" t="s">
        <v>1093</v>
      </c>
      <c r="M106" s="21" t="str">
        <f aca="false">L106&amp;"|"&amp;E106</f>
        <v>ASN.1 UPER payload::content_in|Denial of Service</v>
      </c>
      <c r="N106" s="21" t="s">
        <v>1081</v>
      </c>
      <c r="O106" s="21" t="s">
        <v>863</v>
      </c>
      <c r="P106" s="21" t="n">
        <f aca="false">COUNTIF(Mapping!$G$2:$G$44,M106)</f>
        <v>0</v>
      </c>
      <c r="Q106" s="21" t="str">
        <f aca="false">IF(P106&gt;0,"Yes","No")</f>
        <v>No</v>
      </c>
    </row>
    <row r="107" customFormat="false" ht="15" hidden="false" customHeight="true" outlineLevel="0" collapsed="false">
      <c r="A107" s="21" t="s">
        <v>1098</v>
      </c>
      <c r="B107" s="21" t="s">
        <v>1099</v>
      </c>
      <c r="C107" s="21" t="s">
        <v>1100</v>
      </c>
      <c r="D107" s="21" t="s">
        <v>849</v>
      </c>
      <c r="E107" s="21" t="s">
        <v>850</v>
      </c>
      <c r="F107" s="21"/>
      <c r="G107" s="21"/>
      <c r="H107" s="21"/>
      <c r="I107" s="21"/>
      <c r="J107" s="21"/>
      <c r="K107" s="21"/>
      <c r="L107" s="21" t="s">
        <v>1101</v>
      </c>
      <c r="M107" s="21" t="str">
        <f aca="false">L107&amp;"|"&amp;E107</f>
        <v>ASN.1 UPER payload::denm_out|Information Disclosure</v>
      </c>
      <c r="N107" s="21" t="s">
        <v>1081</v>
      </c>
      <c r="O107" s="21" t="s">
        <v>863</v>
      </c>
      <c r="P107" s="21" t="n">
        <f aca="false">COUNTIF(Mapping!$G$2:$G$44,M107)</f>
        <v>0</v>
      </c>
      <c r="Q107" s="21" t="str">
        <f aca="false">IF(P107&gt;0,"Yes","No")</f>
        <v>No</v>
      </c>
    </row>
    <row r="108" customFormat="false" ht="15" hidden="false" customHeight="true" outlineLevel="0" collapsed="false">
      <c r="A108" s="21" t="s">
        <v>1102</v>
      </c>
      <c r="B108" s="21" t="s">
        <v>1103</v>
      </c>
      <c r="C108" s="21" t="s">
        <v>1100</v>
      </c>
      <c r="D108" s="21" t="s">
        <v>849</v>
      </c>
      <c r="E108" s="21" t="s">
        <v>53</v>
      </c>
      <c r="F108" s="21"/>
      <c r="G108" s="21"/>
      <c r="H108" s="21"/>
      <c r="I108" s="21"/>
      <c r="J108" s="21"/>
      <c r="K108" s="21"/>
      <c r="L108" s="21" t="s">
        <v>1101</v>
      </c>
      <c r="M108" s="21" t="str">
        <f aca="false">L108&amp;"|"&amp;E108</f>
        <v>ASN.1 UPER payload::denm_out|Tampering</v>
      </c>
      <c r="N108" s="21" t="s">
        <v>1081</v>
      </c>
      <c r="O108" s="21" t="s">
        <v>863</v>
      </c>
      <c r="P108" s="21" t="n">
        <f aca="false">COUNTIF(Mapping!$G$2:$G$44,M108)</f>
        <v>0</v>
      </c>
      <c r="Q108" s="21" t="str">
        <f aca="false">IF(P108&gt;0,"Yes","No")</f>
        <v>No</v>
      </c>
    </row>
    <row r="109" customFormat="false" ht="15" hidden="false" customHeight="true" outlineLevel="0" collapsed="false">
      <c r="A109" s="21" t="s">
        <v>1104</v>
      </c>
      <c r="B109" s="21" t="s">
        <v>1105</v>
      </c>
      <c r="C109" s="21" t="s">
        <v>1100</v>
      </c>
      <c r="D109" s="21" t="s">
        <v>849</v>
      </c>
      <c r="E109" s="21" t="s">
        <v>854</v>
      </c>
      <c r="F109" s="21"/>
      <c r="G109" s="21"/>
      <c r="H109" s="21"/>
      <c r="I109" s="21"/>
      <c r="J109" s="21"/>
      <c r="K109" s="21"/>
      <c r="L109" s="21" t="s">
        <v>1101</v>
      </c>
      <c r="M109" s="21" t="str">
        <f aca="false">L109&amp;"|"&amp;E109</f>
        <v>ASN.1 UPER payload::denm_out|Denial of Service</v>
      </c>
      <c r="N109" s="21" t="s">
        <v>1081</v>
      </c>
      <c r="O109" s="21" t="s">
        <v>863</v>
      </c>
      <c r="P109" s="21" t="n">
        <f aca="false">COUNTIF(Mapping!$G$2:$G$44,M109)</f>
        <v>0</v>
      </c>
      <c r="Q109" s="21" t="str">
        <f aca="false">IF(P109&gt;0,"Yes","No")</f>
        <v>No</v>
      </c>
    </row>
    <row r="110" customFormat="false" ht="15" hidden="false" customHeight="true" outlineLevel="0" collapsed="false">
      <c r="A110" s="21" t="s">
        <v>1106</v>
      </c>
      <c r="B110" s="21" t="s">
        <v>1107</v>
      </c>
      <c r="C110" s="21" t="s">
        <v>1108</v>
      </c>
      <c r="D110" s="21" t="s">
        <v>849</v>
      </c>
      <c r="E110" s="21" t="s">
        <v>850</v>
      </c>
      <c r="F110" s="21"/>
      <c r="G110" s="21"/>
      <c r="H110" s="21"/>
      <c r="I110" s="21"/>
      <c r="J110" s="21"/>
      <c r="K110" s="21"/>
      <c r="L110" s="21" t="s">
        <v>1109</v>
      </c>
      <c r="M110" s="21" t="str">
        <f aca="false">L110&amp;"|"&amp;E110</f>
        <v>denm_out ↔ denm_in|Information Disclosure</v>
      </c>
      <c r="N110" s="21" t="s">
        <v>872</v>
      </c>
      <c r="O110" s="21" t="s">
        <v>873</v>
      </c>
      <c r="P110" s="21" t="n">
        <f aca="false">COUNTIF(Mapping!$G$2:$G$44,M110)</f>
        <v>0</v>
      </c>
      <c r="Q110" s="21" t="str">
        <f aca="false">IF(P110&gt;0,"Yes","No")</f>
        <v>No</v>
      </c>
    </row>
    <row r="111" customFormat="false" ht="15" hidden="false" customHeight="true" outlineLevel="0" collapsed="false">
      <c r="A111" s="21" t="s">
        <v>1110</v>
      </c>
      <c r="B111" s="21" t="s">
        <v>1111</v>
      </c>
      <c r="C111" s="21" t="s">
        <v>1108</v>
      </c>
      <c r="D111" s="21" t="s">
        <v>849</v>
      </c>
      <c r="E111" s="21" t="s">
        <v>53</v>
      </c>
      <c r="F111" s="21"/>
      <c r="G111" s="21"/>
      <c r="H111" s="21"/>
      <c r="I111" s="21"/>
      <c r="J111" s="21"/>
      <c r="K111" s="21"/>
      <c r="L111" s="21" t="s">
        <v>1109</v>
      </c>
      <c r="M111" s="21" t="str">
        <f aca="false">L111&amp;"|"&amp;E111</f>
        <v>denm_out ↔ denm_in|Tampering</v>
      </c>
      <c r="N111" s="21" t="s">
        <v>872</v>
      </c>
      <c r="O111" s="21" t="s">
        <v>873</v>
      </c>
      <c r="P111" s="21" t="n">
        <f aca="false">COUNTIF(Mapping!$G$2:$G$44,M111)</f>
        <v>1</v>
      </c>
      <c r="Q111" s="21" t="str">
        <f aca="false">IF(P111&gt;0,"Yes","No")</f>
        <v>Yes</v>
      </c>
    </row>
    <row r="112" customFormat="false" ht="15" hidden="false" customHeight="true" outlineLevel="0" collapsed="false">
      <c r="A112" s="21" t="s">
        <v>1112</v>
      </c>
      <c r="B112" s="21" t="s">
        <v>1113</v>
      </c>
      <c r="C112" s="21" t="s">
        <v>1108</v>
      </c>
      <c r="D112" s="21" t="s">
        <v>849</v>
      </c>
      <c r="E112" s="21" t="s">
        <v>854</v>
      </c>
      <c r="F112" s="21"/>
      <c r="G112" s="21"/>
      <c r="H112" s="21"/>
      <c r="I112" s="21"/>
      <c r="J112" s="21"/>
      <c r="K112" s="21"/>
      <c r="L112" s="21" t="s">
        <v>1109</v>
      </c>
      <c r="M112" s="21" t="str">
        <f aca="false">L112&amp;"|"&amp;E112</f>
        <v>denm_out ↔ denm_in|Denial of Service</v>
      </c>
      <c r="N112" s="21" t="s">
        <v>872</v>
      </c>
      <c r="O112" s="21" t="s">
        <v>873</v>
      </c>
      <c r="P112" s="21" t="n">
        <f aca="false">COUNTIF(Mapping!$G$2:$G$44,M112)</f>
        <v>0</v>
      </c>
      <c r="Q112" s="21" t="str">
        <f aca="false">IF(P112&gt;0,"Yes","No")</f>
        <v>No</v>
      </c>
    </row>
    <row r="113" customFormat="false" ht="15" hidden="false" customHeight="true" outlineLevel="0" collapsed="false">
      <c r="A113" s="21" t="s">
        <v>138</v>
      </c>
      <c r="B113" s="21" t="s">
        <v>1114</v>
      </c>
      <c r="C113" s="21" t="s">
        <v>1115</v>
      </c>
      <c r="D113" s="21" t="s">
        <v>849</v>
      </c>
      <c r="E113" s="21" t="s">
        <v>850</v>
      </c>
      <c r="F113" s="21"/>
      <c r="G113" s="21"/>
      <c r="H113" s="21"/>
      <c r="I113" s="21"/>
      <c r="J113" s="21"/>
      <c r="K113" s="21"/>
      <c r="L113" s="21" t="s">
        <v>1116</v>
      </c>
      <c r="M113" s="21" t="str">
        <f aca="false">L113&amp;"|"&amp;E113</f>
        <v>Signs, PC5, HSM|Information Disclosure</v>
      </c>
      <c r="N113" s="21" t="s">
        <v>1116</v>
      </c>
      <c r="O113" s="21" t="s">
        <v>842</v>
      </c>
      <c r="P113" s="21" t="n">
        <f aca="false">COUNTIF(Mapping!$G$2:$G$44,M113)</f>
        <v>1</v>
      </c>
      <c r="Q113" s="21" t="str">
        <f aca="false">IF(P113&gt;0,"Yes","No")</f>
        <v>Yes</v>
      </c>
    </row>
    <row r="114" customFormat="false" ht="15" hidden="false" customHeight="true" outlineLevel="0" collapsed="false">
      <c r="A114" s="21" t="s">
        <v>122</v>
      </c>
      <c r="B114" s="21" t="s">
        <v>1117</v>
      </c>
      <c r="C114" s="21" t="s">
        <v>1115</v>
      </c>
      <c r="D114" s="21" t="s">
        <v>849</v>
      </c>
      <c r="E114" s="21" t="s">
        <v>53</v>
      </c>
      <c r="F114" s="21"/>
      <c r="G114" s="21"/>
      <c r="H114" s="21"/>
      <c r="I114" s="21"/>
      <c r="J114" s="21"/>
      <c r="K114" s="21"/>
      <c r="L114" s="21" t="s">
        <v>1116</v>
      </c>
      <c r="M114" s="21" t="str">
        <f aca="false">L114&amp;"|"&amp;E114</f>
        <v>Signs, PC5, HSM|Tampering</v>
      </c>
      <c r="N114" s="21" t="s">
        <v>1116</v>
      </c>
      <c r="O114" s="21" t="s">
        <v>842</v>
      </c>
      <c r="P114" s="21" t="n">
        <f aca="false">COUNTIF(Mapping!$G$2:$G$44,M114)</f>
        <v>0</v>
      </c>
      <c r="Q114" s="21" t="str">
        <f aca="false">IF(P114&gt;0,"Yes","No")</f>
        <v>No</v>
      </c>
    </row>
    <row r="115" customFormat="false" ht="15" hidden="false" customHeight="true" outlineLevel="0" collapsed="false">
      <c r="A115" s="21" t="s">
        <v>1118</v>
      </c>
      <c r="B115" s="21" t="s">
        <v>1119</v>
      </c>
      <c r="C115" s="21" t="s">
        <v>1115</v>
      </c>
      <c r="D115" s="21" t="s">
        <v>849</v>
      </c>
      <c r="E115" s="21" t="s">
        <v>854</v>
      </c>
      <c r="F115" s="21"/>
      <c r="G115" s="21"/>
      <c r="H115" s="21"/>
      <c r="I115" s="21"/>
      <c r="J115" s="21"/>
      <c r="K115" s="21"/>
      <c r="L115" s="21" t="s">
        <v>1116</v>
      </c>
      <c r="M115" s="21" t="str">
        <f aca="false">L115&amp;"|"&amp;E115</f>
        <v>Signs, PC5, HSM|Denial of Service</v>
      </c>
      <c r="N115" s="21" t="s">
        <v>1116</v>
      </c>
      <c r="O115" s="21" t="s">
        <v>842</v>
      </c>
      <c r="P115" s="21" t="n">
        <f aca="false">COUNTIF(Mapping!$G$2:$G$44,M115)</f>
        <v>1</v>
      </c>
      <c r="Q115" s="21" t="str">
        <f aca="false">IF(P115&gt;0,"Yes","No")</f>
        <v>Yes</v>
      </c>
    </row>
    <row r="116" customFormat="false" ht="15" hidden="false" customHeight="true" outlineLevel="0" collapsed="false">
      <c r="A116" s="21" t="s">
        <v>110</v>
      </c>
      <c r="B116" s="21" t="s">
        <v>1120</v>
      </c>
      <c r="C116" s="21" t="s">
        <v>1115</v>
      </c>
      <c r="D116" s="21" t="s">
        <v>849</v>
      </c>
      <c r="E116" s="21" t="s">
        <v>33</v>
      </c>
      <c r="F116" s="21"/>
      <c r="G116" s="21"/>
      <c r="H116" s="21"/>
      <c r="I116" s="21"/>
      <c r="J116" s="21"/>
      <c r="K116" s="21"/>
      <c r="L116" s="21" t="s">
        <v>1116</v>
      </c>
      <c r="M116" s="21" t="str">
        <f aca="false">L116&amp;"|"&amp;E116</f>
        <v>Signs, PC5, HSM|Spoofing</v>
      </c>
      <c r="N116" s="21" t="s">
        <v>1116</v>
      </c>
      <c r="O116" s="21" t="s">
        <v>842</v>
      </c>
      <c r="P116" s="21" t="n">
        <f aca="false">COUNTIF(Mapping!$G$2:$G$44,M116)</f>
        <v>1</v>
      </c>
      <c r="Q116" s="21" t="str">
        <f aca="false">IF(P116&gt;0,"Yes","No")</f>
        <v>Yes</v>
      </c>
    </row>
    <row r="117" customFormat="false" ht="15" hidden="false" customHeight="true" outlineLevel="0" collapsed="false">
      <c r="A117" s="21" t="s">
        <v>1121</v>
      </c>
      <c r="B117" s="21" t="s">
        <v>1122</v>
      </c>
      <c r="C117" s="21" t="s">
        <v>1115</v>
      </c>
      <c r="D117" s="21" t="s">
        <v>849</v>
      </c>
      <c r="E117" s="21" t="s">
        <v>857</v>
      </c>
      <c r="F117" s="21"/>
      <c r="G117" s="21"/>
      <c r="H117" s="21"/>
      <c r="I117" s="21"/>
      <c r="J117" s="21"/>
      <c r="K117" s="21"/>
      <c r="L117" s="21" t="s">
        <v>1116</v>
      </c>
      <c r="M117" s="21" t="str">
        <f aca="false">L117&amp;"|"&amp;E117</f>
        <v>Signs, PC5, HSM|Elevation of Privilege</v>
      </c>
      <c r="N117" s="21" t="s">
        <v>1116</v>
      </c>
      <c r="O117" s="21" t="s">
        <v>842</v>
      </c>
      <c r="P117" s="21" t="n">
        <f aca="false">COUNTIF(Mapping!$G$2:$G$44,M117)</f>
        <v>1</v>
      </c>
      <c r="Q117" s="21" t="str">
        <f aca="false">IF(P117&gt;0,"Yes","No")</f>
        <v>Yes</v>
      </c>
    </row>
    <row r="118" customFormat="false" ht="15" hidden="false" customHeight="true" outlineLevel="0" collapsed="false">
      <c r="A118" s="21" t="s">
        <v>1123</v>
      </c>
      <c r="B118" s="21" t="s">
        <v>1124</v>
      </c>
      <c r="C118" s="21" t="s">
        <v>1115</v>
      </c>
      <c r="D118" s="21" t="s">
        <v>849</v>
      </c>
      <c r="E118" s="21" t="s">
        <v>307</v>
      </c>
      <c r="F118" s="21"/>
      <c r="G118" s="21"/>
      <c r="H118" s="21"/>
      <c r="I118" s="21"/>
      <c r="J118" s="21"/>
      <c r="K118" s="21"/>
      <c r="L118" s="21" t="s">
        <v>1116</v>
      </c>
      <c r="M118" s="21" t="str">
        <f aca="false">L118&amp;"|"&amp;E118</f>
        <v>Signs, PC5, HSM|Repudiation</v>
      </c>
      <c r="N118" s="21" t="s">
        <v>1116</v>
      </c>
      <c r="O118" s="21" t="s">
        <v>842</v>
      </c>
      <c r="P118" s="21" t="n">
        <f aca="false">COUNTIF(Mapping!$G$2:$G$44,M118)</f>
        <v>1</v>
      </c>
      <c r="Q118" s="21" t="str">
        <f aca="false">IF(P118&gt;0,"Yes","No")</f>
        <v>Yes</v>
      </c>
    </row>
    <row r="119" customFormat="false" ht="15" hidden="false" customHeight="true" outlineLevel="0" collapsed="false">
      <c r="A119" s="21" t="s">
        <v>1125</v>
      </c>
      <c r="B119" s="21" t="s">
        <v>1126</v>
      </c>
      <c r="C119" s="21" t="s">
        <v>1127</v>
      </c>
      <c r="D119" s="21" t="s">
        <v>849</v>
      </c>
      <c r="E119" s="21" t="s">
        <v>850</v>
      </c>
      <c r="F119" s="21"/>
      <c r="G119" s="21"/>
      <c r="H119" s="21"/>
      <c r="I119" s="21"/>
      <c r="J119" s="21"/>
      <c r="K119" s="21"/>
      <c r="L119" s="21" t="s">
        <v>1128</v>
      </c>
      <c r="M119" s="21" t="str">
        <f aca="false">L119&amp;"|"&amp;E119</f>
        <v>Signs, PC5, HSM::denm_in|Information Disclosure</v>
      </c>
      <c r="N119" s="21" t="s">
        <v>1116</v>
      </c>
      <c r="O119" s="21" t="s">
        <v>863</v>
      </c>
      <c r="P119" s="21" t="n">
        <f aca="false">COUNTIF(Mapping!$G$2:$G$44,M119)</f>
        <v>0</v>
      </c>
      <c r="Q119" s="21" t="str">
        <f aca="false">IF(P119&gt;0,"Yes","No")</f>
        <v>No</v>
      </c>
    </row>
    <row r="120" customFormat="false" ht="15" hidden="false" customHeight="true" outlineLevel="0" collapsed="false">
      <c r="A120" s="21" t="s">
        <v>1129</v>
      </c>
      <c r="B120" s="21" t="s">
        <v>1130</v>
      </c>
      <c r="C120" s="21" t="s">
        <v>1127</v>
      </c>
      <c r="D120" s="21" t="s">
        <v>849</v>
      </c>
      <c r="E120" s="21" t="s">
        <v>53</v>
      </c>
      <c r="F120" s="21"/>
      <c r="G120" s="21"/>
      <c r="H120" s="21"/>
      <c r="I120" s="21"/>
      <c r="J120" s="21"/>
      <c r="K120" s="21"/>
      <c r="L120" s="21" t="s">
        <v>1128</v>
      </c>
      <c r="M120" s="21" t="str">
        <f aca="false">L120&amp;"|"&amp;E120</f>
        <v>Signs, PC5, HSM::denm_in|Tampering</v>
      </c>
      <c r="N120" s="21" t="s">
        <v>1116</v>
      </c>
      <c r="O120" s="21" t="s">
        <v>863</v>
      </c>
      <c r="P120" s="21" t="n">
        <f aca="false">COUNTIF(Mapping!$G$2:$G$44,M120)</f>
        <v>0</v>
      </c>
      <c r="Q120" s="21" t="str">
        <f aca="false">IF(P120&gt;0,"Yes","No")</f>
        <v>No</v>
      </c>
    </row>
    <row r="121" customFormat="false" ht="15" hidden="false" customHeight="true" outlineLevel="0" collapsed="false">
      <c r="A121" s="21" t="s">
        <v>1131</v>
      </c>
      <c r="B121" s="21" t="s">
        <v>1132</v>
      </c>
      <c r="C121" s="21" t="s">
        <v>1127</v>
      </c>
      <c r="D121" s="21" t="s">
        <v>849</v>
      </c>
      <c r="E121" s="21" t="s">
        <v>854</v>
      </c>
      <c r="F121" s="21"/>
      <c r="G121" s="21"/>
      <c r="H121" s="21"/>
      <c r="I121" s="21"/>
      <c r="J121" s="21"/>
      <c r="K121" s="21"/>
      <c r="L121" s="21" t="s">
        <v>1128</v>
      </c>
      <c r="M121" s="21" t="str">
        <f aca="false">L121&amp;"|"&amp;E121</f>
        <v>Signs, PC5, HSM::denm_in|Denial of Service</v>
      </c>
      <c r="N121" s="21" t="s">
        <v>1116</v>
      </c>
      <c r="O121" s="21" t="s">
        <v>863</v>
      </c>
      <c r="P121" s="21" t="n">
        <f aca="false">COUNTIF(Mapping!$G$2:$G$44,M121)</f>
        <v>0</v>
      </c>
      <c r="Q121" s="21" t="str">
        <f aca="false">IF(P121&gt;0,"Yes","No")</f>
        <v>No</v>
      </c>
    </row>
    <row r="122" customFormat="false" ht="15" hidden="false" customHeight="true" outlineLevel="0" collapsed="false">
      <c r="A122" s="21" t="s">
        <v>1133</v>
      </c>
      <c r="B122" s="21" t="s">
        <v>1134</v>
      </c>
      <c r="C122" s="21" t="s">
        <v>1135</v>
      </c>
      <c r="D122" s="21" t="s">
        <v>849</v>
      </c>
      <c r="E122" s="21" t="s">
        <v>850</v>
      </c>
      <c r="F122" s="21"/>
      <c r="G122" s="21"/>
      <c r="H122" s="21"/>
      <c r="I122" s="21"/>
      <c r="J122" s="21"/>
      <c r="K122" s="21"/>
      <c r="L122" s="21" t="s">
        <v>1136</v>
      </c>
      <c r="M122" s="21" t="str">
        <f aca="false">L122&amp;"|"&amp;E122</f>
        <v>Signs, PC5, HSM::pc5_out|Information Disclosure</v>
      </c>
      <c r="N122" s="21" t="s">
        <v>1116</v>
      </c>
      <c r="O122" s="21" t="s">
        <v>863</v>
      </c>
      <c r="P122" s="21" t="n">
        <f aca="false">COUNTIF(Mapping!$G$2:$G$44,M122)</f>
        <v>0</v>
      </c>
      <c r="Q122" s="21" t="str">
        <f aca="false">IF(P122&gt;0,"Yes","No")</f>
        <v>No</v>
      </c>
    </row>
    <row r="123" customFormat="false" ht="15" hidden="false" customHeight="true" outlineLevel="0" collapsed="false">
      <c r="A123" s="21" t="s">
        <v>1137</v>
      </c>
      <c r="B123" s="21" t="s">
        <v>1138</v>
      </c>
      <c r="C123" s="21" t="s">
        <v>1135</v>
      </c>
      <c r="D123" s="21" t="s">
        <v>849</v>
      </c>
      <c r="E123" s="21" t="s">
        <v>53</v>
      </c>
      <c r="F123" s="21"/>
      <c r="G123" s="21"/>
      <c r="H123" s="21"/>
      <c r="I123" s="21"/>
      <c r="J123" s="21"/>
      <c r="K123" s="21"/>
      <c r="L123" s="21" t="s">
        <v>1136</v>
      </c>
      <c r="M123" s="21" t="str">
        <f aca="false">L123&amp;"|"&amp;E123</f>
        <v>Signs, PC5, HSM::pc5_out|Tampering</v>
      </c>
      <c r="N123" s="21" t="s">
        <v>1116</v>
      </c>
      <c r="O123" s="21" t="s">
        <v>863</v>
      </c>
      <c r="P123" s="21" t="n">
        <f aca="false">COUNTIF(Mapping!$G$2:$G$44,M123)</f>
        <v>0</v>
      </c>
      <c r="Q123" s="21" t="str">
        <f aca="false">IF(P123&gt;0,"Yes","No")</f>
        <v>No</v>
      </c>
    </row>
    <row r="124" customFormat="false" ht="15" hidden="false" customHeight="true" outlineLevel="0" collapsed="false">
      <c r="A124" s="21" t="s">
        <v>1139</v>
      </c>
      <c r="B124" s="21" t="s">
        <v>1140</v>
      </c>
      <c r="C124" s="21" t="s">
        <v>1135</v>
      </c>
      <c r="D124" s="21" t="s">
        <v>849</v>
      </c>
      <c r="E124" s="21" t="s">
        <v>854</v>
      </c>
      <c r="F124" s="21"/>
      <c r="G124" s="21"/>
      <c r="H124" s="21"/>
      <c r="I124" s="21"/>
      <c r="J124" s="21"/>
      <c r="K124" s="21"/>
      <c r="L124" s="21" t="s">
        <v>1136</v>
      </c>
      <c r="M124" s="21" t="str">
        <f aca="false">L124&amp;"|"&amp;E124</f>
        <v>Signs, PC5, HSM::pc5_out|Denial of Service</v>
      </c>
      <c r="N124" s="21" t="s">
        <v>1116</v>
      </c>
      <c r="O124" s="21" t="s">
        <v>863</v>
      </c>
      <c r="P124" s="21" t="n">
        <f aca="false">COUNTIF(Mapping!$G$2:$G$44,M124)</f>
        <v>0</v>
      </c>
      <c r="Q124" s="21" t="str">
        <f aca="false">IF(P124&gt;0,"Yes","No")</f>
        <v>No</v>
      </c>
    </row>
    <row r="125" customFormat="false" ht="15" hidden="false" customHeight="true" outlineLevel="0" collapsed="false">
      <c r="A125" s="21" t="s">
        <v>1141</v>
      </c>
      <c r="B125" s="21" t="s">
        <v>1142</v>
      </c>
      <c r="C125" s="21" t="s">
        <v>1143</v>
      </c>
      <c r="D125" s="21" t="s">
        <v>849</v>
      </c>
      <c r="E125" s="21" t="s">
        <v>850</v>
      </c>
      <c r="F125" s="21"/>
      <c r="G125" s="21"/>
      <c r="H125" s="21"/>
      <c r="I125" s="21"/>
      <c r="J125" s="21"/>
      <c r="K125" s="21"/>
      <c r="L125" s="21" t="s">
        <v>1144</v>
      </c>
      <c r="M125" s="21" t="str">
        <f aca="false">L125&amp;"|"&amp;E125</f>
        <v>Signs, PC5, HSM::uu_uplink|Information Disclosure</v>
      </c>
      <c r="N125" s="21" t="s">
        <v>1116</v>
      </c>
      <c r="O125" s="21" t="s">
        <v>863</v>
      </c>
      <c r="P125" s="21" t="n">
        <f aca="false">COUNTIF(Mapping!$G$2:$G$44,M125)</f>
        <v>0</v>
      </c>
      <c r="Q125" s="21" t="str">
        <f aca="false">IF(P125&gt;0,"Yes","No")</f>
        <v>No</v>
      </c>
    </row>
    <row r="126" customFormat="false" ht="15" hidden="false" customHeight="true" outlineLevel="0" collapsed="false">
      <c r="A126" s="21" t="s">
        <v>1145</v>
      </c>
      <c r="B126" s="21" t="s">
        <v>1146</v>
      </c>
      <c r="C126" s="21" t="s">
        <v>1143</v>
      </c>
      <c r="D126" s="21" t="s">
        <v>849</v>
      </c>
      <c r="E126" s="21" t="s">
        <v>53</v>
      </c>
      <c r="F126" s="21"/>
      <c r="G126" s="21"/>
      <c r="H126" s="21"/>
      <c r="I126" s="21"/>
      <c r="J126" s="21"/>
      <c r="K126" s="21"/>
      <c r="L126" s="21" t="s">
        <v>1144</v>
      </c>
      <c r="M126" s="21" t="str">
        <f aca="false">L126&amp;"|"&amp;E126</f>
        <v>Signs, PC5, HSM::uu_uplink|Tampering</v>
      </c>
      <c r="N126" s="21" t="s">
        <v>1116</v>
      </c>
      <c r="O126" s="21" t="s">
        <v>863</v>
      </c>
      <c r="P126" s="21" t="n">
        <f aca="false">COUNTIF(Mapping!$G$2:$G$44,M126)</f>
        <v>0</v>
      </c>
      <c r="Q126" s="21" t="str">
        <f aca="false">IF(P126&gt;0,"Yes","No")</f>
        <v>No</v>
      </c>
    </row>
    <row r="127" customFormat="false" ht="15" hidden="false" customHeight="true" outlineLevel="0" collapsed="false">
      <c r="A127" s="21" t="s">
        <v>1147</v>
      </c>
      <c r="B127" s="21" t="s">
        <v>1148</v>
      </c>
      <c r="C127" s="21" t="s">
        <v>1143</v>
      </c>
      <c r="D127" s="21" t="s">
        <v>849</v>
      </c>
      <c r="E127" s="21" t="s">
        <v>854</v>
      </c>
      <c r="F127" s="21"/>
      <c r="G127" s="21"/>
      <c r="H127" s="21"/>
      <c r="I127" s="21"/>
      <c r="J127" s="21"/>
      <c r="K127" s="21"/>
      <c r="L127" s="21" t="s">
        <v>1144</v>
      </c>
      <c r="M127" s="21" t="str">
        <f aca="false">L127&amp;"|"&amp;E127</f>
        <v>Signs, PC5, HSM::uu_uplink|Denial of Service</v>
      </c>
      <c r="N127" s="21" t="s">
        <v>1116</v>
      </c>
      <c r="O127" s="21" t="s">
        <v>863</v>
      </c>
      <c r="P127" s="21" t="n">
        <f aca="false">COUNTIF(Mapping!$G$2:$G$44,M127)</f>
        <v>0</v>
      </c>
      <c r="Q127" s="21" t="str">
        <f aca="false">IF(P127&gt;0,"Yes","No")</f>
        <v>No</v>
      </c>
    </row>
    <row r="128" customFormat="false" ht="15" hidden="false" customHeight="true" outlineLevel="0" collapsed="false">
      <c r="A128" s="21" t="s">
        <v>1149</v>
      </c>
      <c r="B128" s="21" t="s">
        <v>1150</v>
      </c>
      <c r="C128" s="21" t="s">
        <v>1151</v>
      </c>
      <c r="D128" s="21" t="s">
        <v>849</v>
      </c>
      <c r="E128" s="21" t="s">
        <v>850</v>
      </c>
      <c r="F128" s="21"/>
      <c r="G128" s="21"/>
      <c r="H128" s="21"/>
      <c r="I128" s="21"/>
      <c r="J128" s="21"/>
      <c r="K128" s="21"/>
      <c r="L128" s="21" t="s">
        <v>1152</v>
      </c>
      <c r="M128" s="21" t="str">
        <f aca="false">L128&amp;"|"&amp;E128</f>
        <v>Signs, PC5, HSM::uu_link|Information Disclosure</v>
      </c>
      <c r="N128" s="21" t="s">
        <v>1116</v>
      </c>
      <c r="O128" s="21" t="s">
        <v>863</v>
      </c>
      <c r="P128" s="21" t="n">
        <f aca="false">COUNTIF(Mapping!$G$2:$G$44,M128)</f>
        <v>0</v>
      </c>
      <c r="Q128" s="21" t="str">
        <f aca="false">IF(P128&gt;0,"Yes","No")</f>
        <v>No</v>
      </c>
    </row>
    <row r="129" customFormat="false" ht="15" hidden="false" customHeight="true" outlineLevel="0" collapsed="false">
      <c r="A129" s="21" t="s">
        <v>1153</v>
      </c>
      <c r="B129" s="21" t="s">
        <v>1154</v>
      </c>
      <c r="C129" s="21" t="s">
        <v>1151</v>
      </c>
      <c r="D129" s="21" t="s">
        <v>849</v>
      </c>
      <c r="E129" s="21" t="s">
        <v>53</v>
      </c>
      <c r="F129" s="21"/>
      <c r="G129" s="21"/>
      <c r="H129" s="21"/>
      <c r="I129" s="21"/>
      <c r="J129" s="21"/>
      <c r="K129" s="21"/>
      <c r="L129" s="21" t="s">
        <v>1152</v>
      </c>
      <c r="M129" s="21" t="str">
        <f aca="false">L129&amp;"|"&amp;E129</f>
        <v>Signs, PC5, HSM::uu_link|Tampering</v>
      </c>
      <c r="N129" s="21" t="s">
        <v>1116</v>
      </c>
      <c r="O129" s="21" t="s">
        <v>863</v>
      </c>
      <c r="P129" s="21" t="n">
        <f aca="false">COUNTIF(Mapping!$G$2:$G$44,M129)</f>
        <v>0</v>
      </c>
      <c r="Q129" s="21" t="str">
        <f aca="false">IF(P129&gt;0,"Yes","No")</f>
        <v>No</v>
      </c>
    </row>
    <row r="130" customFormat="false" ht="15" hidden="false" customHeight="true" outlineLevel="0" collapsed="false">
      <c r="A130" s="21" t="s">
        <v>1155</v>
      </c>
      <c r="B130" s="21" t="s">
        <v>1156</v>
      </c>
      <c r="C130" s="21" t="s">
        <v>1151</v>
      </c>
      <c r="D130" s="21" t="s">
        <v>849</v>
      </c>
      <c r="E130" s="21" t="s">
        <v>854</v>
      </c>
      <c r="F130" s="21"/>
      <c r="G130" s="21"/>
      <c r="H130" s="21"/>
      <c r="I130" s="21"/>
      <c r="J130" s="21"/>
      <c r="K130" s="21"/>
      <c r="L130" s="21" t="s">
        <v>1152</v>
      </c>
      <c r="M130" s="21" t="str">
        <f aca="false">L130&amp;"|"&amp;E130</f>
        <v>Signs, PC5, HSM::uu_link|Denial of Service</v>
      </c>
      <c r="N130" s="21" t="s">
        <v>1116</v>
      </c>
      <c r="O130" s="21" t="s">
        <v>863</v>
      </c>
      <c r="P130" s="21" t="n">
        <f aca="false">COUNTIF(Mapping!$G$2:$G$44,M130)</f>
        <v>0</v>
      </c>
      <c r="Q130" s="21" t="str">
        <f aca="false">IF(P130&gt;0,"Yes","No")</f>
        <v>No</v>
      </c>
    </row>
    <row r="131" customFormat="false" ht="15" hidden="false" customHeight="true" outlineLevel="0" collapsed="false">
      <c r="A131" s="21" t="s">
        <v>1157</v>
      </c>
      <c r="B131" s="21" t="s">
        <v>1158</v>
      </c>
      <c r="C131" s="21" t="s">
        <v>1159</v>
      </c>
      <c r="D131" s="21" t="s">
        <v>849</v>
      </c>
      <c r="E131" s="21" t="s">
        <v>850</v>
      </c>
      <c r="F131" s="21"/>
      <c r="G131" s="21"/>
      <c r="H131" s="21"/>
      <c r="I131" s="21"/>
      <c r="J131" s="21"/>
      <c r="K131" s="21"/>
      <c r="L131" s="21" t="s">
        <v>1160</v>
      </c>
      <c r="M131" s="21" t="str">
        <f aca="false">L131&amp;"|"&amp;E131</f>
        <v>pc5_out ↔ pc5_in|Information Disclosure</v>
      </c>
      <c r="N131" s="21" t="s">
        <v>872</v>
      </c>
      <c r="O131" s="21" t="s">
        <v>873</v>
      </c>
      <c r="P131" s="21" t="n">
        <f aca="false">COUNTIF(Mapping!$G$2:$G$44,M131)</f>
        <v>0</v>
      </c>
      <c r="Q131" s="21" t="str">
        <f aca="false">IF(P131&gt;0,"Yes","No")</f>
        <v>No</v>
      </c>
    </row>
    <row r="132" customFormat="false" ht="15" hidden="false" customHeight="true" outlineLevel="0" collapsed="false">
      <c r="A132" s="21" t="s">
        <v>150</v>
      </c>
      <c r="B132" s="21" t="s">
        <v>1161</v>
      </c>
      <c r="C132" s="21" t="s">
        <v>1159</v>
      </c>
      <c r="D132" s="21" t="s">
        <v>849</v>
      </c>
      <c r="E132" s="21" t="s">
        <v>53</v>
      </c>
      <c r="F132" s="21"/>
      <c r="G132" s="21"/>
      <c r="H132" s="21"/>
      <c r="I132" s="21"/>
      <c r="J132" s="21"/>
      <c r="K132" s="21"/>
      <c r="L132" s="21" t="s">
        <v>1160</v>
      </c>
      <c r="M132" s="21" t="str">
        <f aca="false">L132&amp;"|"&amp;E132</f>
        <v>pc5_out ↔ pc5_in|Tampering</v>
      </c>
      <c r="N132" s="21" t="s">
        <v>872</v>
      </c>
      <c r="O132" s="21" t="s">
        <v>873</v>
      </c>
      <c r="P132" s="21" t="n">
        <f aca="false">COUNTIF(Mapping!$G$2:$G$44,M132)</f>
        <v>1</v>
      </c>
      <c r="Q132" s="21" t="str">
        <f aca="false">IF(P132&gt;0,"Yes","No")</f>
        <v>Yes</v>
      </c>
    </row>
    <row r="133" customFormat="false" ht="15" hidden="false" customHeight="true" outlineLevel="0" collapsed="false">
      <c r="A133" s="21" t="s">
        <v>162</v>
      </c>
      <c r="B133" s="21" t="s">
        <v>1162</v>
      </c>
      <c r="C133" s="21" t="s">
        <v>1159</v>
      </c>
      <c r="D133" s="21" t="s">
        <v>849</v>
      </c>
      <c r="E133" s="21" t="s">
        <v>854</v>
      </c>
      <c r="F133" s="21"/>
      <c r="G133" s="21"/>
      <c r="H133" s="21"/>
      <c r="I133" s="21"/>
      <c r="J133" s="21"/>
      <c r="K133" s="21"/>
      <c r="L133" s="21" t="s">
        <v>1160</v>
      </c>
      <c r="M133" s="21" t="str">
        <f aca="false">L133&amp;"|"&amp;E133</f>
        <v>pc5_out ↔ pc5_in|Denial of Service</v>
      </c>
      <c r="N133" s="21" t="s">
        <v>872</v>
      </c>
      <c r="O133" s="21" t="s">
        <v>873</v>
      </c>
      <c r="P133" s="21" t="n">
        <f aca="false">COUNTIF(Mapping!$G$2:$G$44,M133)</f>
        <v>1</v>
      </c>
      <c r="Q133" s="21" t="str">
        <f aca="false">IF(P133&gt;0,"Yes","No")</f>
        <v>Yes</v>
      </c>
    </row>
    <row r="134" customFormat="false" ht="15" hidden="false" customHeight="true" outlineLevel="0" collapsed="false">
      <c r="A134" s="21" t="s">
        <v>1163</v>
      </c>
      <c r="B134" s="21" t="s">
        <v>1164</v>
      </c>
      <c r="C134" s="21" t="s">
        <v>1165</v>
      </c>
      <c r="D134" s="21" t="s">
        <v>849</v>
      </c>
      <c r="E134" s="21" t="s">
        <v>850</v>
      </c>
      <c r="F134" s="21"/>
      <c r="G134" s="21"/>
      <c r="H134" s="21"/>
      <c r="I134" s="21"/>
      <c r="J134" s="21"/>
      <c r="K134" s="21"/>
      <c r="L134" s="21" t="s">
        <v>1166</v>
      </c>
      <c r="M134" s="21" t="str">
        <f aca="false">L134&amp;"|"&amp;E134</f>
        <v>uu_uplink ↔ uu_in|Information Disclosure</v>
      </c>
      <c r="N134" s="21" t="s">
        <v>872</v>
      </c>
      <c r="O134" s="21" t="s">
        <v>873</v>
      </c>
      <c r="P134" s="21" t="n">
        <f aca="false">COUNTIF(Mapping!$G$2:$G$44,M134)</f>
        <v>0</v>
      </c>
      <c r="Q134" s="21" t="str">
        <f aca="false">IF(P134&gt;0,"Yes","No")</f>
        <v>No</v>
      </c>
    </row>
    <row r="135" customFormat="false" ht="15" hidden="false" customHeight="true" outlineLevel="0" collapsed="false">
      <c r="A135" s="21" t="s">
        <v>1167</v>
      </c>
      <c r="B135" s="21" t="s">
        <v>1168</v>
      </c>
      <c r="C135" s="21" t="s">
        <v>1165</v>
      </c>
      <c r="D135" s="21" t="s">
        <v>849</v>
      </c>
      <c r="E135" s="21" t="s">
        <v>53</v>
      </c>
      <c r="F135" s="21"/>
      <c r="G135" s="21"/>
      <c r="H135" s="21"/>
      <c r="I135" s="21"/>
      <c r="J135" s="21"/>
      <c r="K135" s="21"/>
      <c r="L135" s="21" t="s">
        <v>1166</v>
      </c>
      <c r="M135" s="21" t="str">
        <f aca="false">L135&amp;"|"&amp;E135</f>
        <v>uu_uplink ↔ uu_in|Tampering</v>
      </c>
      <c r="N135" s="21" t="s">
        <v>872</v>
      </c>
      <c r="O135" s="21" t="s">
        <v>873</v>
      </c>
      <c r="P135" s="21" t="n">
        <f aca="false">COUNTIF(Mapping!$G$2:$G$44,M135)</f>
        <v>0</v>
      </c>
      <c r="Q135" s="21" t="str">
        <f aca="false">IF(P135&gt;0,"Yes","No")</f>
        <v>No</v>
      </c>
    </row>
    <row r="136" customFormat="false" ht="15" hidden="false" customHeight="true" outlineLevel="0" collapsed="false">
      <c r="A136" s="21" t="s">
        <v>1169</v>
      </c>
      <c r="B136" s="21" t="s">
        <v>1170</v>
      </c>
      <c r="C136" s="21" t="s">
        <v>1165</v>
      </c>
      <c r="D136" s="21" t="s">
        <v>849</v>
      </c>
      <c r="E136" s="21" t="s">
        <v>854</v>
      </c>
      <c r="F136" s="21"/>
      <c r="G136" s="21"/>
      <c r="H136" s="21"/>
      <c r="I136" s="21"/>
      <c r="J136" s="21"/>
      <c r="K136" s="21"/>
      <c r="L136" s="21" t="s">
        <v>1166</v>
      </c>
      <c r="M136" s="21" t="str">
        <f aca="false">L136&amp;"|"&amp;E136</f>
        <v>uu_uplink ↔ uu_in|Denial of Service</v>
      </c>
      <c r="N136" s="21" t="s">
        <v>872</v>
      </c>
      <c r="O136" s="21" t="s">
        <v>873</v>
      </c>
      <c r="P136" s="21" t="n">
        <f aca="false">COUNTIF(Mapping!$G$2:$G$44,M136)</f>
        <v>0</v>
      </c>
      <c r="Q136" s="21" t="str">
        <f aca="false">IF(P136&gt;0,"Yes","No")</f>
        <v>No</v>
      </c>
    </row>
    <row r="137" customFormat="false" ht="15" hidden="false" customHeight="true" outlineLevel="0" collapsed="false">
      <c r="A137" s="21" t="s">
        <v>1171</v>
      </c>
      <c r="B137" s="21" t="s">
        <v>1172</v>
      </c>
      <c r="C137" s="21" t="s">
        <v>1173</v>
      </c>
      <c r="D137" s="21" t="s">
        <v>849</v>
      </c>
      <c r="E137" s="21" t="s">
        <v>850</v>
      </c>
      <c r="F137" s="21"/>
      <c r="G137" s="21"/>
      <c r="H137" s="21"/>
      <c r="I137" s="21"/>
      <c r="J137" s="21"/>
      <c r="K137" s="21"/>
      <c r="L137" s="21" t="s">
        <v>1174</v>
      </c>
      <c r="M137" s="21" t="str">
        <f aca="false">L137&amp;"|"&amp;E137</f>
        <v>uu_link ↔ uu_link_rsu|Information Disclosure</v>
      </c>
      <c r="N137" s="21" t="s">
        <v>872</v>
      </c>
      <c r="O137" s="21" t="s">
        <v>873</v>
      </c>
      <c r="P137" s="21" t="n">
        <f aca="false">COUNTIF(Mapping!$G$2:$G$44,M137)</f>
        <v>0</v>
      </c>
      <c r="Q137" s="21" t="str">
        <f aca="false">IF(P137&gt;0,"Yes","No")</f>
        <v>No</v>
      </c>
    </row>
    <row r="138" customFormat="false" ht="15" hidden="false" customHeight="true" outlineLevel="0" collapsed="false">
      <c r="A138" s="21" t="s">
        <v>1175</v>
      </c>
      <c r="B138" s="21" t="s">
        <v>1176</v>
      </c>
      <c r="C138" s="21" t="s">
        <v>1173</v>
      </c>
      <c r="D138" s="21" t="s">
        <v>849</v>
      </c>
      <c r="E138" s="21" t="s">
        <v>53</v>
      </c>
      <c r="F138" s="21"/>
      <c r="G138" s="21"/>
      <c r="H138" s="21"/>
      <c r="I138" s="21"/>
      <c r="J138" s="21"/>
      <c r="K138" s="21"/>
      <c r="L138" s="21" t="s">
        <v>1174</v>
      </c>
      <c r="M138" s="21" t="str">
        <f aca="false">L138&amp;"|"&amp;E138</f>
        <v>uu_link ↔ uu_link_rsu|Tampering</v>
      </c>
      <c r="N138" s="21" t="s">
        <v>872</v>
      </c>
      <c r="O138" s="21" t="s">
        <v>873</v>
      </c>
      <c r="P138" s="21" t="n">
        <f aca="false">COUNTIF(Mapping!$G$2:$G$44,M138)</f>
        <v>1</v>
      </c>
      <c r="Q138" s="21" t="str">
        <f aca="false">IF(P138&gt;0,"Yes","No")</f>
        <v>Yes</v>
      </c>
    </row>
    <row r="139" customFormat="false" ht="15" hidden="false" customHeight="true" outlineLevel="0" collapsed="false">
      <c r="A139" s="21" t="s">
        <v>1177</v>
      </c>
      <c r="B139" s="21" t="s">
        <v>1178</v>
      </c>
      <c r="C139" s="21" t="s">
        <v>1173</v>
      </c>
      <c r="D139" s="21" t="s">
        <v>849</v>
      </c>
      <c r="E139" s="21" t="s">
        <v>854</v>
      </c>
      <c r="F139" s="21"/>
      <c r="G139" s="21"/>
      <c r="H139" s="21"/>
      <c r="I139" s="21"/>
      <c r="J139" s="21"/>
      <c r="K139" s="21"/>
      <c r="L139" s="21" t="s">
        <v>1174</v>
      </c>
      <c r="M139" s="21" t="str">
        <f aca="false">L139&amp;"|"&amp;E139</f>
        <v>uu_link ↔ uu_link_rsu|Denial of Service</v>
      </c>
      <c r="N139" s="21" t="s">
        <v>872</v>
      </c>
      <c r="O139" s="21" t="s">
        <v>873</v>
      </c>
      <c r="P139" s="21" t="n">
        <f aca="false">COUNTIF(Mapping!$G$2:$G$44,M139)</f>
        <v>0</v>
      </c>
      <c r="Q139" s="21" t="str">
        <f aca="false">IF(P139&gt;0,"Yes","No")</f>
        <v>No</v>
      </c>
    </row>
    <row r="140" customFormat="false" ht="15" hidden="false" customHeight="true" outlineLevel="0" collapsed="false">
      <c r="A140" s="21" t="s">
        <v>1179</v>
      </c>
      <c r="B140" s="21" t="s">
        <v>1180</v>
      </c>
      <c r="C140" s="21" t="s">
        <v>1181</v>
      </c>
      <c r="D140" s="21" t="s">
        <v>849</v>
      </c>
      <c r="E140" s="21" t="s">
        <v>850</v>
      </c>
      <c r="F140" s="21"/>
      <c r="G140" s="21"/>
      <c r="H140" s="21"/>
      <c r="I140" s="21"/>
      <c r="J140" s="21"/>
      <c r="K140" s="21"/>
      <c r="L140" s="21" t="s">
        <v>1182</v>
      </c>
      <c r="M140" s="21" t="str">
        <f aca="false">L140&amp;"|"&amp;E140</f>
        <v>PC5 + Uumodem|Information Disclosure</v>
      </c>
      <c r="N140" s="21" t="s">
        <v>1182</v>
      </c>
      <c r="O140" s="21" t="s">
        <v>842</v>
      </c>
      <c r="P140" s="21" t="n">
        <f aca="false">COUNTIF(Mapping!$G$2:$G$44,M140)</f>
        <v>0</v>
      </c>
      <c r="Q140" s="21" t="str">
        <f aca="false">IF(P140&gt;0,"Yes","No")</f>
        <v>No</v>
      </c>
    </row>
    <row r="141" customFormat="false" ht="15" hidden="false" customHeight="true" outlineLevel="0" collapsed="false">
      <c r="A141" s="21" t="s">
        <v>1183</v>
      </c>
      <c r="B141" s="21" t="s">
        <v>1184</v>
      </c>
      <c r="C141" s="21" t="s">
        <v>1181</v>
      </c>
      <c r="D141" s="21" t="s">
        <v>849</v>
      </c>
      <c r="E141" s="21" t="s">
        <v>53</v>
      </c>
      <c r="F141" s="21"/>
      <c r="G141" s="21"/>
      <c r="H141" s="21"/>
      <c r="I141" s="21"/>
      <c r="J141" s="21"/>
      <c r="K141" s="21"/>
      <c r="L141" s="21" t="s">
        <v>1182</v>
      </c>
      <c r="M141" s="21" t="str">
        <f aca="false">L141&amp;"|"&amp;E141</f>
        <v>PC5 + Uumodem|Tampering</v>
      </c>
      <c r="N141" s="21" t="s">
        <v>1182</v>
      </c>
      <c r="O141" s="21" t="s">
        <v>842</v>
      </c>
      <c r="P141" s="21" t="n">
        <f aca="false">COUNTIF(Mapping!$G$2:$G$44,M141)</f>
        <v>1</v>
      </c>
      <c r="Q141" s="21" t="str">
        <f aca="false">IF(P141&gt;0,"Yes","No")</f>
        <v>Yes</v>
      </c>
    </row>
    <row r="142" customFormat="false" ht="15" hidden="false" customHeight="true" outlineLevel="0" collapsed="false">
      <c r="A142" s="21" t="s">
        <v>188</v>
      </c>
      <c r="B142" s="21" t="s">
        <v>1185</v>
      </c>
      <c r="C142" s="21" t="s">
        <v>1181</v>
      </c>
      <c r="D142" s="21" t="s">
        <v>849</v>
      </c>
      <c r="E142" s="21" t="s">
        <v>854</v>
      </c>
      <c r="F142" s="21"/>
      <c r="G142" s="21"/>
      <c r="H142" s="21"/>
      <c r="I142" s="21"/>
      <c r="J142" s="21"/>
      <c r="K142" s="21"/>
      <c r="L142" s="21" t="s">
        <v>1182</v>
      </c>
      <c r="M142" s="21" t="str">
        <f aca="false">L142&amp;"|"&amp;E142</f>
        <v>PC5 + Uumodem|Denial of Service</v>
      </c>
      <c r="N142" s="21" t="s">
        <v>1182</v>
      </c>
      <c r="O142" s="21" t="s">
        <v>842</v>
      </c>
      <c r="P142" s="21" t="n">
        <f aca="false">COUNTIF(Mapping!$G$2:$G$44,M142)</f>
        <v>1</v>
      </c>
      <c r="Q142" s="21" t="str">
        <f aca="false">IF(P142&gt;0,"Yes","No")</f>
        <v>Yes</v>
      </c>
    </row>
    <row r="143" customFormat="false" ht="15" hidden="false" customHeight="true" outlineLevel="0" collapsed="false">
      <c r="A143" s="21" t="s">
        <v>176</v>
      </c>
      <c r="B143" s="21" t="s">
        <v>1186</v>
      </c>
      <c r="C143" s="21" t="s">
        <v>1181</v>
      </c>
      <c r="D143" s="21" t="s">
        <v>849</v>
      </c>
      <c r="E143" s="21" t="s">
        <v>33</v>
      </c>
      <c r="F143" s="21"/>
      <c r="G143" s="21"/>
      <c r="H143" s="21"/>
      <c r="I143" s="21"/>
      <c r="J143" s="21"/>
      <c r="K143" s="21"/>
      <c r="L143" s="21" t="s">
        <v>1182</v>
      </c>
      <c r="M143" s="21" t="str">
        <f aca="false">L143&amp;"|"&amp;E143</f>
        <v>PC5 + Uumodem|Spoofing</v>
      </c>
      <c r="N143" s="21" t="s">
        <v>1182</v>
      </c>
      <c r="O143" s="21" t="s">
        <v>842</v>
      </c>
      <c r="P143" s="21" t="n">
        <f aca="false">COUNTIF(Mapping!$G$2:$G$44,M143)</f>
        <v>1</v>
      </c>
      <c r="Q143" s="21" t="str">
        <f aca="false">IF(P143&gt;0,"Yes","No")</f>
        <v>Yes</v>
      </c>
    </row>
    <row r="144" customFormat="false" ht="15" hidden="false" customHeight="true" outlineLevel="0" collapsed="false">
      <c r="A144" s="21" t="s">
        <v>1187</v>
      </c>
      <c r="B144" s="21" t="s">
        <v>1188</v>
      </c>
      <c r="C144" s="21" t="s">
        <v>1181</v>
      </c>
      <c r="D144" s="21" t="s">
        <v>849</v>
      </c>
      <c r="E144" s="21" t="s">
        <v>857</v>
      </c>
      <c r="F144" s="21"/>
      <c r="G144" s="21"/>
      <c r="H144" s="21"/>
      <c r="I144" s="21"/>
      <c r="J144" s="21"/>
      <c r="K144" s="21"/>
      <c r="L144" s="21" t="s">
        <v>1182</v>
      </c>
      <c r="M144" s="21" t="str">
        <f aca="false">L144&amp;"|"&amp;E144</f>
        <v>PC5 + Uumodem|Elevation of Privilege</v>
      </c>
      <c r="N144" s="21" t="s">
        <v>1182</v>
      </c>
      <c r="O144" s="21" t="s">
        <v>842</v>
      </c>
      <c r="P144" s="21" t="n">
        <f aca="false">COUNTIF(Mapping!$G$2:$G$44,M144)</f>
        <v>0</v>
      </c>
      <c r="Q144" s="21" t="str">
        <f aca="false">IF(P144&gt;0,"Yes","No")</f>
        <v>No</v>
      </c>
    </row>
    <row r="145" customFormat="false" ht="15" hidden="false" customHeight="true" outlineLevel="0" collapsed="false">
      <c r="A145" s="21" t="s">
        <v>1189</v>
      </c>
      <c r="B145" s="21" t="s">
        <v>1190</v>
      </c>
      <c r="C145" s="21" t="s">
        <v>1181</v>
      </c>
      <c r="D145" s="21" t="s">
        <v>849</v>
      </c>
      <c r="E145" s="21" t="s">
        <v>307</v>
      </c>
      <c r="F145" s="21"/>
      <c r="G145" s="21"/>
      <c r="H145" s="21"/>
      <c r="I145" s="21"/>
      <c r="J145" s="21"/>
      <c r="K145" s="21"/>
      <c r="L145" s="21" t="s">
        <v>1182</v>
      </c>
      <c r="M145" s="21" t="str">
        <f aca="false">L145&amp;"|"&amp;E145</f>
        <v>PC5 + Uumodem|Repudiation</v>
      </c>
      <c r="N145" s="21" t="s">
        <v>1182</v>
      </c>
      <c r="O145" s="21" t="s">
        <v>842</v>
      </c>
      <c r="P145" s="21" t="n">
        <f aca="false">COUNTIF(Mapping!$G$2:$G$44,M145)</f>
        <v>0</v>
      </c>
      <c r="Q145" s="21" t="str">
        <f aca="false">IF(P145&gt;0,"Yes","No")</f>
        <v>No</v>
      </c>
    </row>
    <row r="146" customFormat="false" ht="15" hidden="false" customHeight="true" outlineLevel="0" collapsed="false">
      <c r="A146" s="21" t="s">
        <v>1191</v>
      </c>
      <c r="B146" s="21" t="s">
        <v>1192</v>
      </c>
      <c r="C146" s="21" t="s">
        <v>1193</v>
      </c>
      <c r="D146" s="21" t="s">
        <v>849</v>
      </c>
      <c r="E146" s="21" t="s">
        <v>850</v>
      </c>
      <c r="F146" s="21"/>
      <c r="G146" s="21"/>
      <c r="H146" s="21"/>
      <c r="I146" s="21"/>
      <c r="J146" s="21"/>
      <c r="K146" s="21"/>
      <c r="L146" s="21" t="s">
        <v>1194</v>
      </c>
      <c r="M146" s="21" t="str">
        <f aca="false">L146&amp;"|"&amp;E146</f>
        <v>PC5 + Uumodem::pc5_in|Information Disclosure</v>
      </c>
      <c r="N146" s="21" t="s">
        <v>1182</v>
      </c>
      <c r="O146" s="21" t="s">
        <v>863</v>
      </c>
      <c r="P146" s="21" t="n">
        <f aca="false">COUNTIF(Mapping!$G$2:$G$44,M146)</f>
        <v>0</v>
      </c>
      <c r="Q146" s="21" t="str">
        <f aca="false">IF(P146&gt;0,"Yes","No")</f>
        <v>No</v>
      </c>
    </row>
    <row r="147" customFormat="false" ht="15" hidden="false" customHeight="true" outlineLevel="0" collapsed="false">
      <c r="A147" s="21" t="s">
        <v>1195</v>
      </c>
      <c r="B147" s="21" t="s">
        <v>1196</v>
      </c>
      <c r="C147" s="21" t="s">
        <v>1193</v>
      </c>
      <c r="D147" s="21" t="s">
        <v>849</v>
      </c>
      <c r="E147" s="21" t="s">
        <v>53</v>
      </c>
      <c r="F147" s="21"/>
      <c r="G147" s="21"/>
      <c r="H147" s="21"/>
      <c r="I147" s="21"/>
      <c r="J147" s="21"/>
      <c r="K147" s="21"/>
      <c r="L147" s="21" t="s">
        <v>1194</v>
      </c>
      <c r="M147" s="21" t="str">
        <f aca="false">L147&amp;"|"&amp;E147</f>
        <v>PC5 + Uumodem::pc5_in|Tampering</v>
      </c>
      <c r="N147" s="21" t="s">
        <v>1182</v>
      </c>
      <c r="O147" s="21" t="s">
        <v>863</v>
      </c>
      <c r="P147" s="21" t="n">
        <f aca="false">COUNTIF(Mapping!$G$2:$G$44,M147)</f>
        <v>0</v>
      </c>
      <c r="Q147" s="21" t="str">
        <f aca="false">IF(P147&gt;0,"Yes","No")</f>
        <v>No</v>
      </c>
    </row>
    <row r="148" customFormat="false" ht="15" hidden="false" customHeight="true" outlineLevel="0" collapsed="false">
      <c r="A148" s="21" t="s">
        <v>1197</v>
      </c>
      <c r="B148" s="21" t="s">
        <v>1198</v>
      </c>
      <c r="C148" s="21" t="s">
        <v>1193</v>
      </c>
      <c r="D148" s="21" t="s">
        <v>849</v>
      </c>
      <c r="E148" s="21" t="s">
        <v>854</v>
      </c>
      <c r="F148" s="21"/>
      <c r="G148" s="21"/>
      <c r="H148" s="21"/>
      <c r="I148" s="21"/>
      <c r="J148" s="21"/>
      <c r="K148" s="21"/>
      <c r="L148" s="21" t="s">
        <v>1194</v>
      </c>
      <c r="M148" s="21" t="str">
        <f aca="false">L148&amp;"|"&amp;E148</f>
        <v>PC5 + Uumodem::pc5_in|Denial of Service</v>
      </c>
      <c r="N148" s="21" t="s">
        <v>1182</v>
      </c>
      <c r="O148" s="21" t="s">
        <v>863</v>
      </c>
      <c r="P148" s="21" t="n">
        <f aca="false">COUNTIF(Mapping!$G$2:$G$44,M148)</f>
        <v>0</v>
      </c>
      <c r="Q148" s="21" t="str">
        <f aca="false">IF(P148&gt;0,"Yes","No")</f>
        <v>No</v>
      </c>
    </row>
    <row r="149" customFormat="false" ht="15" hidden="false" customHeight="true" outlineLevel="0" collapsed="false">
      <c r="A149" s="21" t="s">
        <v>1199</v>
      </c>
      <c r="B149" s="21" t="s">
        <v>1200</v>
      </c>
      <c r="C149" s="21" t="s">
        <v>1201</v>
      </c>
      <c r="D149" s="21" t="s">
        <v>849</v>
      </c>
      <c r="E149" s="21" t="s">
        <v>850</v>
      </c>
      <c r="F149" s="21"/>
      <c r="G149" s="21"/>
      <c r="H149" s="21"/>
      <c r="I149" s="21"/>
      <c r="J149" s="21"/>
      <c r="K149" s="21"/>
      <c r="L149" s="21" t="s">
        <v>1202</v>
      </c>
      <c r="M149" s="21" t="str">
        <f aca="false">L149&amp;"|"&amp;E149</f>
        <v>PC5 + Uumodem::warning_out|Information Disclosure</v>
      </c>
      <c r="N149" s="21" t="s">
        <v>1182</v>
      </c>
      <c r="O149" s="21" t="s">
        <v>863</v>
      </c>
      <c r="P149" s="21" t="n">
        <f aca="false">COUNTIF(Mapping!$G$2:$G$44,M149)</f>
        <v>0</v>
      </c>
      <c r="Q149" s="21" t="str">
        <f aca="false">IF(P149&gt;0,"Yes","No")</f>
        <v>No</v>
      </c>
    </row>
    <row r="150" customFormat="false" ht="15" hidden="false" customHeight="true" outlineLevel="0" collapsed="false">
      <c r="A150" s="21" t="s">
        <v>1203</v>
      </c>
      <c r="B150" s="21" t="s">
        <v>1204</v>
      </c>
      <c r="C150" s="21" t="s">
        <v>1201</v>
      </c>
      <c r="D150" s="21" t="s">
        <v>849</v>
      </c>
      <c r="E150" s="21" t="s">
        <v>53</v>
      </c>
      <c r="F150" s="21"/>
      <c r="G150" s="21"/>
      <c r="H150" s="21"/>
      <c r="I150" s="21"/>
      <c r="J150" s="21"/>
      <c r="K150" s="21"/>
      <c r="L150" s="21" t="s">
        <v>1202</v>
      </c>
      <c r="M150" s="21" t="str">
        <f aca="false">L150&amp;"|"&amp;E150</f>
        <v>PC5 + Uumodem::warning_out|Tampering</v>
      </c>
      <c r="N150" s="21" t="s">
        <v>1182</v>
      </c>
      <c r="O150" s="21" t="s">
        <v>863</v>
      </c>
      <c r="P150" s="21" t="n">
        <f aca="false">COUNTIF(Mapping!$G$2:$G$44,M150)</f>
        <v>0</v>
      </c>
      <c r="Q150" s="21" t="str">
        <f aca="false">IF(P150&gt;0,"Yes","No")</f>
        <v>No</v>
      </c>
    </row>
    <row r="151" customFormat="false" ht="15" hidden="false" customHeight="true" outlineLevel="0" collapsed="false">
      <c r="A151" s="21" t="s">
        <v>1205</v>
      </c>
      <c r="B151" s="21" t="s">
        <v>1206</v>
      </c>
      <c r="C151" s="21" t="s">
        <v>1201</v>
      </c>
      <c r="D151" s="21" t="s">
        <v>849</v>
      </c>
      <c r="E151" s="21" t="s">
        <v>854</v>
      </c>
      <c r="F151" s="21"/>
      <c r="G151" s="21"/>
      <c r="H151" s="21"/>
      <c r="I151" s="21"/>
      <c r="J151" s="21"/>
      <c r="K151" s="21"/>
      <c r="L151" s="21" t="s">
        <v>1202</v>
      </c>
      <c r="M151" s="21" t="str">
        <f aca="false">L151&amp;"|"&amp;E151</f>
        <v>PC5 + Uumodem::warning_out|Denial of Service</v>
      </c>
      <c r="N151" s="21" t="s">
        <v>1182</v>
      </c>
      <c r="O151" s="21" t="s">
        <v>863</v>
      </c>
      <c r="P151" s="21" t="n">
        <f aca="false">COUNTIF(Mapping!$G$2:$G$44,M151)</f>
        <v>0</v>
      </c>
      <c r="Q151" s="21" t="str">
        <f aca="false">IF(P151&gt;0,"Yes","No")</f>
        <v>No</v>
      </c>
    </row>
    <row r="152" customFormat="false" ht="15" hidden="false" customHeight="true" outlineLevel="0" collapsed="false">
      <c r="A152" s="21" t="s">
        <v>1207</v>
      </c>
      <c r="B152" s="21" t="s">
        <v>1208</v>
      </c>
      <c r="C152" s="21" t="s">
        <v>1209</v>
      </c>
      <c r="D152" s="21" t="s">
        <v>849</v>
      </c>
      <c r="E152" s="21" t="s">
        <v>850</v>
      </c>
      <c r="F152" s="21"/>
      <c r="G152" s="21"/>
      <c r="H152" s="21"/>
      <c r="I152" s="21"/>
      <c r="J152" s="21"/>
      <c r="K152" s="21"/>
      <c r="L152" s="21" t="s">
        <v>1210</v>
      </c>
      <c r="M152" s="21" t="str">
        <f aca="false">L152&amp;"|"&amp;E152</f>
        <v>PC5 + Uumodem::uu_modem|Information Disclosure</v>
      </c>
      <c r="N152" s="21" t="s">
        <v>1182</v>
      </c>
      <c r="O152" s="21" t="s">
        <v>863</v>
      </c>
      <c r="P152" s="21" t="n">
        <f aca="false">COUNTIF(Mapping!$G$2:$G$44,M152)</f>
        <v>0</v>
      </c>
      <c r="Q152" s="21" t="str">
        <f aca="false">IF(P152&gt;0,"Yes","No")</f>
        <v>No</v>
      </c>
    </row>
    <row r="153" customFormat="false" ht="15" hidden="false" customHeight="true" outlineLevel="0" collapsed="false">
      <c r="A153" s="21" t="s">
        <v>1211</v>
      </c>
      <c r="B153" s="21" t="s">
        <v>1212</v>
      </c>
      <c r="C153" s="21" t="s">
        <v>1209</v>
      </c>
      <c r="D153" s="21" t="s">
        <v>849</v>
      </c>
      <c r="E153" s="21" t="s">
        <v>53</v>
      </c>
      <c r="F153" s="21"/>
      <c r="G153" s="21"/>
      <c r="H153" s="21"/>
      <c r="I153" s="21"/>
      <c r="J153" s="21"/>
      <c r="K153" s="21"/>
      <c r="L153" s="21" t="s">
        <v>1210</v>
      </c>
      <c r="M153" s="21" t="str">
        <f aca="false">L153&amp;"|"&amp;E153</f>
        <v>PC5 + Uumodem::uu_modem|Tampering</v>
      </c>
      <c r="N153" s="21" t="s">
        <v>1182</v>
      </c>
      <c r="O153" s="21" t="s">
        <v>863</v>
      </c>
      <c r="P153" s="21" t="n">
        <f aca="false">COUNTIF(Mapping!$G$2:$G$44,M153)</f>
        <v>0</v>
      </c>
      <c r="Q153" s="21" t="str">
        <f aca="false">IF(P153&gt;0,"Yes","No")</f>
        <v>No</v>
      </c>
    </row>
    <row r="154" customFormat="false" ht="15" hidden="false" customHeight="true" outlineLevel="0" collapsed="false">
      <c r="A154" s="21" t="s">
        <v>1213</v>
      </c>
      <c r="B154" s="21" t="s">
        <v>1214</v>
      </c>
      <c r="C154" s="21" t="s">
        <v>1209</v>
      </c>
      <c r="D154" s="21" t="s">
        <v>849</v>
      </c>
      <c r="E154" s="21" t="s">
        <v>854</v>
      </c>
      <c r="F154" s="21"/>
      <c r="G154" s="21"/>
      <c r="H154" s="21"/>
      <c r="I154" s="21"/>
      <c r="J154" s="21"/>
      <c r="K154" s="21"/>
      <c r="L154" s="21" t="s">
        <v>1210</v>
      </c>
      <c r="M154" s="21" t="str">
        <f aca="false">L154&amp;"|"&amp;E154</f>
        <v>PC5 + Uumodem::uu_modem|Denial of Service</v>
      </c>
      <c r="N154" s="21" t="s">
        <v>1182</v>
      </c>
      <c r="O154" s="21" t="s">
        <v>863</v>
      </c>
      <c r="P154" s="21" t="n">
        <f aca="false">COUNTIF(Mapping!$G$2:$G$44,M154)</f>
        <v>0</v>
      </c>
      <c r="Q154" s="21" t="str">
        <f aca="false">IF(P154&gt;0,"Yes","No")</f>
        <v>No</v>
      </c>
    </row>
    <row r="155" customFormat="false" ht="15" hidden="false" customHeight="true" outlineLevel="0" collapsed="false">
      <c r="A155" s="21" t="s">
        <v>1215</v>
      </c>
      <c r="B155" s="21" t="s">
        <v>1208</v>
      </c>
      <c r="C155" s="21" t="s">
        <v>1209</v>
      </c>
      <c r="D155" s="21" t="s">
        <v>849</v>
      </c>
      <c r="E155" s="21" t="s">
        <v>850</v>
      </c>
      <c r="F155" s="21"/>
      <c r="G155" s="21"/>
      <c r="H155" s="21"/>
      <c r="I155" s="21"/>
      <c r="J155" s="21"/>
      <c r="K155" s="21"/>
      <c r="L155" s="21" t="s">
        <v>1210</v>
      </c>
      <c r="M155" s="21" t="str">
        <f aca="false">L155&amp;"|"&amp;E155</f>
        <v>PC5 + Uumodem::uu_modem|Information Disclosure</v>
      </c>
      <c r="N155" s="21" t="s">
        <v>1182</v>
      </c>
      <c r="O155" s="21" t="s">
        <v>863</v>
      </c>
      <c r="P155" s="21" t="n">
        <f aca="false">COUNTIF(Mapping!$G$2:$G$44,M155)</f>
        <v>0</v>
      </c>
      <c r="Q155" s="21" t="str">
        <f aca="false">IF(P155&gt;0,"Yes","No")</f>
        <v>No</v>
      </c>
    </row>
    <row r="156" customFormat="false" ht="15" hidden="false" customHeight="true" outlineLevel="0" collapsed="false">
      <c r="A156" s="21" t="s">
        <v>1216</v>
      </c>
      <c r="B156" s="21" t="s">
        <v>1212</v>
      </c>
      <c r="C156" s="21" t="s">
        <v>1209</v>
      </c>
      <c r="D156" s="21" t="s">
        <v>849</v>
      </c>
      <c r="E156" s="21" t="s">
        <v>53</v>
      </c>
      <c r="F156" s="21"/>
      <c r="G156" s="21"/>
      <c r="H156" s="21"/>
      <c r="I156" s="21"/>
      <c r="J156" s="21"/>
      <c r="K156" s="21"/>
      <c r="L156" s="21" t="s">
        <v>1210</v>
      </c>
      <c r="M156" s="21" t="str">
        <f aca="false">L156&amp;"|"&amp;E156</f>
        <v>PC5 + Uumodem::uu_modem|Tampering</v>
      </c>
      <c r="N156" s="21" t="s">
        <v>1182</v>
      </c>
      <c r="O156" s="21" t="s">
        <v>863</v>
      </c>
      <c r="P156" s="21" t="n">
        <f aca="false">COUNTIF(Mapping!$G$2:$G$44,M156)</f>
        <v>0</v>
      </c>
      <c r="Q156" s="21" t="str">
        <f aca="false">IF(P156&gt;0,"Yes","No")</f>
        <v>No</v>
      </c>
    </row>
    <row r="157" customFormat="false" ht="15" hidden="false" customHeight="true" outlineLevel="0" collapsed="false">
      <c r="A157" s="21" t="s">
        <v>1217</v>
      </c>
      <c r="B157" s="21" t="s">
        <v>1214</v>
      </c>
      <c r="C157" s="21" t="s">
        <v>1209</v>
      </c>
      <c r="D157" s="21" t="s">
        <v>849</v>
      </c>
      <c r="E157" s="21" t="s">
        <v>854</v>
      </c>
      <c r="F157" s="21"/>
      <c r="G157" s="21"/>
      <c r="H157" s="21"/>
      <c r="I157" s="21"/>
      <c r="J157" s="21"/>
      <c r="K157" s="21"/>
      <c r="L157" s="21" t="s">
        <v>1210</v>
      </c>
      <c r="M157" s="21" t="str">
        <f aca="false">L157&amp;"|"&amp;E157</f>
        <v>PC5 + Uumodem::uu_modem|Denial of Service</v>
      </c>
      <c r="N157" s="21" t="s">
        <v>1182</v>
      </c>
      <c r="O157" s="21" t="s">
        <v>863</v>
      </c>
      <c r="P157" s="21" t="n">
        <f aca="false">COUNTIF(Mapping!$G$2:$G$44,M157)</f>
        <v>0</v>
      </c>
      <c r="Q157" s="21" t="str">
        <f aca="false">IF(P157&gt;0,"Yes","No")</f>
        <v>No</v>
      </c>
    </row>
    <row r="158" customFormat="false" ht="15" hidden="false" customHeight="true" outlineLevel="0" collapsed="false">
      <c r="A158" s="21" t="s">
        <v>1218</v>
      </c>
      <c r="B158" s="21" t="s">
        <v>1219</v>
      </c>
      <c r="C158" s="21" t="s">
        <v>1220</v>
      </c>
      <c r="D158" s="21" t="s">
        <v>849</v>
      </c>
      <c r="E158" s="21" t="s">
        <v>850</v>
      </c>
      <c r="F158" s="21"/>
      <c r="G158" s="21"/>
      <c r="H158" s="21"/>
      <c r="I158" s="21"/>
      <c r="J158" s="21"/>
      <c r="K158" s="21"/>
      <c r="L158" s="21" t="s">
        <v>1221</v>
      </c>
      <c r="M158" s="21" t="str">
        <f aca="false">L158&amp;"|"&amp;E158</f>
        <v>warning_out ↔ warning_in|Information Disclosure</v>
      </c>
      <c r="N158" s="21" t="s">
        <v>872</v>
      </c>
      <c r="O158" s="21" t="s">
        <v>873</v>
      </c>
      <c r="P158" s="21" t="n">
        <f aca="false">COUNTIF(Mapping!$G$2:$G$44,M158)</f>
        <v>0</v>
      </c>
      <c r="Q158" s="21" t="str">
        <f aca="false">IF(P158&gt;0,"Yes","No")</f>
        <v>No</v>
      </c>
    </row>
    <row r="159" customFormat="false" ht="15" hidden="false" customHeight="true" outlineLevel="0" collapsed="false">
      <c r="A159" s="21" t="s">
        <v>1222</v>
      </c>
      <c r="B159" s="21" t="s">
        <v>1223</v>
      </c>
      <c r="C159" s="21" t="s">
        <v>1220</v>
      </c>
      <c r="D159" s="21" t="s">
        <v>849</v>
      </c>
      <c r="E159" s="21" t="s">
        <v>53</v>
      </c>
      <c r="F159" s="21"/>
      <c r="G159" s="21"/>
      <c r="H159" s="21"/>
      <c r="I159" s="21"/>
      <c r="J159" s="21"/>
      <c r="K159" s="21"/>
      <c r="L159" s="21" t="s">
        <v>1221</v>
      </c>
      <c r="M159" s="21" t="str">
        <f aca="false">L159&amp;"|"&amp;E159</f>
        <v>warning_out ↔ warning_in|Tampering</v>
      </c>
      <c r="N159" s="21" t="s">
        <v>872</v>
      </c>
      <c r="O159" s="21" t="s">
        <v>873</v>
      </c>
      <c r="P159" s="21" t="n">
        <f aca="false">COUNTIF(Mapping!$G$2:$G$44,M159)</f>
        <v>1</v>
      </c>
      <c r="Q159" s="21" t="str">
        <f aca="false">IF(P159&gt;0,"Yes","No")</f>
        <v>Yes</v>
      </c>
    </row>
    <row r="160" customFormat="false" ht="15" hidden="false" customHeight="true" outlineLevel="0" collapsed="false">
      <c r="A160" s="21" t="s">
        <v>1224</v>
      </c>
      <c r="B160" s="21" t="s">
        <v>1225</v>
      </c>
      <c r="C160" s="21" t="s">
        <v>1220</v>
      </c>
      <c r="D160" s="21" t="s">
        <v>849</v>
      </c>
      <c r="E160" s="21" t="s">
        <v>854</v>
      </c>
      <c r="F160" s="21"/>
      <c r="G160" s="21"/>
      <c r="H160" s="21"/>
      <c r="I160" s="21"/>
      <c r="J160" s="21"/>
      <c r="K160" s="21"/>
      <c r="L160" s="21" t="s">
        <v>1221</v>
      </c>
      <c r="M160" s="21" t="str">
        <f aca="false">L160&amp;"|"&amp;E160</f>
        <v>warning_out ↔ warning_in|Denial of Service</v>
      </c>
      <c r="N160" s="21" t="s">
        <v>872</v>
      </c>
      <c r="O160" s="21" t="s">
        <v>873</v>
      </c>
      <c r="P160" s="21" t="n">
        <f aca="false">COUNTIF(Mapping!$G$2:$G$44,M160)</f>
        <v>0</v>
      </c>
      <c r="Q160" s="21" t="str">
        <f aca="false">IF(P160&gt;0,"Yes","No")</f>
        <v>No</v>
      </c>
    </row>
    <row r="161" customFormat="false" ht="15" hidden="false" customHeight="true" outlineLevel="0" collapsed="false">
      <c r="A161" s="21" t="s">
        <v>1226</v>
      </c>
      <c r="B161" s="21" t="s">
        <v>1227</v>
      </c>
      <c r="C161" s="21" t="s">
        <v>1228</v>
      </c>
      <c r="D161" s="21" t="s">
        <v>849</v>
      </c>
      <c r="E161" s="21" t="s">
        <v>850</v>
      </c>
      <c r="F161" s="21"/>
      <c r="G161" s="21"/>
      <c r="H161" s="21"/>
      <c r="I161" s="21"/>
      <c r="J161" s="21"/>
      <c r="K161" s="21"/>
      <c r="L161" s="21" t="s">
        <v>1229</v>
      </c>
      <c r="M161" s="21" t="str">
        <f aca="false">L161&amp;"|"&amp;E161</f>
        <v>uu_modem ↔ uu_in_2|Information Disclosure</v>
      </c>
      <c r="N161" s="21" t="s">
        <v>872</v>
      </c>
      <c r="O161" s="21" t="s">
        <v>873</v>
      </c>
      <c r="P161" s="21" t="n">
        <f aca="false">COUNTIF(Mapping!$G$2:$G$44,M161)</f>
        <v>0</v>
      </c>
      <c r="Q161" s="21" t="str">
        <f aca="false">IF(P161&gt;0,"Yes","No")</f>
        <v>No</v>
      </c>
    </row>
    <row r="162" customFormat="false" ht="15" hidden="false" customHeight="true" outlineLevel="0" collapsed="false">
      <c r="A162" s="21" t="s">
        <v>1230</v>
      </c>
      <c r="B162" s="21" t="s">
        <v>1231</v>
      </c>
      <c r="C162" s="21" t="s">
        <v>1228</v>
      </c>
      <c r="D162" s="21" t="s">
        <v>849</v>
      </c>
      <c r="E162" s="21" t="s">
        <v>53</v>
      </c>
      <c r="F162" s="21"/>
      <c r="G162" s="21"/>
      <c r="H162" s="21"/>
      <c r="I162" s="21"/>
      <c r="J162" s="21"/>
      <c r="K162" s="21"/>
      <c r="L162" s="21" t="s">
        <v>1229</v>
      </c>
      <c r="M162" s="21" t="str">
        <f aca="false">L162&amp;"|"&amp;E162</f>
        <v>uu_modem ↔ uu_in_2|Tampering</v>
      </c>
      <c r="N162" s="21" t="s">
        <v>872</v>
      </c>
      <c r="O162" s="21" t="s">
        <v>873</v>
      </c>
      <c r="P162" s="21" t="n">
        <f aca="false">COUNTIF(Mapping!$G$2:$G$44,M162)</f>
        <v>0</v>
      </c>
      <c r="Q162" s="21" t="str">
        <f aca="false">IF(P162&gt;0,"Yes","No")</f>
        <v>No</v>
      </c>
    </row>
    <row r="163" customFormat="false" ht="15" hidden="false" customHeight="true" outlineLevel="0" collapsed="false">
      <c r="A163" s="21" t="s">
        <v>1232</v>
      </c>
      <c r="B163" s="21" t="s">
        <v>1233</v>
      </c>
      <c r="C163" s="21" t="s">
        <v>1228</v>
      </c>
      <c r="D163" s="21" t="s">
        <v>849</v>
      </c>
      <c r="E163" s="21" t="s">
        <v>854</v>
      </c>
      <c r="F163" s="21"/>
      <c r="G163" s="21"/>
      <c r="H163" s="21"/>
      <c r="I163" s="21"/>
      <c r="J163" s="21"/>
      <c r="K163" s="21"/>
      <c r="L163" s="21" t="s">
        <v>1229</v>
      </c>
      <c r="M163" s="21" t="str">
        <f aca="false">L163&amp;"|"&amp;E163</f>
        <v>uu_modem ↔ uu_in_2|Denial of Service</v>
      </c>
      <c r="N163" s="21" t="s">
        <v>872</v>
      </c>
      <c r="O163" s="21" t="s">
        <v>873</v>
      </c>
      <c r="P163" s="21" t="n">
        <f aca="false">COUNTIF(Mapping!$G$2:$G$44,M163)</f>
        <v>0</v>
      </c>
      <c r="Q163" s="21" t="str">
        <f aca="false">IF(P163&gt;0,"Yes","No")</f>
        <v>No</v>
      </c>
    </row>
    <row r="164" customFormat="false" ht="15" hidden="false" customHeight="true" outlineLevel="0" collapsed="false">
      <c r="A164" s="21" t="s">
        <v>1234</v>
      </c>
      <c r="B164" s="21" t="s">
        <v>1235</v>
      </c>
      <c r="C164" s="21" t="s">
        <v>1236</v>
      </c>
      <c r="D164" s="21" t="s">
        <v>849</v>
      </c>
      <c r="E164" s="21" t="s">
        <v>850</v>
      </c>
      <c r="F164" s="21"/>
      <c r="G164" s="21"/>
      <c r="H164" s="21"/>
      <c r="I164" s="21"/>
      <c r="J164" s="21"/>
      <c r="K164" s="21"/>
      <c r="L164" s="21" t="s">
        <v>1237</v>
      </c>
      <c r="M164" s="21" t="str">
        <f aca="false">L164&amp;"|"&amp;E164</f>
        <v>Verify, warning logic|Information Disclosure</v>
      </c>
      <c r="N164" s="21" t="s">
        <v>1237</v>
      </c>
      <c r="O164" s="21" t="s">
        <v>842</v>
      </c>
      <c r="P164" s="21" t="n">
        <f aca="false">COUNTIF(Mapping!$G$2:$G$44,M164)</f>
        <v>0</v>
      </c>
      <c r="Q164" s="21" t="str">
        <f aca="false">IF(P164&gt;0,"Yes","No")</f>
        <v>No</v>
      </c>
    </row>
    <row r="165" customFormat="false" ht="15" hidden="false" customHeight="true" outlineLevel="0" collapsed="false">
      <c r="A165" s="21" t="s">
        <v>202</v>
      </c>
      <c r="B165" s="21" t="s">
        <v>1238</v>
      </c>
      <c r="C165" s="21" t="s">
        <v>1236</v>
      </c>
      <c r="D165" s="21" t="s">
        <v>849</v>
      </c>
      <c r="E165" s="21" t="s">
        <v>53</v>
      </c>
      <c r="F165" s="21"/>
      <c r="G165" s="21"/>
      <c r="H165" s="21"/>
      <c r="I165" s="21"/>
      <c r="J165" s="21"/>
      <c r="K165" s="21"/>
      <c r="L165" s="21" t="s">
        <v>1237</v>
      </c>
      <c r="M165" s="21" t="str">
        <f aca="false">L165&amp;"|"&amp;E165</f>
        <v>Verify, warning logic|Tampering</v>
      </c>
      <c r="N165" s="21" t="s">
        <v>1237</v>
      </c>
      <c r="O165" s="21" t="s">
        <v>842</v>
      </c>
      <c r="P165" s="21" t="n">
        <f aca="false">COUNTIF(Mapping!$G$2:$G$44,M165)</f>
        <v>1</v>
      </c>
      <c r="Q165" s="21" t="str">
        <f aca="false">IF(P165&gt;0,"Yes","No")</f>
        <v>Yes</v>
      </c>
    </row>
    <row r="166" customFormat="false" ht="15" hidden="false" customHeight="true" outlineLevel="0" collapsed="false">
      <c r="A166" s="21" t="s">
        <v>1239</v>
      </c>
      <c r="B166" s="21" t="s">
        <v>1240</v>
      </c>
      <c r="C166" s="21" t="s">
        <v>1236</v>
      </c>
      <c r="D166" s="21" t="s">
        <v>849</v>
      </c>
      <c r="E166" s="21" t="s">
        <v>854</v>
      </c>
      <c r="F166" s="21"/>
      <c r="G166" s="21"/>
      <c r="H166" s="21"/>
      <c r="I166" s="21"/>
      <c r="J166" s="21"/>
      <c r="K166" s="21"/>
      <c r="L166" s="21" t="s">
        <v>1237</v>
      </c>
      <c r="M166" s="21" t="str">
        <f aca="false">L166&amp;"|"&amp;E166</f>
        <v>Verify, warning logic|Denial of Service</v>
      </c>
      <c r="N166" s="21" t="s">
        <v>1237</v>
      </c>
      <c r="O166" s="21" t="s">
        <v>842</v>
      </c>
      <c r="P166" s="21" t="n">
        <f aca="false">COUNTIF(Mapping!$G$2:$G$44,M166)</f>
        <v>0</v>
      </c>
      <c r="Q166" s="21" t="str">
        <f aca="false">IF(P166&gt;0,"Yes","No")</f>
        <v>No</v>
      </c>
    </row>
    <row r="167" customFormat="false" ht="15" hidden="false" customHeight="true" outlineLevel="0" collapsed="false">
      <c r="A167" s="21" t="s">
        <v>1241</v>
      </c>
      <c r="B167" s="21" t="s">
        <v>1242</v>
      </c>
      <c r="C167" s="21" t="s">
        <v>1236</v>
      </c>
      <c r="D167" s="21" t="s">
        <v>849</v>
      </c>
      <c r="E167" s="21" t="s">
        <v>33</v>
      </c>
      <c r="F167" s="21"/>
      <c r="G167" s="21"/>
      <c r="H167" s="21"/>
      <c r="I167" s="21"/>
      <c r="J167" s="21"/>
      <c r="K167" s="21"/>
      <c r="L167" s="21" t="s">
        <v>1237</v>
      </c>
      <c r="M167" s="21" t="str">
        <f aca="false">L167&amp;"|"&amp;E167</f>
        <v>Verify, warning logic|Spoofing</v>
      </c>
      <c r="N167" s="21" t="s">
        <v>1237</v>
      </c>
      <c r="O167" s="21" t="s">
        <v>842</v>
      </c>
      <c r="P167" s="21" t="n">
        <f aca="false">COUNTIF(Mapping!$G$2:$G$44,M167)</f>
        <v>0</v>
      </c>
      <c r="Q167" s="21" t="str">
        <f aca="false">IF(P167&gt;0,"Yes","No")</f>
        <v>No</v>
      </c>
    </row>
    <row r="168" customFormat="false" ht="15" hidden="false" customHeight="true" outlineLevel="0" collapsed="false">
      <c r="A168" s="21" t="s">
        <v>1243</v>
      </c>
      <c r="B168" s="21" t="s">
        <v>1244</v>
      </c>
      <c r="C168" s="21" t="s">
        <v>1236</v>
      </c>
      <c r="D168" s="21" t="s">
        <v>849</v>
      </c>
      <c r="E168" s="21" t="s">
        <v>857</v>
      </c>
      <c r="F168" s="21"/>
      <c r="G168" s="21"/>
      <c r="H168" s="21"/>
      <c r="I168" s="21"/>
      <c r="J168" s="21"/>
      <c r="K168" s="21"/>
      <c r="L168" s="21" t="s">
        <v>1237</v>
      </c>
      <c r="M168" s="21" t="str">
        <f aca="false">L168&amp;"|"&amp;E168</f>
        <v>Verify, warning logic|Elevation of Privilege</v>
      </c>
      <c r="N168" s="21" t="s">
        <v>1237</v>
      </c>
      <c r="O168" s="21" t="s">
        <v>842</v>
      </c>
      <c r="P168" s="21" t="n">
        <f aca="false">COUNTIF(Mapping!$G$2:$G$44,M168)</f>
        <v>1</v>
      </c>
      <c r="Q168" s="21" t="str">
        <f aca="false">IF(P168&gt;0,"Yes","No")</f>
        <v>Yes</v>
      </c>
    </row>
    <row r="169" customFormat="false" ht="15" hidden="false" customHeight="true" outlineLevel="0" collapsed="false">
      <c r="A169" s="21" t="s">
        <v>1245</v>
      </c>
      <c r="B169" s="21" t="s">
        <v>1246</v>
      </c>
      <c r="C169" s="21" t="s">
        <v>1236</v>
      </c>
      <c r="D169" s="21" t="s">
        <v>849</v>
      </c>
      <c r="E169" s="21" t="s">
        <v>307</v>
      </c>
      <c r="F169" s="21"/>
      <c r="G169" s="21"/>
      <c r="H169" s="21"/>
      <c r="I169" s="21"/>
      <c r="J169" s="21"/>
      <c r="K169" s="21"/>
      <c r="L169" s="21" t="s">
        <v>1237</v>
      </c>
      <c r="M169" s="21" t="str">
        <f aca="false">L169&amp;"|"&amp;E169</f>
        <v>Verify, warning logic|Repudiation</v>
      </c>
      <c r="N169" s="21" t="s">
        <v>1237</v>
      </c>
      <c r="O169" s="21" t="s">
        <v>842</v>
      </c>
      <c r="P169" s="21" t="n">
        <f aca="false">COUNTIF(Mapping!$G$2:$G$44,M169)</f>
        <v>0</v>
      </c>
      <c r="Q169" s="21" t="str">
        <f aca="false">IF(P169&gt;0,"Yes","No")</f>
        <v>No</v>
      </c>
    </row>
    <row r="170" customFormat="false" ht="15" hidden="false" customHeight="true" outlineLevel="0" collapsed="false">
      <c r="A170" s="21" t="s">
        <v>1247</v>
      </c>
      <c r="B170" s="21" t="s">
        <v>1248</v>
      </c>
      <c r="C170" s="21" t="s">
        <v>1249</v>
      </c>
      <c r="D170" s="21" t="s">
        <v>849</v>
      </c>
      <c r="E170" s="21" t="s">
        <v>850</v>
      </c>
      <c r="F170" s="21"/>
      <c r="G170" s="21"/>
      <c r="H170" s="21"/>
      <c r="I170" s="21"/>
      <c r="J170" s="21"/>
      <c r="K170" s="21"/>
      <c r="L170" s="21" t="s">
        <v>1250</v>
      </c>
      <c r="M170" s="21" t="str">
        <f aca="false">L170&amp;"|"&amp;E170</f>
        <v>Verify, warning logic::warning_in|Information Disclosure</v>
      </c>
      <c r="N170" s="21" t="s">
        <v>1237</v>
      </c>
      <c r="O170" s="21" t="s">
        <v>863</v>
      </c>
      <c r="P170" s="21" t="n">
        <f aca="false">COUNTIF(Mapping!$G$2:$G$44,M170)</f>
        <v>0</v>
      </c>
      <c r="Q170" s="21" t="str">
        <f aca="false">IF(P170&gt;0,"Yes","No")</f>
        <v>No</v>
      </c>
    </row>
    <row r="171" customFormat="false" ht="15" hidden="false" customHeight="true" outlineLevel="0" collapsed="false">
      <c r="A171" s="21" t="s">
        <v>1251</v>
      </c>
      <c r="B171" s="21" t="s">
        <v>1252</v>
      </c>
      <c r="C171" s="21" t="s">
        <v>1249</v>
      </c>
      <c r="D171" s="21" t="s">
        <v>849</v>
      </c>
      <c r="E171" s="21" t="s">
        <v>53</v>
      </c>
      <c r="F171" s="21"/>
      <c r="G171" s="21"/>
      <c r="H171" s="21"/>
      <c r="I171" s="21"/>
      <c r="J171" s="21"/>
      <c r="K171" s="21"/>
      <c r="L171" s="21" t="s">
        <v>1250</v>
      </c>
      <c r="M171" s="21" t="str">
        <f aca="false">L171&amp;"|"&amp;E171</f>
        <v>Verify, warning logic::warning_in|Tampering</v>
      </c>
      <c r="N171" s="21" t="s">
        <v>1237</v>
      </c>
      <c r="O171" s="21" t="s">
        <v>863</v>
      </c>
      <c r="P171" s="21" t="n">
        <f aca="false">COUNTIF(Mapping!$G$2:$G$44,M171)</f>
        <v>0</v>
      </c>
      <c r="Q171" s="21" t="str">
        <f aca="false">IF(P171&gt;0,"Yes","No")</f>
        <v>No</v>
      </c>
    </row>
    <row r="172" customFormat="false" ht="15" hidden="false" customHeight="true" outlineLevel="0" collapsed="false">
      <c r="A172" s="21" t="s">
        <v>1253</v>
      </c>
      <c r="B172" s="21" t="s">
        <v>1254</v>
      </c>
      <c r="C172" s="21" t="s">
        <v>1249</v>
      </c>
      <c r="D172" s="21" t="s">
        <v>849</v>
      </c>
      <c r="E172" s="21" t="s">
        <v>854</v>
      </c>
      <c r="F172" s="21"/>
      <c r="G172" s="21"/>
      <c r="H172" s="21"/>
      <c r="I172" s="21"/>
      <c r="J172" s="21"/>
      <c r="K172" s="21"/>
      <c r="L172" s="21" t="s">
        <v>1250</v>
      </c>
      <c r="M172" s="21" t="str">
        <f aca="false">L172&amp;"|"&amp;E172</f>
        <v>Verify, warning logic::warning_in|Denial of Service</v>
      </c>
      <c r="N172" s="21" t="s">
        <v>1237</v>
      </c>
      <c r="O172" s="21" t="s">
        <v>863</v>
      </c>
      <c r="P172" s="21" t="n">
        <f aca="false">COUNTIF(Mapping!$G$2:$G$44,M172)</f>
        <v>0</v>
      </c>
      <c r="Q172" s="21" t="str">
        <f aca="false">IF(P172&gt;0,"Yes","No")</f>
        <v>No</v>
      </c>
    </row>
    <row r="173" customFormat="false" ht="15" hidden="false" customHeight="true" outlineLevel="0" collapsed="false">
      <c r="A173" s="21" t="s">
        <v>1255</v>
      </c>
      <c r="B173" s="21" t="s">
        <v>1256</v>
      </c>
      <c r="C173" s="21" t="s">
        <v>1257</v>
      </c>
      <c r="D173" s="21" t="s">
        <v>849</v>
      </c>
      <c r="E173" s="21" t="s">
        <v>850</v>
      </c>
      <c r="F173" s="21"/>
      <c r="G173" s="21"/>
      <c r="H173" s="21"/>
      <c r="I173" s="21"/>
      <c r="J173" s="21"/>
      <c r="K173" s="21"/>
      <c r="L173" s="21" t="s">
        <v>1258</v>
      </c>
      <c r="M173" s="21" t="str">
        <f aca="false">L173&amp;"|"&amp;E173</f>
        <v>Verify, warning logic::alert_out|Information Disclosure</v>
      </c>
      <c r="N173" s="21" t="s">
        <v>1237</v>
      </c>
      <c r="O173" s="21" t="s">
        <v>863</v>
      </c>
      <c r="P173" s="21" t="n">
        <f aca="false">COUNTIF(Mapping!$G$2:$G$44,M173)</f>
        <v>0</v>
      </c>
      <c r="Q173" s="21" t="str">
        <f aca="false">IF(P173&gt;0,"Yes","No")</f>
        <v>No</v>
      </c>
    </row>
    <row r="174" customFormat="false" ht="15" hidden="false" customHeight="true" outlineLevel="0" collapsed="false">
      <c r="A174" s="21" t="s">
        <v>1259</v>
      </c>
      <c r="B174" s="21" t="s">
        <v>1260</v>
      </c>
      <c r="C174" s="21" t="s">
        <v>1257</v>
      </c>
      <c r="D174" s="21" t="s">
        <v>849</v>
      </c>
      <c r="E174" s="21" t="s">
        <v>53</v>
      </c>
      <c r="F174" s="21"/>
      <c r="G174" s="21"/>
      <c r="H174" s="21"/>
      <c r="I174" s="21"/>
      <c r="J174" s="21"/>
      <c r="K174" s="21"/>
      <c r="L174" s="21" t="s">
        <v>1258</v>
      </c>
      <c r="M174" s="21" t="str">
        <f aca="false">L174&amp;"|"&amp;E174</f>
        <v>Verify, warning logic::alert_out|Tampering</v>
      </c>
      <c r="N174" s="21" t="s">
        <v>1237</v>
      </c>
      <c r="O174" s="21" t="s">
        <v>863</v>
      </c>
      <c r="P174" s="21" t="n">
        <f aca="false">COUNTIF(Mapping!$G$2:$G$44,M174)</f>
        <v>0</v>
      </c>
      <c r="Q174" s="21" t="str">
        <f aca="false">IF(P174&gt;0,"Yes","No")</f>
        <v>No</v>
      </c>
    </row>
    <row r="175" customFormat="false" ht="15" hidden="false" customHeight="true" outlineLevel="0" collapsed="false">
      <c r="A175" s="21" t="s">
        <v>1261</v>
      </c>
      <c r="B175" s="21" t="s">
        <v>1262</v>
      </c>
      <c r="C175" s="21" t="s">
        <v>1257</v>
      </c>
      <c r="D175" s="21" t="s">
        <v>849</v>
      </c>
      <c r="E175" s="21" t="s">
        <v>854</v>
      </c>
      <c r="F175" s="21"/>
      <c r="G175" s="21"/>
      <c r="H175" s="21"/>
      <c r="I175" s="21"/>
      <c r="J175" s="21"/>
      <c r="K175" s="21"/>
      <c r="L175" s="21" t="s">
        <v>1258</v>
      </c>
      <c r="M175" s="21" t="str">
        <f aca="false">L175&amp;"|"&amp;E175</f>
        <v>Verify, warning logic::alert_out|Denial of Service</v>
      </c>
      <c r="N175" s="21" t="s">
        <v>1237</v>
      </c>
      <c r="O175" s="21" t="s">
        <v>863</v>
      </c>
      <c r="P175" s="21" t="n">
        <f aca="false">COUNTIF(Mapping!$G$2:$G$44,M175)</f>
        <v>0</v>
      </c>
      <c r="Q175" s="21" t="str">
        <f aca="false">IF(P175&gt;0,"Yes","No")</f>
        <v>No</v>
      </c>
    </row>
    <row r="176" customFormat="false" ht="15" hidden="false" customHeight="true" outlineLevel="0" collapsed="false">
      <c r="A176" s="21" t="s">
        <v>1263</v>
      </c>
      <c r="B176" s="21" t="s">
        <v>1264</v>
      </c>
      <c r="C176" s="21" t="s">
        <v>1265</v>
      </c>
      <c r="D176" s="21" t="s">
        <v>849</v>
      </c>
      <c r="E176" s="21" t="s">
        <v>850</v>
      </c>
      <c r="F176" s="21"/>
      <c r="G176" s="21"/>
      <c r="H176" s="21"/>
      <c r="I176" s="21"/>
      <c r="J176" s="21"/>
      <c r="K176" s="21"/>
      <c r="L176" s="21" t="s">
        <v>1266</v>
      </c>
      <c r="M176" s="21" t="str">
        <f aca="false">L176&amp;"|"&amp;E176</f>
        <v>alert_out ↔ alert_in|Information Disclosure</v>
      </c>
      <c r="N176" s="21" t="s">
        <v>872</v>
      </c>
      <c r="O176" s="21" t="s">
        <v>873</v>
      </c>
      <c r="P176" s="21" t="n">
        <f aca="false">COUNTIF(Mapping!$G$2:$G$44,M176)</f>
        <v>0</v>
      </c>
      <c r="Q176" s="21" t="str">
        <f aca="false">IF(P176&gt;0,"Yes","No")</f>
        <v>No</v>
      </c>
    </row>
    <row r="177" customFormat="false" ht="15" hidden="false" customHeight="true" outlineLevel="0" collapsed="false">
      <c r="A177" s="21" t="s">
        <v>1267</v>
      </c>
      <c r="B177" s="21" t="s">
        <v>1268</v>
      </c>
      <c r="C177" s="21" t="s">
        <v>1265</v>
      </c>
      <c r="D177" s="21" t="s">
        <v>849</v>
      </c>
      <c r="E177" s="21" t="s">
        <v>53</v>
      </c>
      <c r="F177" s="21"/>
      <c r="G177" s="21"/>
      <c r="H177" s="21"/>
      <c r="I177" s="21"/>
      <c r="J177" s="21"/>
      <c r="K177" s="21"/>
      <c r="L177" s="21" t="s">
        <v>1266</v>
      </c>
      <c r="M177" s="21" t="str">
        <f aca="false">L177&amp;"|"&amp;E177</f>
        <v>alert_out ↔ alert_in|Tampering</v>
      </c>
      <c r="N177" s="21" t="s">
        <v>872</v>
      </c>
      <c r="O177" s="21" t="s">
        <v>873</v>
      </c>
      <c r="P177" s="21" t="n">
        <f aca="false">COUNTIF(Mapping!$G$2:$G$44,M177)</f>
        <v>0</v>
      </c>
      <c r="Q177" s="21" t="str">
        <f aca="false">IF(P177&gt;0,"Yes","No")</f>
        <v>No</v>
      </c>
    </row>
    <row r="178" customFormat="false" ht="15" hidden="false" customHeight="true" outlineLevel="0" collapsed="false">
      <c r="A178" s="21" t="s">
        <v>1269</v>
      </c>
      <c r="B178" s="21" t="s">
        <v>1270</v>
      </c>
      <c r="C178" s="21" t="s">
        <v>1265</v>
      </c>
      <c r="D178" s="21" t="s">
        <v>849</v>
      </c>
      <c r="E178" s="21" t="s">
        <v>854</v>
      </c>
      <c r="F178" s="21"/>
      <c r="G178" s="21"/>
      <c r="H178" s="21"/>
      <c r="I178" s="21"/>
      <c r="J178" s="21"/>
      <c r="K178" s="21"/>
      <c r="L178" s="21" t="s">
        <v>1266</v>
      </c>
      <c r="M178" s="21" t="str">
        <f aca="false">L178&amp;"|"&amp;E178</f>
        <v>alert_out ↔ alert_in|Denial of Service</v>
      </c>
      <c r="N178" s="21" t="s">
        <v>872</v>
      </c>
      <c r="O178" s="21" t="s">
        <v>873</v>
      </c>
      <c r="P178" s="21" t="n">
        <f aca="false">COUNTIF(Mapping!$G$2:$G$44,M178)</f>
        <v>0</v>
      </c>
      <c r="Q178" s="21" t="str">
        <f aca="false">IF(P178&gt;0,"Yes","No")</f>
        <v>No</v>
      </c>
    </row>
    <row r="179" customFormat="false" ht="15" hidden="false" customHeight="true" outlineLevel="0" collapsed="false">
      <c r="A179" s="21" t="s">
        <v>1271</v>
      </c>
      <c r="B179" s="21" t="s">
        <v>1272</v>
      </c>
      <c r="C179" s="21" t="s">
        <v>1273</v>
      </c>
      <c r="D179" s="21" t="s">
        <v>849</v>
      </c>
      <c r="E179" s="21" t="s">
        <v>850</v>
      </c>
      <c r="F179" s="21"/>
      <c r="G179" s="21"/>
      <c r="H179" s="21"/>
      <c r="I179" s="21"/>
      <c r="J179" s="21"/>
      <c r="K179" s="21"/>
      <c r="L179" s="21" t="s">
        <v>1274</v>
      </c>
      <c r="M179" s="21" t="str">
        <f aca="false">L179&amp;"|"&amp;E179</f>
        <v>Visual + audio alert|Information Disclosure</v>
      </c>
      <c r="N179" s="21" t="s">
        <v>1274</v>
      </c>
      <c r="O179" s="21" t="s">
        <v>842</v>
      </c>
      <c r="P179" s="21" t="n">
        <f aca="false">COUNTIF(Mapping!$G$2:$G$44,M179)</f>
        <v>0</v>
      </c>
      <c r="Q179" s="21" t="str">
        <f aca="false">IF(P179&gt;0,"Yes","No")</f>
        <v>No</v>
      </c>
    </row>
    <row r="180" customFormat="false" ht="15" hidden="false" customHeight="true" outlineLevel="0" collapsed="false">
      <c r="A180" s="21" t="s">
        <v>215</v>
      </c>
      <c r="B180" s="21" t="s">
        <v>1275</v>
      </c>
      <c r="C180" s="21" t="s">
        <v>1273</v>
      </c>
      <c r="D180" s="21" t="s">
        <v>849</v>
      </c>
      <c r="E180" s="21" t="s">
        <v>53</v>
      </c>
      <c r="F180" s="21"/>
      <c r="G180" s="21"/>
      <c r="H180" s="21"/>
      <c r="I180" s="21"/>
      <c r="J180" s="21"/>
      <c r="K180" s="21"/>
      <c r="L180" s="21" t="s">
        <v>1274</v>
      </c>
      <c r="M180" s="21" t="str">
        <f aca="false">L180&amp;"|"&amp;E180</f>
        <v>Visual + audio alert|Tampering</v>
      </c>
      <c r="N180" s="21" t="s">
        <v>1274</v>
      </c>
      <c r="O180" s="21" t="s">
        <v>842</v>
      </c>
      <c r="P180" s="21" t="n">
        <f aca="false">COUNTIF(Mapping!$G$2:$G$44,M180)</f>
        <v>1</v>
      </c>
      <c r="Q180" s="21" t="str">
        <f aca="false">IF(P180&gt;0,"Yes","No")</f>
        <v>Yes</v>
      </c>
    </row>
    <row r="181" customFormat="false" ht="15" hidden="false" customHeight="true" outlineLevel="0" collapsed="false">
      <c r="A181" s="21" t="s">
        <v>1276</v>
      </c>
      <c r="B181" s="21" t="s">
        <v>1277</v>
      </c>
      <c r="C181" s="21" t="s">
        <v>1273</v>
      </c>
      <c r="D181" s="21" t="s">
        <v>849</v>
      </c>
      <c r="E181" s="21" t="s">
        <v>854</v>
      </c>
      <c r="F181" s="21"/>
      <c r="G181" s="21"/>
      <c r="H181" s="21"/>
      <c r="I181" s="21"/>
      <c r="J181" s="21"/>
      <c r="K181" s="21"/>
      <c r="L181" s="21" t="s">
        <v>1274</v>
      </c>
      <c r="M181" s="21" t="str">
        <f aca="false">L181&amp;"|"&amp;E181</f>
        <v>Visual + audio alert|Denial of Service</v>
      </c>
      <c r="N181" s="21" t="s">
        <v>1274</v>
      </c>
      <c r="O181" s="21" t="s">
        <v>842</v>
      </c>
      <c r="P181" s="21" t="n">
        <f aca="false">COUNTIF(Mapping!$G$2:$G$44,M181)</f>
        <v>1</v>
      </c>
      <c r="Q181" s="21" t="str">
        <f aca="false">IF(P181&gt;0,"Yes","No")</f>
        <v>Yes</v>
      </c>
    </row>
    <row r="182" customFormat="false" ht="15" hidden="false" customHeight="true" outlineLevel="0" collapsed="false">
      <c r="A182" s="21" t="s">
        <v>1278</v>
      </c>
      <c r="B182" s="21" t="s">
        <v>1279</v>
      </c>
      <c r="C182" s="21" t="s">
        <v>1273</v>
      </c>
      <c r="D182" s="21" t="s">
        <v>849</v>
      </c>
      <c r="E182" s="21" t="s">
        <v>33</v>
      </c>
      <c r="F182" s="21"/>
      <c r="G182" s="21"/>
      <c r="H182" s="21"/>
      <c r="I182" s="21"/>
      <c r="J182" s="21"/>
      <c r="K182" s="21"/>
      <c r="L182" s="21" t="s">
        <v>1274</v>
      </c>
      <c r="M182" s="21" t="str">
        <f aca="false">L182&amp;"|"&amp;E182</f>
        <v>Visual + audio alert|Spoofing</v>
      </c>
      <c r="N182" s="21" t="s">
        <v>1274</v>
      </c>
      <c r="O182" s="21" t="s">
        <v>842</v>
      </c>
      <c r="P182" s="21" t="n">
        <f aca="false">COUNTIF(Mapping!$G$2:$G$44,M182)</f>
        <v>0</v>
      </c>
      <c r="Q182" s="21" t="str">
        <f aca="false">IF(P182&gt;0,"Yes","No")</f>
        <v>No</v>
      </c>
    </row>
    <row r="183" customFormat="false" ht="15" hidden="false" customHeight="true" outlineLevel="0" collapsed="false">
      <c r="A183" s="21" t="s">
        <v>1280</v>
      </c>
      <c r="B183" s="21" t="s">
        <v>1281</v>
      </c>
      <c r="C183" s="21" t="s">
        <v>1273</v>
      </c>
      <c r="D183" s="21" t="s">
        <v>849</v>
      </c>
      <c r="E183" s="21" t="s">
        <v>857</v>
      </c>
      <c r="F183" s="21"/>
      <c r="G183" s="21"/>
      <c r="H183" s="21"/>
      <c r="I183" s="21"/>
      <c r="J183" s="21"/>
      <c r="K183" s="21"/>
      <c r="L183" s="21" t="s">
        <v>1274</v>
      </c>
      <c r="M183" s="21" t="str">
        <f aca="false">L183&amp;"|"&amp;E183</f>
        <v>Visual + audio alert|Elevation of Privilege</v>
      </c>
      <c r="N183" s="21" t="s">
        <v>1274</v>
      </c>
      <c r="O183" s="21" t="s">
        <v>842</v>
      </c>
      <c r="P183" s="21" t="n">
        <f aca="false">COUNTIF(Mapping!$G$2:$G$44,M183)</f>
        <v>0</v>
      </c>
      <c r="Q183" s="21" t="str">
        <f aca="false">IF(P183&gt;0,"Yes","No")</f>
        <v>No</v>
      </c>
    </row>
    <row r="184" customFormat="false" ht="15" hidden="false" customHeight="true" outlineLevel="0" collapsed="false">
      <c r="A184" s="21" t="s">
        <v>1282</v>
      </c>
      <c r="B184" s="21" t="s">
        <v>1283</v>
      </c>
      <c r="C184" s="21" t="s">
        <v>1273</v>
      </c>
      <c r="D184" s="21" t="s">
        <v>849</v>
      </c>
      <c r="E184" s="21" t="s">
        <v>307</v>
      </c>
      <c r="F184" s="21"/>
      <c r="G184" s="21"/>
      <c r="H184" s="21"/>
      <c r="I184" s="21"/>
      <c r="J184" s="21"/>
      <c r="K184" s="21"/>
      <c r="L184" s="21" t="s">
        <v>1274</v>
      </c>
      <c r="M184" s="21" t="str">
        <f aca="false">L184&amp;"|"&amp;E184</f>
        <v>Visual + audio alert|Repudiation</v>
      </c>
      <c r="N184" s="21" t="s">
        <v>1274</v>
      </c>
      <c r="O184" s="21" t="s">
        <v>842</v>
      </c>
      <c r="P184" s="21" t="n">
        <f aca="false">COUNTIF(Mapping!$G$2:$G$44,M184)</f>
        <v>0</v>
      </c>
      <c r="Q184" s="21" t="str">
        <f aca="false">IF(P184&gt;0,"Yes","No")</f>
        <v>No</v>
      </c>
    </row>
    <row r="185" customFormat="false" ht="15" hidden="false" customHeight="true" outlineLevel="0" collapsed="false">
      <c r="A185" s="21" t="s">
        <v>1284</v>
      </c>
      <c r="B185" s="21" t="s">
        <v>1285</v>
      </c>
      <c r="C185" s="21" t="s">
        <v>1286</v>
      </c>
      <c r="D185" s="21" t="s">
        <v>849</v>
      </c>
      <c r="E185" s="21" t="s">
        <v>850</v>
      </c>
      <c r="F185" s="21"/>
      <c r="G185" s="21"/>
      <c r="H185" s="21"/>
      <c r="I185" s="21"/>
      <c r="J185" s="21"/>
      <c r="K185" s="21"/>
      <c r="L185" s="21" t="s">
        <v>1287</v>
      </c>
      <c r="M185" s="21" t="str">
        <f aca="false">L185&amp;"|"&amp;E185</f>
        <v>Visual + audio alert::alert_in|Information Disclosure</v>
      </c>
      <c r="N185" s="21" t="s">
        <v>1274</v>
      </c>
      <c r="O185" s="21" t="s">
        <v>863</v>
      </c>
      <c r="P185" s="21" t="n">
        <f aca="false">COUNTIF(Mapping!$G$2:$G$44,M185)</f>
        <v>0</v>
      </c>
      <c r="Q185" s="21" t="str">
        <f aca="false">IF(P185&gt;0,"Yes","No")</f>
        <v>No</v>
      </c>
    </row>
    <row r="186" customFormat="false" ht="15" hidden="false" customHeight="true" outlineLevel="0" collapsed="false">
      <c r="A186" s="21" t="s">
        <v>1288</v>
      </c>
      <c r="B186" s="21" t="s">
        <v>1289</v>
      </c>
      <c r="C186" s="21" t="s">
        <v>1286</v>
      </c>
      <c r="D186" s="21" t="s">
        <v>849</v>
      </c>
      <c r="E186" s="21" t="s">
        <v>53</v>
      </c>
      <c r="F186" s="21"/>
      <c r="G186" s="21"/>
      <c r="H186" s="21"/>
      <c r="I186" s="21"/>
      <c r="J186" s="21"/>
      <c r="K186" s="21"/>
      <c r="L186" s="21" t="s">
        <v>1287</v>
      </c>
      <c r="M186" s="21" t="str">
        <f aca="false">L186&amp;"|"&amp;E186</f>
        <v>Visual + audio alert::alert_in|Tampering</v>
      </c>
      <c r="N186" s="21" t="s">
        <v>1274</v>
      </c>
      <c r="O186" s="21" t="s">
        <v>863</v>
      </c>
      <c r="P186" s="21" t="n">
        <f aca="false">COUNTIF(Mapping!$G$2:$G$44,M186)</f>
        <v>0</v>
      </c>
      <c r="Q186" s="21" t="str">
        <f aca="false">IF(P186&gt;0,"Yes","No")</f>
        <v>No</v>
      </c>
    </row>
    <row r="187" customFormat="false" ht="15" hidden="false" customHeight="true" outlineLevel="0" collapsed="false">
      <c r="A187" s="21" t="s">
        <v>1290</v>
      </c>
      <c r="B187" s="21" t="s">
        <v>1291</v>
      </c>
      <c r="C187" s="21" t="s">
        <v>1286</v>
      </c>
      <c r="D187" s="21" t="s">
        <v>849</v>
      </c>
      <c r="E187" s="21" t="s">
        <v>854</v>
      </c>
      <c r="F187" s="21"/>
      <c r="G187" s="21"/>
      <c r="H187" s="21"/>
      <c r="I187" s="21"/>
      <c r="J187" s="21"/>
      <c r="K187" s="21"/>
      <c r="L187" s="21" t="s">
        <v>1287</v>
      </c>
      <c r="M187" s="21" t="str">
        <f aca="false">L187&amp;"|"&amp;E187</f>
        <v>Visual + audio alert::alert_in|Denial of Service</v>
      </c>
      <c r="N187" s="21" t="s">
        <v>1274</v>
      </c>
      <c r="O187" s="21" t="s">
        <v>863</v>
      </c>
      <c r="P187" s="21" t="n">
        <f aca="false">COUNTIF(Mapping!$G$2:$G$44,M187)</f>
        <v>0</v>
      </c>
      <c r="Q187" s="21" t="str">
        <f aca="false">IF(P187&gt;0,"Yes","No")</f>
        <v>No</v>
      </c>
    </row>
    <row r="188" customFormat="false" ht="15" hidden="false" customHeight="true" outlineLevel="0" collapsed="false">
      <c r="A188" s="21" t="s">
        <v>278</v>
      </c>
      <c r="B188" s="21" t="s">
        <v>1292</v>
      </c>
      <c r="C188" s="21" t="s">
        <v>1293</v>
      </c>
      <c r="D188" s="21" t="s">
        <v>849</v>
      </c>
      <c r="E188" s="21" t="s">
        <v>850</v>
      </c>
      <c r="F188" s="21"/>
      <c r="G188" s="21"/>
      <c r="H188" s="21"/>
      <c r="I188" s="21"/>
      <c r="J188" s="21"/>
      <c r="K188" s="21"/>
      <c r="L188" s="21" t="s">
        <v>1294</v>
      </c>
      <c r="M188" s="21" t="str">
        <f aca="false">L188&amp;"|"&amp;E188</f>
        <v>Gemini API|Information Disclosure</v>
      </c>
      <c r="N188" s="21" t="s">
        <v>1294</v>
      </c>
      <c r="O188" s="21" t="s">
        <v>842</v>
      </c>
      <c r="P188" s="21" t="n">
        <f aca="false">COUNTIF(Mapping!$G$2:$G$44,M188)</f>
        <v>1</v>
      </c>
      <c r="Q188" s="21" t="str">
        <f aca="false">IF(P188&gt;0,"Yes","No")</f>
        <v>Yes</v>
      </c>
    </row>
    <row r="189" customFormat="false" ht="15" hidden="false" customHeight="true" outlineLevel="0" collapsed="false">
      <c r="A189" s="21" t="s">
        <v>265</v>
      </c>
      <c r="B189" s="21" t="s">
        <v>1295</v>
      </c>
      <c r="C189" s="21" t="s">
        <v>1293</v>
      </c>
      <c r="D189" s="21" t="s">
        <v>849</v>
      </c>
      <c r="E189" s="21" t="s">
        <v>53</v>
      </c>
      <c r="F189" s="21"/>
      <c r="G189" s="21"/>
      <c r="H189" s="21"/>
      <c r="I189" s="21"/>
      <c r="J189" s="21"/>
      <c r="K189" s="21"/>
      <c r="L189" s="21" t="s">
        <v>1294</v>
      </c>
      <c r="M189" s="21" t="str">
        <f aca="false">L189&amp;"|"&amp;E189</f>
        <v>Gemini API|Tampering</v>
      </c>
      <c r="N189" s="21" t="s">
        <v>1294</v>
      </c>
      <c r="O189" s="21" t="s">
        <v>842</v>
      </c>
      <c r="P189" s="21" t="n">
        <f aca="false">COUNTIF(Mapping!$G$2:$G$44,M189)</f>
        <v>1</v>
      </c>
      <c r="Q189" s="21" t="str">
        <f aca="false">IF(P189&gt;0,"Yes","No")</f>
        <v>Yes</v>
      </c>
    </row>
    <row r="190" customFormat="false" ht="15" hidden="false" customHeight="true" outlineLevel="0" collapsed="false">
      <c r="A190" s="21" t="s">
        <v>291</v>
      </c>
      <c r="B190" s="21" t="s">
        <v>1296</v>
      </c>
      <c r="C190" s="21" t="s">
        <v>1293</v>
      </c>
      <c r="D190" s="21" t="s">
        <v>849</v>
      </c>
      <c r="E190" s="21" t="s">
        <v>854</v>
      </c>
      <c r="F190" s="21"/>
      <c r="G190" s="21"/>
      <c r="H190" s="21"/>
      <c r="I190" s="21"/>
      <c r="J190" s="21"/>
      <c r="K190" s="21"/>
      <c r="L190" s="21" t="s">
        <v>1294</v>
      </c>
      <c r="M190" s="21" t="str">
        <f aca="false">L190&amp;"|"&amp;E190</f>
        <v>Gemini API|Denial of Service</v>
      </c>
      <c r="N190" s="21" t="s">
        <v>1294</v>
      </c>
      <c r="O190" s="21" t="s">
        <v>842</v>
      </c>
      <c r="P190" s="21" t="n">
        <f aca="false">COUNTIF(Mapping!$G$2:$G$44,M190)</f>
        <v>1</v>
      </c>
      <c r="Q190" s="21" t="str">
        <f aca="false">IF(P190&gt;0,"Yes","No")</f>
        <v>Yes</v>
      </c>
    </row>
    <row r="191" customFormat="false" ht="15" hidden="false" customHeight="true" outlineLevel="0" collapsed="false">
      <c r="A191" s="21" t="s">
        <v>1297</v>
      </c>
      <c r="B191" s="21" t="s">
        <v>1298</v>
      </c>
      <c r="C191" s="21" t="s">
        <v>1293</v>
      </c>
      <c r="D191" s="21" t="s">
        <v>849</v>
      </c>
      <c r="E191" s="21" t="s">
        <v>33</v>
      </c>
      <c r="F191" s="21"/>
      <c r="G191" s="21"/>
      <c r="H191" s="21"/>
      <c r="I191" s="21"/>
      <c r="J191" s="21"/>
      <c r="K191" s="21"/>
      <c r="L191" s="21" t="s">
        <v>1294</v>
      </c>
      <c r="M191" s="21" t="str">
        <f aca="false">L191&amp;"|"&amp;E191</f>
        <v>Gemini API|Spoofing</v>
      </c>
      <c r="N191" s="21" t="s">
        <v>1294</v>
      </c>
      <c r="O191" s="21" t="s">
        <v>842</v>
      </c>
      <c r="P191" s="21" t="n">
        <f aca="false">COUNTIF(Mapping!$G$2:$G$44,M191)</f>
        <v>1</v>
      </c>
      <c r="Q191" s="21" t="str">
        <f aca="false">IF(P191&gt;0,"Yes","No")</f>
        <v>Yes</v>
      </c>
    </row>
    <row r="192" customFormat="false" ht="15" hidden="false" customHeight="true" outlineLevel="0" collapsed="false">
      <c r="A192" s="21" t="s">
        <v>1299</v>
      </c>
      <c r="B192" s="21" t="s">
        <v>1300</v>
      </c>
      <c r="C192" s="21" t="s">
        <v>1293</v>
      </c>
      <c r="D192" s="21" t="s">
        <v>849</v>
      </c>
      <c r="E192" s="21" t="s">
        <v>857</v>
      </c>
      <c r="F192" s="21"/>
      <c r="G192" s="21"/>
      <c r="H192" s="21"/>
      <c r="I192" s="21"/>
      <c r="J192" s="21"/>
      <c r="K192" s="21"/>
      <c r="L192" s="21" t="s">
        <v>1294</v>
      </c>
      <c r="M192" s="21" t="str">
        <f aca="false">L192&amp;"|"&amp;E192</f>
        <v>Gemini API|Elevation of Privilege</v>
      </c>
      <c r="N192" s="21" t="s">
        <v>1294</v>
      </c>
      <c r="O192" s="21" t="s">
        <v>842</v>
      </c>
      <c r="P192" s="21" t="n">
        <f aca="false">COUNTIF(Mapping!$G$2:$G$44,M192)</f>
        <v>0</v>
      </c>
      <c r="Q192" s="21" t="str">
        <f aca="false">IF(P192&gt;0,"Yes","No")</f>
        <v>No</v>
      </c>
    </row>
    <row r="193" customFormat="false" ht="15" hidden="false" customHeight="true" outlineLevel="0" collapsed="false">
      <c r="A193" s="21" t="s">
        <v>1301</v>
      </c>
      <c r="B193" s="21" t="s">
        <v>1302</v>
      </c>
      <c r="C193" s="21" t="s">
        <v>1293</v>
      </c>
      <c r="D193" s="21" t="s">
        <v>849</v>
      </c>
      <c r="E193" s="21" t="s">
        <v>307</v>
      </c>
      <c r="F193" s="21"/>
      <c r="G193" s="21"/>
      <c r="H193" s="21"/>
      <c r="I193" s="21"/>
      <c r="J193" s="21"/>
      <c r="K193" s="21"/>
      <c r="L193" s="21" t="s">
        <v>1294</v>
      </c>
      <c r="M193" s="21" t="str">
        <f aca="false">L193&amp;"|"&amp;E193</f>
        <v>Gemini API|Repudiation</v>
      </c>
      <c r="N193" s="21" t="s">
        <v>1294</v>
      </c>
      <c r="O193" s="21" t="s">
        <v>842</v>
      </c>
      <c r="P193" s="21" t="n">
        <f aca="false">COUNTIF(Mapping!$G$2:$G$44,M193)</f>
        <v>1</v>
      </c>
      <c r="Q193" s="21" t="str">
        <f aca="false">IF(P193&gt;0,"Yes","No")</f>
        <v>Yes</v>
      </c>
    </row>
    <row r="194" customFormat="false" ht="15" hidden="false" customHeight="true" outlineLevel="0" collapsed="false">
      <c r="A194" s="21" t="s">
        <v>1303</v>
      </c>
      <c r="B194" s="21" t="s">
        <v>1304</v>
      </c>
      <c r="C194" s="21" t="s">
        <v>1305</v>
      </c>
      <c r="D194" s="21" t="s">
        <v>849</v>
      </c>
      <c r="E194" s="21" t="s">
        <v>850</v>
      </c>
      <c r="F194" s="21"/>
      <c r="G194" s="21"/>
      <c r="H194" s="21"/>
      <c r="I194" s="21"/>
      <c r="J194" s="21"/>
      <c r="K194" s="21"/>
      <c r="L194" s="21" t="s">
        <v>1306</v>
      </c>
      <c r="M194" s="21" t="str">
        <f aca="false">L194&amp;"|"&amp;E194</f>
        <v>Gemini API::mllm_in|Information Disclosure</v>
      </c>
      <c r="N194" s="21" t="s">
        <v>1294</v>
      </c>
      <c r="O194" s="21" t="s">
        <v>863</v>
      </c>
      <c r="P194" s="21" t="n">
        <f aca="false">COUNTIF(Mapping!$G$2:$G$44,M194)</f>
        <v>0</v>
      </c>
      <c r="Q194" s="21" t="str">
        <f aca="false">IF(P194&gt;0,"Yes","No")</f>
        <v>No</v>
      </c>
    </row>
    <row r="195" customFormat="false" ht="15" hidden="false" customHeight="true" outlineLevel="0" collapsed="false">
      <c r="A195" s="21" t="s">
        <v>1307</v>
      </c>
      <c r="B195" s="21" t="s">
        <v>1308</v>
      </c>
      <c r="C195" s="21" t="s">
        <v>1305</v>
      </c>
      <c r="D195" s="21" t="s">
        <v>849</v>
      </c>
      <c r="E195" s="21" t="s">
        <v>53</v>
      </c>
      <c r="F195" s="21"/>
      <c r="G195" s="21"/>
      <c r="H195" s="21"/>
      <c r="I195" s="21"/>
      <c r="J195" s="21"/>
      <c r="K195" s="21"/>
      <c r="L195" s="21" t="s">
        <v>1306</v>
      </c>
      <c r="M195" s="21" t="str">
        <f aca="false">L195&amp;"|"&amp;E195</f>
        <v>Gemini API::mllm_in|Tampering</v>
      </c>
      <c r="N195" s="21" t="s">
        <v>1294</v>
      </c>
      <c r="O195" s="21" t="s">
        <v>863</v>
      </c>
      <c r="P195" s="21" t="n">
        <f aca="false">COUNTIF(Mapping!$G$2:$G$44,M195)</f>
        <v>0</v>
      </c>
      <c r="Q195" s="21" t="str">
        <f aca="false">IF(P195&gt;0,"Yes","No")</f>
        <v>No</v>
      </c>
    </row>
    <row r="196" customFormat="false" ht="15" hidden="false" customHeight="true" outlineLevel="0" collapsed="false">
      <c r="A196" s="21" t="s">
        <v>1309</v>
      </c>
      <c r="B196" s="21" t="s">
        <v>1310</v>
      </c>
      <c r="C196" s="21" t="s">
        <v>1305</v>
      </c>
      <c r="D196" s="21" t="s">
        <v>849</v>
      </c>
      <c r="E196" s="21" t="s">
        <v>854</v>
      </c>
      <c r="F196" s="21"/>
      <c r="G196" s="21"/>
      <c r="H196" s="21"/>
      <c r="I196" s="21"/>
      <c r="J196" s="21"/>
      <c r="K196" s="21"/>
      <c r="L196" s="21" t="s">
        <v>1306</v>
      </c>
      <c r="M196" s="21" t="str">
        <f aca="false">L196&amp;"|"&amp;E196</f>
        <v>Gemini API::mllm_in|Denial of Service</v>
      </c>
      <c r="N196" s="21" t="s">
        <v>1294</v>
      </c>
      <c r="O196" s="21" t="s">
        <v>863</v>
      </c>
      <c r="P196" s="21" t="n">
        <f aca="false">COUNTIF(Mapping!$G$2:$G$44,M196)</f>
        <v>0</v>
      </c>
      <c r="Q196" s="21" t="str">
        <f aca="false">IF(P196&gt;0,"Yes","No")</f>
        <v>No</v>
      </c>
    </row>
    <row r="197" customFormat="false" ht="15" hidden="false" customHeight="true" outlineLevel="0" collapsed="false">
      <c r="A197" s="21" t="s">
        <v>1311</v>
      </c>
      <c r="B197" s="21" t="s">
        <v>1312</v>
      </c>
      <c r="C197" s="21" t="s">
        <v>1313</v>
      </c>
      <c r="D197" s="21" t="s">
        <v>849</v>
      </c>
      <c r="E197" s="21" t="s">
        <v>850</v>
      </c>
      <c r="F197" s="21"/>
      <c r="G197" s="21"/>
      <c r="H197" s="21"/>
      <c r="I197" s="21"/>
      <c r="J197" s="21"/>
      <c r="K197" s="21"/>
      <c r="L197" s="21" t="s">
        <v>1314</v>
      </c>
      <c r="M197" s="21" t="str">
        <f aca="false">L197&amp;"|"&amp;E197</f>
        <v>Gemini API::mllm_in_2|Information Disclosure</v>
      </c>
      <c r="N197" s="21" t="s">
        <v>1294</v>
      </c>
      <c r="O197" s="21" t="s">
        <v>863</v>
      </c>
      <c r="P197" s="21" t="n">
        <f aca="false">COUNTIF(Mapping!$G$2:$G$44,M197)</f>
        <v>0</v>
      </c>
      <c r="Q197" s="21" t="str">
        <f aca="false">IF(P197&gt;0,"Yes","No")</f>
        <v>No</v>
      </c>
    </row>
    <row r="198" customFormat="false" ht="15" hidden="false" customHeight="true" outlineLevel="0" collapsed="false">
      <c r="A198" s="21" t="s">
        <v>1315</v>
      </c>
      <c r="B198" s="21" t="s">
        <v>1316</v>
      </c>
      <c r="C198" s="21" t="s">
        <v>1313</v>
      </c>
      <c r="D198" s="21" t="s">
        <v>849</v>
      </c>
      <c r="E198" s="21" t="s">
        <v>53</v>
      </c>
      <c r="F198" s="21"/>
      <c r="G198" s="21"/>
      <c r="H198" s="21"/>
      <c r="I198" s="21"/>
      <c r="J198" s="21"/>
      <c r="K198" s="21"/>
      <c r="L198" s="21" t="s">
        <v>1314</v>
      </c>
      <c r="M198" s="21" t="str">
        <f aca="false">L198&amp;"|"&amp;E198</f>
        <v>Gemini API::mllm_in_2|Tampering</v>
      </c>
      <c r="N198" s="21" t="s">
        <v>1294</v>
      </c>
      <c r="O198" s="21" t="s">
        <v>863</v>
      </c>
      <c r="P198" s="21" t="n">
        <f aca="false">COUNTIF(Mapping!$G$2:$G$44,M198)</f>
        <v>0</v>
      </c>
      <c r="Q198" s="21" t="str">
        <f aca="false">IF(P198&gt;0,"Yes","No")</f>
        <v>No</v>
      </c>
    </row>
    <row r="199" customFormat="false" ht="15" hidden="false" customHeight="true" outlineLevel="0" collapsed="false">
      <c r="A199" s="21" t="s">
        <v>1317</v>
      </c>
      <c r="B199" s="21" t="s">
        <v>1318</v>
      </c>
      <c r="C199" s="21" t="s">
        <v>1313</v>
      </c>
      <c r="D199" s="21" t="s">
        <v>849</v>
      </c>
      <c r="E199" s="21" t="s">
        <v>854</v>
      </c>
      <c r="F199" s="21"/>
      <c r="G199" s="21"/>
      <c r="H199" s="21"/>
      <c r="I199" s="21"/>
      <c r="J199" s="21"/>
      <c r="K199" s="21"/>
      <c r="L199" s="21" t="s">
        <v>1314</v>
      </c>
      <c r="M199" s="21" t="str">
        <f aca="false">L199&amp;"|"&amp;E199</f>
        <v>Gemini API::mllm_in_2|Denial of Service</v>
      </c>
      <c r="N199" s="21" t="s">
        <v>1294</v>
      </c>
      <c r="O199" s="21" t="s">
        <v>863</v>
      </c>
      <c r="P199" s="21" t="n">
        <f aca="false">COUNTIF(Mapping!$G$2:$G$44,M199)</f>
        <v>0</v>
      </c>
      <c r="Q199" s="21" t="str">
        <f aca="false">IF(P199&gt;0,"Yes","No")</f>
        <v>No</v>
      </c>
    </row>
    <row r="200" customFormat="false" ht="15" hidden="false" customHeight="true" outlineLevel="0" collapsed="false">
      <c r="A200" s="21" t="s">
        <v>1319</v>
      </c>
      <c r="B200" s="21" t="s">
        <v>1320</v>
      </c>
      <c r="C200" s="21" t="s">
        <v>1321</v>
      </c>
      <c r="D200" s="21" t="s">
        <v>849</v>
      </c>
      <c r="E200" s="21" t="s">
        <v>850</v>
      </c>
      <c r="F200" s="21"/>
      <c r="G200" s="21"/>
      <c r="H200" s="21"/>
      <c r="I200" s="21"/>
      <c r="J200" s="21"/>
      <c r="K200" s="21"/>
      <c r="L200" s="21" t="s">
        <v>1322</v>
      </c>
      <c r="M200" s="21" t="str">
        <f aca="false">L200&amp;"|"&amp;E200</f>
        <v>Gemini API::mllm_link_1|Information Disclosure</v>
      </c>
      <c r="N200" s="21" t="s">
        <v>1294</v>
      </c>
      <c r="O200" s="21" t="s">
        <v>863</v>
      </c>
      <c r="P200" s="21" t="n">
        <f aca="false">COUNTIF(Mapping!$G$2:$G$44,M200)</f>
        <v>0</v>
      </c>
      <c r="Q200" s="21" t="str">
        <f aca="false">IF(P200&gt;0,"Yes","No")</f>
        <v>No</v>
      </c>
    </row>
    <row r="201" customFormat="false" ht="15" hidden="false" customHeight="true" outlineLevel="0" collapsed="false">
      <c r="A201" s="21" t="s">
        <v>1323</v>
      </c>
      <c r="B201" s="21" t="s">
        <v>1324</v>
      </c>
      <c r="C201" s="21" t="s">
        <v>1321</v>
      </c>
      <c r="D201" s="21" t="s">
        <v>849</v>
      </c>
      <c r="E201" s="21" t="s">
        <v>53</v>
      </c>
      <c r="F201" s="21"/>
      <c r="G201" s="21"/>
      <c r="H201" s="21"/>
      <c r="I201" s="21"/>
      <c r="J201" s="21"/>
      <c r="K201" s="21"/>
      <c r="L201" s="21" t="s">
        <v>1322</v>
      </c>
      <c r="M201" s="21" t="str">
        <f aca="false">L201&amp;"|"&amp;E201</f>
        <v>Gemini API::mllm_link_1|Tampering</v>
      </c>
      <c r="N201" s="21" t="s">
        <v>1294</v>
      </c>
      <c r="O201" s="21" t="s">
        <v>863</v>
      </c>
      <c r="P201" s="21" t="n">
        <f aca="false">COUNTIF(Mapping!$G$2:$G$44,M201)</f>
        <v>0</v>
      </c>
      <c r="Q201" s="21" t="str">
        <f aca="false">IF(P201&gt;0,"Yes","No")</f>
        <v>No</v>
      </c>
    </row>
    <row r="202" customFormat="false" ht="15" hidden="false" customHeight="true" outlineLevel="0" collapsed="false">
      <c r="A202" s="21" t="s">
        <v>1325</v>
      </c>
      <c r="B202" s="21" t="s">
        <v>1326</v>
      </c>
      <c r="C202" s="21" t="s">
        <v>1321</v>
      </c>
      <c r="D202" s="21" t="s">
        <v>849</v>
      </c>
      <c r="E202" s="21" t="s">
        <v>854</v>
      </c>
      <c r="F202" s="21"/>
      <c r="G202" s="21"/>
      <c r="H202" s="21"/>
      <c r="I202" s="21"/>
      <c r="J202" s="21"/>
      <c r="K202" s="21"/>
      <c r="L202" s="21" t="s">
        <v>1322</v>
      </c>
      <c r="M202" s="21" t="str">
        <f aca="false">L202&amp;"|"&amp;E202</f>
        <v>Gemini API::mllm_link_1|Denial of Service</v>
      </c>
      <c r="N202" s="21" t="s">
        <v>1294</v>
      </c>
      <c r="O202" s="21" t="s">
        <v>863</v>
      </c>
      <c r="P202" s="21" t="n">
        <f aca="false">COUNTIF(Mapping!$G$2:$G$44,M202)</f>
        <v>0</v>
      </c>
      <c r="Q202" s="21" t="str">
        <f aca="false">IF(P202&gt;0,"Yes","No")</f>
        <v>No</v>
      </c>
    </row>
    <row r="203" customFormat="false" ht="15" hidden="false" customHeight="true" outlineLevel="0" collapsed="false">
      <c r="A203" s="21" t="s">
        <v>1327</v>
      </c>
      <c r="B203" s="21" t="s">
        <v>1328</v>
      </c>
      <c r="C203" s="21" t="s">
        <v>1329</v>
      </c>
      <c r="D203" s="21" t="s">
        <v>849</v>
      </c>
      <c r="E203" s="21" t="s">
        <v>850</v>
      </c>
      <c r="F203" s="21"/>
      <c r="G203" s="21"/>
      <c r="H203" s="21"/>
      <c r="I203" s="21"/>
      <c r="J203" s="21"/>
      <c r="K203" s="21"/>
      <c r="L203" s="21" t="s">
        <v>1330</v>
      </c>
      <c r="M203" s="21" t="str">
        <f aca="false">L203&amp;"|"&amp;E203</f>
        <v>Gemini API::mllm_link_2|Information Disclosure</v>
      </c>
      <c r="N203" s="21" t="s">
        <v>1294</v>
      </c>
      <c r="O203" s="21" t="s">
        <v>863</v>
      </c>
      <c r="P203" s="21" t="n">
        <f aca="false">COUNTIF(Mapping!$G$2:$G$44,M203)</f>
        <v>0</v>
      </c>
      <c r="Q203" s="21" t="str">
        <f aca="false">IF(P203&gt;0,"Yes","No")</f>
        <v>No</v>
      </c>
    </row>
    <row r="204" customFormat="false" ht="15" hidden="false" customHeight="true" outlineLevel="0" collapsed="false">
      <c r="A204" s="21" t="s">
        <v>1331</v>
      </c>
      <c r="B204" s="21" t="s">
        <v>1332</v>
      </c>
      <c r="C204" s="21" t="s">
        <v>1329</v>
      </c>
      <c r="D204" s="21" t="s">
        <v>849</v>
      </c>
      <c r="E204" s="21" t="s">
        <v>53</v>
      </c>
      <c r="F204" s="21"/>
      <c r="G204" s="21"/>
      <c r="H204" s="21"/>
      <c r="I204" s="21"/>
      <c r="J204" s="21"/>
      <c r="K204" s="21"/>
      <c r="L204" s="21" t="s">
        <v>1330</v>
      </c>
      <c r="M204" s="21" t="str">
        <f aca="false">L204&amp;"|"&amp;E204</f>
        <v>Gemini API::mllm_link_2|Tampering</v>
      </c>
      <c r="N204" s="21" t="s">
        <v>1294</v>
      </c>
      <c r="O204" s="21" t="s">
        <v>863</v>
      </c>
      <c r="P204" s="21" t="n">
        <f aca="false">COUNTIF(Mapping!$G$2:$G$44,M204)</f>
        <v>0</v>
      </c>
      <c r="Q204" s="21" t="str">
        <f aca="false">IF(P204&gt;0,"Yes","No")</f>
        <v>No</v>
      </c>
    </row>
    <row r="205" customFormat="false" ht="15" hidden="false" customHeight="true" outlineLevel="0" collapsed="false">
      <c r="A205" s="21" t="s">
        <v>1333</v>
      </c>
      <c r="B205" s="21" t="s">
        <v>1334</v>
      </c>
      <c r="C205" s="21" t="s">
        <v>1329</v>
      </c>
      <c r="D205" s="21" t="s">
        <v>849</v>
      </c>
      <c r="E205" s="21" t="s">
        <v>854</v>
      </c>
      <c r="F205" s="21"/>
      <c r="G205" s="21"/>
      <c r="H205" s="21"/>
      <c r="I205" s="21"/>
      <c r="J205" s="21"/>
      <c r="K205" s="21"/>
      <c r="L205" s="21" t="s">
        <v>1330</v>
      </c>
      <c r="M205" s="21" t="str">
        <f aca="false">L205&amp;"|"&amp;E205</f>
        <v>Gemini API::mllm_link_2|Denial of Service</v>
      </c>
      <c r="N205" s="21" t="s">
        <v>1294</v>
      </c>
      <c r="O205" s="21" t="s">
        <v>863</v>
      </c>
      <c r="P205" s="21" t="n">
        <f aca="false">COUNTIF(Mapping!$G$2:$G$44,M205)</f>
        <v>0</v>
      </c>
      <c r="Q205" s="21" t="str">
        <f aca="false">IF(P205&gt;0,"Yes","No")</f>
        <v>No</v>
      </c>
    </row>
    <row r="206" customFormat="false" ht="15" hidden="false" customHeight="true" outlineLevel="0" collapsed="false">
      <c r="A206" s="21" t="s">
        <v>1335</v>
      </c>
      <c r="B206" s="21" t="s">
        <v>1336</v>
      </c>
      <c r="C206" s="21" t="s">
        <v>1337</v>
      </c>
      <c r="D206" s="21" t="s">
        <v>849</v>
      </c>
      <c r="E206" s="21" t="s">
        <v>850</v>
      </c>
      <c r="F206" s="21"/>
      <c r="G206" s="21"/>
      <c r="H206" s="21"/>
      <c r="I206" s="21"/>
      <c r="J206" s="21"/>
      <c r="K206" s="21"/>
      <c r="L206" s="21" t="s">
        <v>1338</v>
      </c>
      <c r="M206" s="21" t="str">
        <f aca="false">L206&amp;"|"&amp;E206</f>
        <v>PKI, operator|Information Disclosure</v>
      </c>
      <c r="N206" s="21" t="s">
        <v>1338</v>
      </c>
      <c r="O206" s="21" t="s">
        <v>842</v>
      </c>
      <c r="P206" s="21" t="n">
        <f aca="false">COUNTIF(Mapping!$G$2:$G$44,M206)</f>
        <v>1</v>
      </c>
      <c r="Q206" s="21" t="str">
        <f aca="false">IF(P206&gt;0,"Yes","No")</f>
        <v>Yes</v>
      </c>
    </row>
    <row r="207" customFormat="false" ht="15" hidden="false" customHeight="true" outlineLevel="0" collapsed="false">
      <c r="A207" s="21" t="s">
        <v>1339</v>
      </c>
      <c r="B207" s="21" t="s">
        <v>1340</v>
      </c>
      <c r="C207" s="21" t="s">
        <v>1337</v>
      </c>
      <c r="D207" s="21" t="s">
        <v>849</v>
      </c>
      <c r="E207" s="21" t="s">
        <v>53</v>
      </c>
      <c r="F207" s="21"/>
      <c r="G207" s="21"/>
      <c r="H207" s="21"/>
      <c r="I207" s="21"/>
      <c r="J207" s="21"/>
      <c r="K207" s="21"/>
      <c r="L207" s="21" t="s">
        <v>1338</v>
      </c>
      <c r="M207" s="21" t="str">
        <f aca="false">L207&amp;"|"&amp;E207</f>
        <v>PKI, operator|Tampering</v>
      </c>
      <c r="N207" s="21" t="s">
        <v>1338</v>
      </c>
      <c r="O207" s="21" t="s">
        <v>842</v>
      </c>
      <c r="P207" s="21" t="n">
        <f aca="false">COUNTIF(Mapping!$G$2:$G$44,M207)</f>
        <v>0</v>
      </c>
      <c r="Q207" s="21" t="str">
        <f aca="false">IF(P207&gt;0,"Yes","No")</f>
        <v>No</v>
      </c>
    </row>
    <row r="208" customFormat="false" ht="15" hidden="false" customHeight="true" outlineLevel="0" collapsed="false">
      <c r="A208" s="21" t="s">
        <v>1341</v>
      </c>
      <c r="B208" s="21" t="s">
        <v>1342</v>
      </c>
      <c r="C208" s="21" t="s">
        <v>1337</v>
      </c>
      <c r="D208" s="21" t="s">
        <v>849</v>
      </c>
      <c r="E208" s="21" t="s">
        <v>854</v>
      </c>
      <c r="F208" s="21"/>
      <c r="G208" s="21"/>
      <c r="H208" s="21"/>
      <c r="I208" s="21"/>
      <c r="J208" s="21"/>
      <c r="K208" s="21"/>
      <c r="L208" s="21" t="s">
        <v>1338</v>
      </c>
      <c r="M208" s="21" t="str">
        <f aca="false">L208&amp;"|"&amp;E208</f>
        <v>PKI, operator|Denial of Service</v>
      </c>
      <c r="N208" s="21" t="s">
        <v>1338</v>
      </c>
      <c r="O208" s="21" t="s">
        <v>842</v>
      </c>
      <c r="P208" s="21" t="n">
        <f aca="false">COUNTIF(Mapping!$G$2:$G$44,M208)</f>
        <v>1</v>
      </c>
      <c r="Q208" s="21" t="str">
        <f aca="false">IF(P208&gt;0,"Yes","No")</f>
        <v>Yes</v>
      </c>
    </row>
    <row r="209" customFormat="false" ht="15" hidden="false" customHeight="true" outlineLevel="0" collapsed="false">
      <c r="A209" s="21" t="s">
        <v>304</v>
      </c>
      <c r="B209" s="21" t="s">
        <v>1343</v>
      </c>
      <c r="C209" s="21" t="s">
        <v>1337</v>
      </c>
      <c r="D209" s="21" t="s">
        <v>849</v>
      </c>
      <c r="E209" s="21" t="s">
        <v>33</v>
      </c>
      <c r="F209" s="21"/>
      <c r="G209" s="21"/>
      <c r="H209" s="21"/>
      <c r="I209" s="21"/>
      <c r="J209" s="21"/>
      <c r="K209" s="21"/>
      <c r="L209" s="21" t="s">
        <v>1338</v>
      </c>
      <c r="M209" s="21" t="str">
        <f aca="false">L209&amp;"|"&amp;E209</f>
        <v>PKI, operator|Spoofing</v>
      </c>
      <c r="N209" s="21" t="s">
        <v>1338</v>
      </c>
      <c r="O209" s="21" t="s">
        <v>842</v>
      </c>
      <c r="P209" s="21" t="n">
        <f aca="false">COUNTIF(Mapping!$G$2:$G$44,M209)</f>
        <v>1</v>
      </c>
      <c r="Q209" s="21" t="str">
        <f aca="false">IF(P209&gt;0,"Yes","No")</f>
        <v>Yes</v>
      </c>
    </row>
    <row r="210" customFormat="false" ht="15" hidden="false" customHeight="true" outlineLevel="0" collapsed="false">
      <c r="A210" s="21" t="s">
        <v>336</v>
      </c>
      <c r="B210" s="21" t="s">
        <v>1344</v>
      </c>
      <c r="C210" s="21" t="s">
        <v>1337</v>
      </c>
      <c r="D210" s="21" t="s">
        <v>849</v>
      </c>
      <c r="E210" s="21" t="s">
        <v>857</v>
      </c>
      <c r="F210" s="21"/>
      <c r="G210" s="21"/>
      <c r="H210" s="21"/>
      <c r="I210" s="21"/>
      <c r="J210" s="21"/>
      <c r="K210" s="21"/>
      <c r="L210" s="21" t="s">
        <v>1338</v>
      </c>
      <c r="M210" s="21" t="str">
        <f aca="false">L210&amp;"|"&amp;E210</f>
        <v>PKI, operator|Elevation of Privilege</v>
      </c>
      <c r="N210" s="21" t="s">
        <v>1338</v>
      </c>
      <c r="O210" s="21" t="s">
        <v>842</v>
      </c>
      <c r="P210" s="21" t="n">
        <f aca="false">COUNTIF(Mapping!$G$2:$G$44,M210)</f>
        <v>1</v>
      </c>
      <c r="Q210" s="21" t="str">
        <f aca="false">IF(P210&gt;0,"Yes","No")</f>
        <v>Yes</v>
      </c>
    </row>
    <row r="211" customFormat="false" ht="15" hidden="false" customHeight="true" outlineLevel="0" collapsed="false">
      <c r="A211" s="21" t="s">
        <v>320</v>
      </c>
      <c r="B211" s="21" t="s">
        <v>1345</v>
      </c>
      <c r="C211" s="21" t="s">
        <v>1337</v>
      </c>
      <c r="D211" s="21" t="s">
        <v>849</v>
      </c>
      <c r="E211" s="21" t="s">
        <v>307</v>
      </c>
      <c r="F211" s="21"/>
      <c r="G211" s="21"/>
      <c r="H211" s="21"/>
      <c r="I211" s="21"/>
      <c r="J211" s="21"/>
      <c r="K211" s="21"/>
      <c r="L211" s="21" t="s">
        <v>1338</v>
      </c>
      <c r="M211" s="21" t="str">
        <f aca="false">L211&amp;"|"&amp;E211</f>
        <v>PKI, operator|Repudiation</v>
      </c>
      <c r="N211" s="21" t="s">
        <v>1338</v>
      </c>
      <c r="O211" s="21" t="s">
        <v>842</v>
      </c>
      <c r="P211" s="21" t="n">
        <f aca="false">COUNTIF(Mapping!$G$2:$G$44,M211)</f>
        <v>1</v>
      </c>
      <c r="Q211" s="21" t="str">
        <f aca="false">IF(P211&gt;0,"Yes","No")</f>
        <v>Yes</v>
      </c>
    </row>
    <row r="212" customFormat="false" ht="15" hidden="false" customHeight="true" outlineLevel="0" collapsed="false">
      <c r="A212" s="21" t="s">
        <v>1346</v>
      </c>
      <c r="B212" s="21" t="s">
        <v>1347</v>
      </c>
      <c r="C212" s="21" t="s">
        <v>1348</v>
      </c>
      <c r="D212" s="21" t="s">
        <v>849</v>
      </c>
      <c r="E212" s="21" t="s">
        <v>850</v>
      </c>
      <c r="F212" s="21"/>
      <c r="G212" s="21"/>
      <c r="H212" s="21"/>
      <c r="I212" s="21"/>
      <c r="J212" s="21"/>
      <c r="K212" s="21"/>
      <c r="L212" s="21" t="s">
        <v>1349</v>
      </c>
      <c r="M212" s="21" t="str">
        <f aca="false">L212&amp;"|"&amp;E212</f>
        <v>PKI, operator::uu_in|Information Disclosure</v>
      </c>
      <c r="N212" s="21" t="s">
        <v>1338</v>
      </c>
      <c r="O212" s="21" t="s">
        <v>863</v>
      </c>
      <c r="P212" s="21" t="n">
        <f aca="false">COUNTIF(Mapping!$G$2:$G$44,M212)</f>
        <v>0</v>
      </c>
      <c r="Q212" s="21" t="str">
        <f aca="false">IF(P212&gt;0,"Yes","No")</f>
        <v>No</v>
      </c>
    </row>
    <row r="213" customFormat="false" ht="15" hidden="false" customHeight="true" outlineLevel="0" collapsed="false">
      <c r="A213" s="21" t="s">
        <v>1350</v>
      </c>
      <c r="B213" s="21" t="s">
        <v>1351</v>
      </c>
      <c r="C213" s="21" t="s">
        <v>1348</v>
      </c>
      <c r="D213" s="21" t="s">
        <v>849</v>
      </c>
      <c r="E213" s="21" t="s">
        <v>53</v>
      </c>
      <c r="F213" s="21"/>
      <c r="G213" s="21"/>
      <c r="H213" s="21"/>
      <c r="I213" s="21"/>
      <c r="J213" s="21"/>
      <c r="K213" s="21"/>
      <c r="L213" s="21" t="s">
        <v>1349</v>
      </c>
      <c r="M213" s="21" t="str">
        <f aca="false">L213&amp;"|"&amp;E213</f>
        <v>PKI, operator::uu_in|Tampering</v>
      </c>
      <c r="N213" s="21" t="s">
        <v>1338</v>
      </c>
      <c r="O213" s="21" t="s">
        <v>863</v>
      </c>
      <c r="P213" s="21" t="n">
        <f aca="false">COUNTIF(Mapping!$G$2:$G$44,M213)</f>
        <v>0</v>
      </c>
      <c r="Q213" s="21" t="str">
        <f aca="false">IF(P213&gt;0,"Yes","No")</f>
        <v>No</v>
      </c>
    </row>
    <row r="214" customFormat="false" ht="15" hidden="false" customHeight="true" outlineLevel="0" collapsed="false">
      <c r="A214" s="21" t="s">
        <v>1352</v>
      </c>
      <c r="B214" s="21" t="s">
        <v>1353</v>
      </c>
      <c r="C214" s="21" t="s">
        <v>1348</v>
      </c>
      <c r="D214" s="21" t="s">
        <v>849</v>
      </c>
      <c r="E214" s="21" t="s">
        <v>854</v>
      </c>
      <c r="F214" s="21"/>
      <c r="G214" s="21"/>
      <c r="H214" s="21"/>
      <c r="I214" s="21"/>
      <c r="J214" s="21"/>
      <c r="K214" s="21"/>
      <c r="L214" s="21" t="s">
        <v>1349</v>
      </c>
      <c r="M214" s="21" t="str">
        <f aca="false">L214&amp;"|"&amp;E214</f>
        <v>PKI, operator::uu_in|Denial of Service</v>
      </c>
      <c r="N214" s="21" t="s">
        <v>1338</v>
      </c>
      <c r="O214" s="21" t="s">
        <v>863</v>
      </c>
      <c r="P214" s="21" t="n">
        <f aca="false">COUNTIF(Mapping!$G$2:$G$44,M214)</f>
        <v>0</v>
      </c>
      <c r="Q214" s="21" t="str">
        <f aca="false">IF(P214&gt;0,"Yes","No")</f>
        <v>No</v>
      </c>
    </row>
    <row r="215" customFormat="false" ht="15" hidden="false" customHeight="true" outlineLevel="0" collapsed="false">
      <c r="A215" s="21" t="s">
        <v>1354</v>
      </c>
      <c r="B215" s="21" t="s">
        <v>1355</v>
      </c>
      <c r="C215" s="21" t="s">
        <v>1356</v>
      </c>
      <c r="D215" s="21" t="s">
        <v>849</v>
      </c>
      <c r="E215" s="21" t="s">
        <v>850</v>
      </c>
      <c r="F215" s="21"/>
      <c r="G215" s="21"/>
      <c r="H215" s="21"/>
      <c r="I215" s="21"/>
      <c r="J215" s="21"/>
      <c r="K215" s="21"/>
      <c r="L215" s="21" t="s">
        <v>1357</v>
      </c>
      <c r="M215" s="21" t="str">
        <f aca="false">L215&amp;"|"&amp;E215</f>
        <v>PKI, operator::uu_in_2|Information Disclosure</v>
      </c>
      <c r="N215" s="21" t="s">
        <v>1338</v>
      </c>
      <c r="O215" s="21" t="s">
        <v>863</v>
      </c>
      <c r="P215" s="21" t="n">
        <f aca="false">COUNTIF(Mapping!$G$2:$G$44,M215)</f>
        <v>0</v>
      </c>
      <c r="Q215" s="21" t="str">
        <f aca="false">IF(P215&gt;0,"Yes","No")</f>
        <v>No</v>
      </c>
    </row>
    <row r="216" customFormat="false" ht="15" hidden="false" customHeight="true" outlineLevel="0" collapsed="false">
      <c r="A216" s="21" t="s">
        <v>1358</v>
      </c>
      <c r="B216" s="21" t="s">
        <v>1359</v>
      </c>
      <c r="C216" s="21" t="s">
        <v>1356</v>
      </c>
      <c r="D216" s="21" t="s">
        <v>849</v>
      </c>
      <c r="E216" s="21" t="s">
        <v>53</v>
      </c>
      <c r="F216" s="21"/>
      <c r="G216" s="21"/>
      <c r="H216" s="21"/>
      <c r="I216" s="21"/>
      <c r="J216" s="21"/>
      <c r="K216" s="21"/>
      <c r="L216" s="21" t="s">
        <v>1357</v>
      </c>
      <c r="M216" s="21" t="str">
        <f aca="false">L216&amp;"|"&amp;E216</f>
        <v>PKI, operator::uu_in_2|Tampering</v>
      </c>
      <c r="N216" s="21" t="s">
        <v>1338</v>
      </c>
      <c r="O216" s="21" t="s">
        <v>863</v>
      </c>
      <c r="P216" s="21" t="n">
        <f aca="false">COUNTIF(Mapping!$G$2:$G$44,M216)</f>
        <v>0</v>
      </c>
      <c r="Q216" s="21" t="str">
        <f aca="false">IF(P216&gt;0,"Yes","No")</f>
        <v>No</v>
      </c>
    </row>
    <row r="217" customFormat="false" ht="15" hidden="false" customHeight="true" outlineLevel="0" collapsed="false">
      <c r="A217" s="21" t="s">
        <v>1360</v>
      </c>
      <c r="B217" s="21" t="s">
        <v>1361</v>
      </c>
      <c r="C217" s="21" t="s">
        <v>1356</v>
      </c>
      <c r="D217" s="21" t="s">
        <v>849</v>
      </c>
      <c r="E217" s="21" t="s">
        <v>854</v>
      </c>
      <c r="F217" s="21"/>
      <c r="G217" s="21"/>
      <c r="H217" s="21"/>
      <c r="I217" s="21"/>
      <c r="J217" s="21"/>
      <c r="K217" s="21"/>
      <c r="L217" s="21" t="s">
        <v>1357</v>
      </c>
      <c r="M217" s="21" t="str">
        <f aca="false">L217&amp;"|"&amp;E217</f>
        <v>PKI, operator::uu_in_2|Denial of Service</v>
      </c>
      <c r="N217" s="21" t="s">
        <v>1338</v>
      </c>
      <c r="O217" s="21" t="s">
        <v>863</v>
      </c>
      <c r="P217" s="21" t="n">
        <f aca="false">COUNTIF(Mapping!$G$2:$G$44,M217)</f>
        <v>0</v>
      </c>
      <c r="Q217" s="21" t="str">
        <f aca="false">IF(P217&gt;0,"Yes","No")</f>
        <v>No</v>
      </c>
    </row>
    <row r="218" customFormat="false" ht="15" hidden="false" customHeight="true" outlineLevel="0" collapsed="false">
      <c r="A218" s="21" t="s">
        <v>1362</v>
      </c>
      <c r="B218" s="21" t="s">
        <v>1363</v>
      </c>
      <c r="C218" s="21" t="s">
        <v>1364</v>
      </c>
      <c r="D218" s="21" t="s">
        <v>849</v>
      </c>
      <c r="E218" s="21" t="s">
        <v>850</v>
      </c>
      <c r="F218" s="21"/>
      <c r="G218" s="21"/>
      <c r="H218" s="21"/>
      <c r="I218" s="21"/>
      <c r="J218" s="21"/>
      <c r="K218" s="21"/>
      <c r="L218" s="21" t="s">
        <v>1365</v>
      </c>
      <c r="M218" s="21" t="str">
        <f aca="false">L218&amp;"|"&amp;E218</f>
        <v>PKI, operator::uu_link_rsu|Information Disclosure</v>
      </c>
      <c r="N218" s="21" t="s">
        <v>1338</v>
      </c>
      <c r="O218" s="21" t="s">
        <v>863</v>
      </c>
      <c r="P218" s="21" t="n">
        <f aca="false">COUNTIF(Mapping!$G$2:$G$44,M218)</f>
        <v>0</v>
      </c>
      <c r="Q218" s="21" t="str">
        <f aca="false">IF(P218&gt;0,"Yes","No")</f>
        <v>No</v>
      </c>
    </row>
    <row r="219" customFormat="false" ht="15" hidden="false" customHeight="true" outlineLevel="0" collapsed="false">
      <c r="A219" s="21" t="s">
        <v>1366</v>
      </c>
      <c r="B219" s="21" t="s">
        <v>1367</v>
      </c>
      <c r="C219" s="21" t="s">
        <v>1364</v>
      </c>
      <c r="D219" s="21" t="s">
        <v>849</v>
      </c>
      <c r="E219" s="21" t="s">
        <v>53</v>
      </c>
      <c r="F219" s="21"/>
      <c r="G219" s="21"/>
      <c r="H219" s="21"/>
      <c r="I219" s="21"/>
      <c r="J219" s="21"/>
      <c r="K219" s="21"/>
      <c r="L219" s="21" t="s">
        <v>1365</v>
      </c>
      <c r="M219" s="21" t="str">
        <f aca="false">L219&amp;"|"&amp;E219</f>
        <v>PKI, operator::uu_link_rsu|Tampering</v>
      </c>
      <c r="N219" s="21" t="s">
        <v>1338</v>
      </c>
      <c r="O219" s="21" t="s">
        <v>863</v>
      </c>
      <c r="P219" s="21" t="n">
        <f aca="false">COUNTIF(Mapping!$G$2:$G$44,M219)</f>
        <v>0</v>
      </c>
      <c r="Q219" s="21" t="str">
        <f aca="false">IF(P219&gt;0,"Yes","No")</f>
        <v>No</v>
      </c>
    </row>
    <row r="220" customFormat="false" ht="15" hidden="false" customHeight="true" outlineLevel="0" collapsed="false">
      <c r="A220" s="21" t="s">
        <v>1368</v>
      </c>
      <c r="B220" s="21" t="s">
        <v>1369</v>
      </c>
      <c r="C220" s="21" t="s">
        <v>1364</v>
      </c>
      <c r="D220" s="21" t="s">
        <v>849</v>
      </c>
      <c r="E220" s="21" t="s">
        <v>854</v>
      </c>
      <c r="F220" s="21"/>
      <c r="G220" s="21"/>
      <c r="H220" s="21"/>
      <c r="I220" s="21"/>
      <c r="J220" s="21"/>
      <c r="K220" s="21"/>
      <c r="L220" s="21" t="s">
        <v>1365</v>
      </c>
      <c r="M220" s="21" t="str">
        <f aca="false">L220&amp;"|"&amp;E220</f>
        <v>PKI, operator::uu_link_rsu|Denial of Service</v>
      </c>
      <c r="N220" s="21" t="s">
        <v>1338</v>
      </c>
      <c r="O220" s="21" t="s">
        <v>863</v>
      </c>
      <c r="P220" s="21" t="n">
        <f aca="false">COUNTIF(Mapping!$G$2:$G$44,M220)</f>
        <v>0</v>
      </c>
      <c r="Q220" s="21" t="str">
        <f aca="false">IF(P220&gt;0,"Yes","No")</f>
        <v>No</v>
      </c>
    </row>
    <row r="221" customFormat="false" ht="15" hidden="false" customHeight="true" outlineLevel="0" collapsed="false">
      <c r="A221" s="21" t="s">
        <v>1370</v>
      </c>
      <c r="B221" s="21" t="s">
        <v>1371</v>
      </c>
      <c r="C221" s="21" t="s">
        <v>1372</v>
      </c>
      <c r="D221" s="21" t="s">
        <v>849</v>
      </c>
      <c r="E221" s="21" t="s">
        <v>850</v>
      </c>
      <c r="F221" s="21"/>
      <c r="G221" s="21"/>
      <c r="H221" s="21"/>
      <c r="I221" s="21"/>
      <c r="J221" s="21"/>
      <c r="K221" s="21"/>
      <c r="L221" s="21" t="s">
        <v>1373</v>
      </c>
      <c r="M221" s="21" t="str">
        <f aca="false">L221&amp;"|"&amp;E221</f>
        <v>PKI, operator::uu_modem_out|Information Disclosure</v>
      </c>
      <c r="N221" s="21" t="s">
        <v>1338</v>
      </c>
      <c r="O221" s="21" t="s">
        <v>863</v>
      </c>
      <c r="P221" s="21" t="n">
        <f aca="false">COUNTIF(Mapping!$G$2:$G$44,M221)</f>
        <v>0</v>
      </c>
      <c r="Q221" s="21" t="str">
        <f aca="false">IF(P221&gt;0,"Yes","No")</f>
        <v>No</v>
      </c>
    </row>
    <row r="222" customFormat="false" ht="15" hidden="false" customHeight="true" outlineLevel="0" collapsed="false">
      <c r="A222" s="21" t="s">
        <v>1374</v>
      </c>
      <c r="B222" s="21" t="s">
        <v>1375</v>
      </c>
      <c r="C222" s="21" t="s">
        <v>1372</v>
      </c>
      <c r="D222" s="21" t="s">
        <v>849</v>
      </c>
      <c r="E222" s="21" t="s">
        <v>53</v>
      </c>
      <c r="F222" s="21"/>
      <c r="G222" s="21"/>
      <c r="H222" s="21"/>
      <c r="I222" s="21"/>
      <c r="J222" s="21"/>
      <c r="K222" s="21"/>
      <c r="L222" s="21" t="s">
        <v>1373</v>
      </c>
      <c r="M222" s="21" t="str">
        <f aca="false">L222&amp;"|"&amp;E222</f>
        <v>PKI, operator::uu_modem_out|Tampering</v>
      </c>
      <c r="N222" s="21" t="s">
        <v>1338</v>
      </c>
      <c r="O222" s="21" t="s">
        <v>863</v>
      </c>
      <c r="P222" s="21" t="n">
        <f aca="false">COUNTIF(Mapping!$G$2:$G$44,M222)</f>
        <v>0</v>
      </c>
      <c r="Q222" s="21" t="str">
        <f aca="false">IF(P222&gt;0,"Yes","No")</f>
        <v>No</v>
      </c>
    </row>
    <row r="223" customFormat="false" ht="15" hidden="false" customHeight="true" outlineLevel="0" collapsed="false">
      <c r="A223" s="21" t="s">
        <v>1376</v>
      </c>
      <c r="B223" s="21" t="s">
        <v>1377</v>
      </c>
      <c r="C223" s="21" t="s">
        <v>1372</v>
      </c>
      <c r="D223" s="21" t="s">
        <v>849</v>
      </c>
      <c r="E223" s="21" t="s">
        <v>854</v>
      </c>
      <c r="F223" s="21"/>
      <c r="G223" s="21"/>
      <c r="H223" s="21"/>
      <c r="I223" s="21"/>
      <c r="J223" s="21"/>
      <c r="K223" s="21"/>
      <c r="L223" s="21" t="s">
        <v>1373</v>
      </c>
      <c r="M223" s="21" t="str">
        <f aca="false">L223&amp;"|"&amp;E223</f>
        <v>PKI, operator::uu_modem_out|Denial of Service</v>
      </c>
      <c r="N223" s="21" t="s">
        <v>1338</v>
      </c>
      <c r="O223" s="21" t="s">
        <v>863</v>
      </c>
      <c r="P223" s="21" t="n">
        <f aca="false">COUNTIF(Mapping!$G$2:$G$44,M223)</f>
        <v>0</v>
      </c>
      <c r="Q223" s="21" t="str">
        <f aca="false">IF(P223&gt;0,"Yes","No")</f>
        <v>No</v>
      </c>
    </row>
    <row r="224" customFormat="false" ht="15" hidden="false" customHeight="true" outlineLevel="0" collapsed="false">
      <c r="A224" s="21" t="s">
        <v>1378</v>
      </c>
      <c r="B224" s="21" t="s">
        <v>1379</v>
      </c>
      <c r="C224" s="21" t="s">
        <v>1380</v>
      </c>
      <c r="D224" s="21" t="s">
        <v>849</v>
      </c>
      <c r="E224" s="21" t="s">
        <v>850</v>
      </c>
      <c r="F224" s="21"/>
      <c r="G224" s="21"/>
      <c r="H224" s="21"/>
      <c r="I224" s="21"/>
      <c r="J224" s="21"/>
      <c r="K224" s="21"/>
      <c r="L224" s="21" t="s">
        <v>1381</v>
      </c>
      <c r="M224" s="21" t="str">
        <f aca="false">L224&amp;"|"&amp;E224</f>
        <v>uu_modem_out ↔ uu_modem|Information Disclosure</v>
      </c>
      <c r="N224" s="21" t="s">
        <v>872</v>
      </c>
      <c r="O224" s="21" t="s">
        <v>873</v>
      </c>
      <c r="P224" s="21" t="n">
        <f aca="false">COUNTIF(Mapping!$G$2:$G$44,M224)</f>
        <v>0</v>
      </c>
      <c r="Q224" s="21" t="str">
        <f aca="false">IF(P224&gt;0,"Yes","No")</f>
        <v>No</v>
      </c>
    </row>
    <row r="225" customFormat="false" ht="15" hidden="false" customHeight="true" outlineLevel="0" collapsed="false">
      <c r="A225" s="21" t="s">
        <v>1382</v>
      </c>
      <c r="B225" s="21" t="s">
        <v>1383</v>
      </c>
      <c r="C225" s="21" t="s">
        <v>1380</v>
      </c>
      <c r="D225" s="21" t="s">
        <v>849</v>
      </c>
      <c r="E225" s="21" t="s">
        <v>53</v>
      </c>
      <c r="F225" s="21"/>
      <c r="G225" s="21"/>
      <c r="H225" s="21"/>
      <c r="I225" s="21"/>
      <c r="J225" s="21"/>
      <c r="K225" s="21"/>
      <c r="L225" s="21" t="s">
        <v>1381</v>
      </c>
      <c r="M225" s="21" t="str">
        <f aca="false">L225&amp;"|"&amp;E225</f>
        <v>uu_modem_out ↔ uu_modem|Tampering</v>
      </c>
      <c r="N225" s="21" t="s">
        <v>872</v>
      </c>
      <c r="O225" s="21" t="s">
        <v>873</v>
      </c>
      <c r="P225" s="21" t="n">
        <f aca="false">COUNTIF(Mapping!$G$2:$G$44,M225)</f>
        <v>0</v>
      </c>
      <c r="Q225" s="21" t="str">
        <f aca="false">IF(P225&gt;0,"Yes","No")</f>
        <v>No</v>
      </c>
    </row>
    <row r="226" customFormat="false" ht="15" hidden="false" customHeight="true" outlineLevel="0" collapsed="false">
      <c r="A226" s="21" t="s">
        <v>1384</v>
      </c>
      <c r="B226" s="21" t="s">
        <v>1385</v>
      </c>
      <c r="C226" s="21" t="s">
        <v>1380</v>
      </c>
      <c r="D226" s="21" t="s">
        <v>849</v>
      </c>
      <c r="E226" s="21" t="s">
        <v>854</v>
      </c>
      <c r="F226" s="21"/>
      <c r="G226" s="21"/>
      <c r="H226" s="21"/>
      <c r="I226" s="21"/>
      <c r="J226" s="21"/>
      <c r="K226" s="21"/>
      <c r="L226" s="21" t="s">
        <v>1381</v>
      </c>
      <c r="M226" s="21" t="str">
        <f aca="false">L226&amp;"|"&amp;E226</f>
        <v>uu_modem_out ↔ uu_modem|Denial of Service</v>
      </c>
      <c r="N226" s="21" t="s">
        <v>872</v>
      </c>
      <c r="O226" s="21" t="s">
        <v>873</v>
      </c>
      <c r="P226" s="21" t="n">
        <f aca="false">COUNTIF(Mapping!$G$2:$G$44,M226)</f>
        <v>0</v>
      </c>
      <c r="Q226" s="21" t="str">
        <f aca="false">IF(P226&gt;0,"Yes","No")</f>
        <v>No</v>
      </c>
    </row>
  </sheetData>
  <autoFilter ref="A1:Q2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3" min="3" style="1" width="22"/>
    <col collapsed="false" customWidth="true" hidden="false" outlineLevel="0" max="4" min="4" style="1" width="28"/>
    <col collapsed="false" customWidth="true" hidden="false" outlineLevel="0" max="5" min="5" style="1" width="22"/>
    <col collapsed="false" customWidth="true" hidden="false" outlineLevel="0" max="6" min="6" style="1" width="16"/>
    <col collapsed="false" customWidth="true" hidden="false" outlineLevel="0" max="7" min="7" style="1" width="40"/>
    <col collapsed="false" customWidth="true" hidden="false" outlineLevel="0" max="8" min="8" style="1" width="30"/>
    <col collapsed="false" customWidth="true" hidden="false" outlineLevel="0" max="9" min="9" style="1" width="60"/>
  </cols>
  <sheetData>
    <row r="1" customFormat="false" ht="15" hidden="false" customHeight="true" outlineLevel="0" collapsed="false">
      <c r="A1" s="20" t="s">
        <v>1386</v>
      </c>
      <c r="B1" s="20" t="s">
        <v>1387</v>
      </c>
      <c r="C1" s="20" t="s">
        <v>1388</v>
      </c>
      <c r="D1" s="20" t="s">
        <v>1389</v>
      </c>
      <c r="E1" s="20" t="s">
        <v>1390</v>
      </c>
      <c r="F1" s="20" t="s">
        <v>23</v>
      </c>
      <c r="G1" s="20" t="s">
        <v>841</v>
      </c>
      <c r="H1" s="20" t="s">
        <v>1391</v>
      </c>
      <c r="I1" s="20" t="s">
        <v>827</v>
      </c>
    </row>
    <row r="2" customFormat="false" ht="45" hidden="false" customHeight="true" outlineLevel="0" collapsed="false">
      <c r="A2" s="21" t="n">
        <v>2</v>
      </c>
      <c r="B2" s="21" t="str">
        <f aca="false">'AI threat scenarios'!A2</f>
        <v>9. RSU (PC5 radio, signing keys in HSM)</v>
      </c>
      <c r="C2" s="21" t="str">
        <f aca="false">'AI threat scenarios'!B2</f>
        <v>Spoofing</v>
      </c>
      <c r="D2" s="21" t="s">
        <v>1116</v>
      </c>
      <c r="E2" s="21" t="s">
        <v>33</v>
      </c>
      <c r="F2" s="21" t="str">
        <f aca="false">IFERROR(INDEX('Medini threats'!$A$2:$A$226,MATCH(G2,'Medini threats'!$M$2:$M$226,0)),"not in model")</f>
        <v>T115</v>
      </c>
      <c r="G2" s="21" t="str">
        <f aca="false">D2&amp;"|"&amp;E2</f>
        <v>Signs, PC5, HSM|Spoofing</v>
      </c>
      <c r="H2" s="21" t="s">
        <v>1392</v>
      </c>
      <c r="I2" s="24"/>
    </row>
    <row r="3" customFormat="false" ht="45" hidden="false" customHeight="true" outlineLevel="0" collapsed="false">
      <c r="A3" s="21" t="n">
        <v>3</v>
      </c>
      <c r="B3" s="21" t="str">
        <f aca="false">'AI threat scenarios'!A3</f>
        <v>8 -&gt; 9. Link roadside computing unit to RSU (Ethernet/UDP)</v>
      </c>
      <c r="C3" s="21" t="str">
        <f aca="false">'AI threat scenarios'!B3</f>
        <v>Spoofing</v>
      </c>
      <c r="D3" s="21" t="s">
        <v>1109</v>
      </c>
      <c r="E3" s="21" t="s">
        <v>53</v>
      </c>
      <c r="F3" s="21" t="str">
        <f aca="false">IFERROR(INDEX('Medini threats'!$A$2:$A$226,MATCH(G3,'Medini threats'!$M$2:$M$226,0)),"not in model")</f>
        <v>T110</v>
      </c>
      <c r="G3" s="21" t="str">
        <f aca="false">D3&amp;"|"&amp;E3</f>
        <v>denm_out ↔ denm_in|Tampering</v>
      </c>
      <c r="H3" s="21" t="s">
        <v>1393</v>
      </c>
      <c r="I3" s="24" t="s">
        <v>1394</v>
      </c>
    </row>
    <row r="4" customFormat="false" ht="45" hidden="false" customHeight="true" outlineLevel="0" collapsed="false">
      <c r="A4" s="21" t="n">
        <v>4</v>
      </c>
      <c r="B4" s="21" t="str">
        <f aca="false">'AI threat scenarios'!A4</f>
        <v>9. RSU (management interface, HSM)</v>
      </c>
      <c r="C4" s="21" t="str">
        <f aca="false">'AI threat scenarios'!B4</f>
        <v>Elevation of privilege</v>
      </c>
      <c r="D4" s="21" t="s">
        <v>1116</v>
      </c>
      <c r="E4" s="21" t="s">
        <v>857</v>
      </c>
      <c r="F4" s="21" t="str">
        <f aca="false">IFERROR(INDEX('Medini threats'!$A$2:$A$226,MATCH(G4,'Medini threats'!$M$2:$M$226,0)),"not in model")</f>
        <v>T116</v>
      </c>
      <c r="G4" s="21" t="str">
        <f aca="false">D4&amp;"|"&amp;E4</f>
        <v>Signs, PC5, HSM|Elevation of Privilege</v>
      </c>
      <c r="H4" s="21" t="s">
        <v>1392</v>
      </c>
      <c r="I4" s="24"/>
    </row>
    <row r="5" customFormat="false" ht="45" hidden="false" customHeight="true" outlineLevel="0" collapsed="false">
      <c r="A5" s="21" t="n">
        <v>5</v>
      </c>
      <c r="B5" s="21" t="str">
        <f aca="false">'AI threat scenarios'!A5</f>
        <v>0. Security credentials and PKI (central ITS-S)</v>
      </c>
      <c r="C5" s="21" t="str">
        <f aca="false">'AI threat scenarios'!B5</f>
        <v>Spoofing</v>
      </c>
      <c r="D5" s="21" t="s">
        <v>1338</v>
      </c>
      <c r="E5" s="21" t="s">
        <v>33</v>
      </c>
      <c r="F5" s="21" t="str">
        <f aca="false">IFERROR(INDEX('Medini threats'!$A$2:$A$226,MATCH(G5,'Medini threats'!$M$2:$M$226,0)),"not in model")</f>
        <v>T208</v>
      </c>
      <c r="G5" s="21" t="str">
        <f aca="false">D5&amp;"|"&amp;E5</f>
        <v>PKI, operator|Spoofing</v>
      </c>
      <c r="H5" s="21" t="s">
        <v>1392</v>
      </c>
      <c r="I5" s="24"/>
    </row>
    <row r="6" customFormat="false" ht="45" hidden="false" customHeight="true" outlineLevel="0" collapsed="false">
      <c r="A6" s="21" t="n">
        <v>6</v>
      </c>
      <c r="B6" s="21" t="str">
        <f aca="false">'AI threat scenarios'!A6</f>
        <v>9. RSU signing keys (HSM)</v>
      </c>
      <c r="C6" s="21" t="str">
        <f aca="false">'AI threat scenarios'!B6</f>
        <v>Information disclosure</v>
      </c>
      <c r="D6" s="21" t="s">
        <v>1116</v>
      </c>
      <c r="E6" s="21" t="s">
        <v>850</v>
      </c>
      <c r="F6" s="21" t="str">
        <f aca="false">IFERROR(INDEX('Medini threats'!$A$2:$A$226,MATCH(G6,'Medini threats'!$M$2:$M$226,0)),"not in model")</f>
        <v>T112</v>
      </c>
      <c r="G6" s="21" t="str">
        <f aca="false">D6&amp;"|"&amp;E6</f>
        <v>Signs, PC5, HSM|Information Disclosure</v>
      </c>
      <c r="H6" s="21" t="s">
        <v>1392</v>
      </c>
      <c r="I6" s="24"/>
    </row>
    <row r="7" customFormat="false" ht="45" hidden="false" customHeight="true" outlineLevel="0" collapsed="false">
      <c r="A7" s="21" t="n">
        <v>7</v>
      </c>
      <c r="B7" s="21" t="str">
        <f aca="false">'AI threat scenarios'!A7</f>
        <v>9 -&gt; 11. PC5 sidelink (RSU to OBU)</v>
      </c>
      <c r="C7" s="21" t="str">
        <f aca="false">'AI threat scenarios'!B7</f>
        <v>Spoofing</v>
      </c>
      <c r="D7" s="21" t="s">
        <v>1160</v>
      </c>
      <c r="E7" s="21" t="s">
        <v>53</v>
      </c>
      <c r="F7" s="21" t="str">
        <f aca="false">IFERROR(INDEX('Medini threats'!$A$2:$A$226,MATCH(G7,'Medini threats'!$M$2:$M$226,0)),"not in model")</f>
        <v>T131</v>
      </c>
      <c r="G7" s="21" t="str">
        <f aca="false">D7&amp;"|"&amp;E7</f>
        <v>pc5_out ↔ pc5_in|Tampering</v>
      </c>
      <c r="H7" s="21" t="s">
        <v>1393</v>
      </c>
      <c r="I7" s="24" t="s">
        <v>1395</v>
      </c>
    </row>
    <row r="8" customFormat="false" ht="45" hidden="false" customHeight="true" outlineLevel="0" collapsed="false">
      <c r="A8" s="21" t="n">
        <v>8</v>
      </c>
      <c r="B8" s="21" t="str">
        <f aca="false">'AI threat scenarios'!A8</f>
        <v>12. Vehicle computer (signature verification and warning logic)</v>
      </c>
      <c r="C8" s="21" t="str">
        <f aca="false">'AI threat scenarios'!B8</f>
        <v>Tampering</v>
      </c>
      <c r="D8" s="21" t="s">
        <v>1237</v>
      </c>
      <c r="E8" s="21" t="s">
        <v>53</v>
      </c>
      <c r="F8" s="21" t="str">
        <f aca="false">IFERROR(INDEX('Medini threats'!$A$2:$A$226,MATCH(G8,'Medini threats'!$M$2:$M$226,0)),"not in model")</f>
        <v>T164</v>
      </c>
      <c r="G8" s="21" t="str">
        <f aca="false">D8&amp;"|"&amp;E8</f>
        <v>Verify, warning logic|Tampering</v>
      </c>
      <c r="H8" s="21" t="s">
        <v>1392</v>
      </c>
      <c r="I8" s="24"/>
    </row>
    <row r="9" customFormat="false" ht="45" hidden="false" customHeight="true" outlineLevel="0" collapsed="false">
      <c r="A9" s="21" t="n">
        <v>9</v>
      </c>
      <c r="B9" s="21" t="str">
        <f aca="false">'AI threat scenarios'!A9</f>
        <v>9. RSU event log and signed message records</v>
      </c>
      <c r="C9" s="21" t="str">
        <f aca="false">'AI threat scenarios'!B9</f>
        <v>Repudiation</v>
      </c>
      <c r="D9" s="21" t="s">
        <v>1116</v>
      </c>
      <c r="E9" s="21" t="s">
        <v>307</v>
      </c>
      <c r="F9" s="21" t="str">
        <f aca="false">IFERROR(INDEX('Medini threats'!$A$2:$A$226,MATCH(G9,'Medini threats'!$M$2:$M$226,0)),"not in model")</f>
        <v>T117</v>
      </c>
      <c r="G9" s="21" t="str">
        <f aca="false">D9&amp;"|"&amp;E9</f>
        <v>Signs, PC5, HSM|Repudiation</v>
      </c>
      <c r="H9" s="21" t="s">
        <v>1392</v>
      </c>
      <c r="I9" s="24"/>
    </row>
    <row r="10" customFormat="false" ht="45" hidden="false" customHeight="true" outlineLevel="0" collapsed="false">
      <c r="A10" s="21" t="n">
        <v>10</v>
      </c>
      <c r="B10" s="21" t="str">
        <f aca="false">'AI threat scenarios'!A10</f>
        <v>1 -&gt; 2. Video link cameras to computing unit</v>
      </c>
      <c r="C10" s="21" t="str">
        <f aca="false">'AI threat scenarios'!B10</f>
        <v>Spoofing</v>
      </c>
      <c r="D10" s="21" t="s">
        <v>871</v>
      </c>
      <c r="E10" s="21" t="s">
        <v>53</v>
      </c>
      <c r="F10" s="21" t="str">
        <f aca="false">IFERROR(INDEX('Medini threats'!$A$2:$A$226,MATCH(G10,'Medini threats'!$M$2:$M$226,0)),"not in model")</f>
        <v>T011</v>
      </c>
      <c r="G10" s="21" t="str">
        <f aca="false">D10&amp;"|"&amp;E10</f>
        <v>image_out ↔ image_in|Tampering</v>
      </c>
      <c r="H10" s="21" t="s">
        <v>1393</v>
      </c>
      <c r="I10" s="24" t="s">
        <v>1396</v>
      </c>
    </row>
    <row r="11" customFormat="false" ht="45" hidden="false" customHeight="true" outlineLevel="0" collapsed="false">
      <c r="A11" s="21" t="n">
        <v>11</v>
      </c>
      <c r="B11" s="21" t="str">
        <f aca="false">'AI threat scenarios'!A11</f>
        <v>2. Edge detector, YOLOv5 (perception input)</v>
      </c>
      <c r="C11" s="21" t="str">
        <f aca="false">'AI threat scenarios'!B11</f>
        <v>Spoofing</v>
      </c>
      <c r="D11" s="21" t="s">
        <v>881</v>
      </c>
      <c r="E11" s="21" t="s">
        <v>33</v>
      </c>
      <c r="F11" s="21" t="str">
        <f aca="false">IFERROR(INDEX('Medini threats'!$A$2:$A$226,MATCH(G11,'Medini threats'!$M$2:$M$226,0)),"not in model")</f>
        <v>T016</v>
      </c>
      <c r="G11" s="21" t="str">
        <f aca="false">D11&amp;"|"&amp;E11</f>
        <v>YOLOv5 fast path|Spoofing</v>
      </c>
      <c r="H11" s="21" t="s">
        <v>1393</v>
      </c>
      <c r="I11" s="24" t="s">
        <v>1397</v>
      </c>
    </row>
    <row r="12" customFormat="false" ht="45" hidden="false" customHeight="true" outlineLevel="0" collapsed="false">
      <c r="A12" s="21" t="n">
        <v>12</v>
      </c>
      <c r="B12" s="21" t="str">
        <f aca="false">'AI threat scenarios'!A12</f>
        <v>3. Situation detection agent (prompt and image input)</v>
      </c>
      <c r="C12" s="21" t="str">
        <f aca="false">'AI threat scenarios'!B12</f>
        <v>Spoofing</v>
      </c>
      <c r="D12" s="21" t="s">
        <v>919</v>
      </c>
      <c r="E12" s="21" t="s">
        <v>33</v>
      </c>
      <c r="F12" s="21" t="str">
        <f aca="false">IFERROR(INDEX('Medini threats'!$A$2:$A$226,MATCH(G12,'Medini threats'!$M$2:$M$226,0)),"not in model")</f>
        <v>T031</v>
      </c>
      <c r="G12" s="21" t="str">
        <f aca="false">D12&amp;"|"&amp;E12</f>
        <v>Agent 1, MLLM call|Spoofing</v>
      </c>
      <c r="H12" s="21" t="s">
        <v>1393</v>
      </c>
      <c r="I12" s="24" t="s">
        <v>1398</v>
      </c>
    </row>
    <row r="13" customFormat="false" ht="45" hidden="false" customHeight="true" outlineLevel="0" collapsed="false">
      <c r="A13" s="21" t="n">
        <v>13</v>
      </c>
      <c r="B13" s="21" t="str">
        <f aca="false">'AI threat scenarios'!A13</f>
        <v>3-7. Link computing unit to Gemini API (5G Uu)</v>
      </c>
      <c r="C13" s="21" t="str">
        <f aca="false">'AI threat scenarios'!B13</f>
        <v>Spoofing</v>
      </c>
      <c r="D13" s="21" t="s">
        <v>1294</v>
      </c>
      <c r="E13" s="21" t="s">
        <v>33</v>
      </c>
      <c r="F13" s="21" t="str">
        <f aca="false">IFERROR(INDEX('Medini threats'!$A$2:$A$226,MATCH(G13,'Medini threats'!$M$2:$M$226,0)),"not in model")</f>
        <v>T190</v>
      </c>
      <c r="G13" s="21" t="str">
        <f aca="false">D13&amp;"|"&amp;E13</f>
        <v>Gemini API|Spoofing</v>
      </c>
      <c r="H13" s="21" t="s">
        <v>1392</v>
      </c>
      <c r="I13" s="24"/>
    </row>
    <row r="14" customFormat="false" ht="45" hidden="false" customHeight="true" outlineLevel="0" collapsed="false">
      <c r="A14" s="21" t="n">
        <v>14</v>
      </c>
      <c r="B14" s="21" t="str">
        <f aca="false">'AI threat scenarios'!A14</f>
        <v>4 &amp; 7. Cloud MLLM (Gemini API)</v>
      </c>
      <c r="C14" s="21" t="str">
        <f aca="false">'AI threat scenarios'!B14</f>
        <v>Information disclosure</v>
      </c>
      <c r="D14" s="21" t="s">
        <v>1294</v>
      </c>
      <c r="E14" s="21" t="s">
        <v>850</v>
      </c>
      <c r="F14" s="21" t="str">
        <f aca="false">IFERROR(INDEX('Medini threats'!$A$2:$A$226,MATCH(G14,'Medini threats'!$M$2:$M$226,0)),"not in model")</f>
        <v>T187</v>
      </c>
      <c r="G14" s="21" t="str">
        <f aca="false">D14&amp;"|"&amp;E14</f>
        <v>Gemini API|Information Disclosure</v>
      </c>
      <c r="H14" s="21" t="s">
        <v>1392</v>
      </c>
      <c r="I14" s="24"/>
    </row>
    <row r="15" customFormat="false" ht="45" hidden="false" customHeight="true" outlineLevel="0" collapsed="false">
      <c r="A15" s="21" t="n">
        <v>15</v>
      </c>
      <c r="B15" s="21" t="str">
        <f aca="false">'AI threat scenarios'!A15</f>
        <v>1. Cameras (mono + stereo)</v>
      </c>
      <c r="C15" s="21" t="str">
        <f aca="false">'AI threat scenarios'!B15</f>
        <v>Denial of service</v>
      </c>
      <c r="D15" s="21" t="s">
        <v>851</v>
      </c>
      <c r="E15" s="21" t="s">
        <v>854</v>
      </c>
      <c r="F15" s="21" t="str">
        <f aca="false">IFERROR(INDEX('Medini threats'!$A$2:$A$226,MATCH(G15,'Medini threats'!$M$2:$M$226,0)),"not in model")</f>
        <v>T003</v>
      </c>
      <c r="G15" s="21" t="str">
        <f aca="false">D15&amp;"|"&amp;E15</f>
        <v>Mono + Stereo|Denial of Service</v>
      </c>
      <c r="H15" s="21" t="s">
        <v>1392</v>
      </c>
      <c r="I15" s="24"/>
    </row>
    <row r="16" customFormat="false" ht="45" hidden="false" customHeight="true" outlineLevel="0" collapsed="false">
      <c r="A16" s="21" t="n">
        <v>16</v>
      </c>
      <c r="B16" s="21" t="str">
        <f aca="false">'AI threat scenarios'!A16</f>
        <v>9 -&gt; 11. PC5 sidelink (RSU to OBU)</v>
      </c>
      <c r="C16" s="21" t="str">
        <f aca="false">'AI threat scenarios'!B16</f>
        <v>Denial of service</v>
      </c>
      <c r="D16" s="21" t="s">
        <v>1160</v>
      </c>
      <c r="E16" s="21" t="s">
        <v>854</v>
      </c>
      <c r="F16" s="21" t="str">
        <f aca="false">IFERROR(INDEX('Medini threats'!$A$2:$A$226,MATCH(G16,'Medini threats'!$M$2:$M$226,0)),"not in model")</f>
        <v>T132</v>
      </c>
      <c r="G16" s="21" t="str">
        <f aca="false">D16&amp;"|"&amp;E16</f>
        <v>pc5_out ↔ pc5_in|Denial of Service</v>
      </c>
      <c r="H16" s="21" t="s">
        <v>1392</v>
      </c>
      <c r="I16" s="24"/>
    </row>
    <row r="17" customFormat="false" ht="45" hidden="false" customHeight="true" outlineLevel="0" collapsed="false">
      <c r="A17" s="21" t="n">
        <v>17</v>
      </c>
      <c r="B17" s="21" t="str">
        <f aca="false">'AI threat scenarios'!A17</f>
        <v>4 &amp; 7. Cloud MLLM service (Gemini API) and its 5G Uu link</v>
      </c>
      <c r="C17" s="21" t="str">
        <f aca="false">'AI threat scenarios'!B17</f>
        <v>Denial of service</v>
      </c>
      <c r="D17" s="21" t="s">
        <v>1294</v>
      </c>
      <c r="E17" s="21" t="s">
        <v>854</v>
      </c>
      <c r="F17" s="21" t="str">
        <f aca="false">IFERROR(INDEX('Medini threats'!$A$2:$A$226,MATCH(G17,'Medini threats'!$M$2:$M$226,0)),"not in model")</f>
        <v>T189</v>
      </c>
      <c r="G17" s="21" t="str">
        <f aca="false">D17&amp;"|"&amp;E17</f>
        <v>Gemini API|Denial of Service</v>
      </c>
      <c r="H17" s="21" t="s">
        <v>1392</v>
      </c>
      <c r="I17" s="24"/>
    </row>
    <row r="18" customFormat="false" ht="45" hidden="false" customHeight="true" outlineLevel="0" collapsed="false">
      <c r="A18" s="21" t="n">
        <v>18</v>
      </c>
      <c r="B18" s="21" t="str">
        <f aca="false">'AI threat scenarios'!A18</f>
        <v>2 &amp; 5. AI model files on the roadside computing unit</v>
      </c>
      <c r="C18" s="21" t="str">
        <f aca="false">'AI threat scenarios'!B18</f>
        <v>Tampering</v>
      </c>
      <c r="D18" s="21" t="s">
        <v>881</v>
      </c>
      <c r="E18" s="21" t="s">
        <v>53</v>
      </c>
      <c r="F18" s="21" t="str">
        <f aca="false">IFERROR(INDEX('Medini threats'!$A$2:$A$226,MATCH(G18,'Medini threats'!$M$2:$M$226,0)),"not in model")</f>
        <v>T014</v>
      </c>
      <c r="G18" s="21" t="str">
        <f aca="false">D18&amp;"|"&amp;E18</f>
        <v>YOLOv5 fast path|Tampering</v>
      </c>
      <c r="H18" s="21" t="s">
        <v>1392</v>
      </c>
      <c r="I18" s="24" t="s">
        <v>1399</v>
      </c>
    </row>
    <row r="19" customFormat="false" ht="45" hidden="false" customHeight="true" outlineLevel="0" collapsed="false">
      <c r="A19" s="21" t="n">
        <v>19</v>
      </c>
      <c r="B19" s="21" t="str">
        <f aca="false">'AI threat scenarios'!A19</f>
        <v>Gemini API key and cloud account</v>
      </c>
      <c r="C19" s="21" t="str">
        <f aca="false">'AI threat scenarios'!B19</f>
        <v>Information disclosure</v>
      </c>
      <c r="D19" s="21"/>
      <c r="E19" s="21"/>
      <c r="F19" s="21" t="str">
        <f aca="false">IFERROR(INDEX('Medini threats'!$A$2:$A$226,MATCH(G19,'Medini threats'!$M$2:$M$226,0)),"not in model")</f>
        <v>not in model</v>
      </c>
      <c r="G19" s="21" t="str">
        <f aca="false">D19&amp;"|"&amp;E19</f>
        <v>|</v>
      </c>
      <c r="H19" s="21" t="s">
        <v>1400</v>
      </c>
      <c r="I19" s="24" t="s">
        <v>1401</v>
      </c>
    </row>
    <row r="20" customFormat="false" ht="45" hidden="false" customHeight="true" outlineLevel="0" collapsed="false">
      <c r="A20" s="21" t="n">
        <v>20</v>
      </c>
      <c r="B20" s="21" t="str">
        <f aca="false">'AI threat scenarios'!A20</f>
        <v>3-8. Records of the AI decision chain (prompt, model version, response)</v>
      </c>
      <c r="C20" s="21" t="str">
        <f aca="false">'AI threat scenarios'!B20</f>
        <v>Repudiation</v>
      </c>
      <c r="D20" s="21" t="s">
        <v>919</v>
      </c>
      <c r="E20" s="21" t="s">
        <v>307</v>
      </c>
      <c r="F20" s="21" t="str">
        <f aca="false">IFERROR(INDEX('Medini threats'!$A$2:$A$226,MATCH(G20,'Medini threats'!$M$2:$M$226,0)),"not in model")</f>
        <v>T033</v>
      </c>
      <c r="G20" s="21" t="str">
        <f aca="false">D20&amp;"|"&amp;E20</f>
        <v>Agent 1, MLLM call|Repudiation</v>
      </c>
      <c r="H20" s="21" t="s">
        <v>1392</v>
      </c>
      <c r="I20" s="24" t="s">
        <v>1402</v>
      </c>
    </row>
    <row r="21" customFormat="false" ht="45" hidden="false" customHeight="true" outlineLevel="0" collapsed="false">
      <c r="A21" s="21" t="n">
        <v>21</v>
      </c>
      <c r="B21" s="21" t="str">
        <f aca="false">'AI threat scenarios'!A21</f>
        <v>12. Vehicle computer (in-vehicle interfaces)</v>
      </c>
      <c r="C21" s="21" t="str">
        <f aca="false">'AI threat scenarios'!B21</f>
        <v>Elevation of privilege</v>
      </c>
      <c r="D21" s="21" t="s">
        <v>1237</v>
      </c>
      <c r="E21" s="21" t="s">
        <v>857</v>
      </c>
      <c r="F21" s="21" t="str">
        <f aca="false">IFERROR(INDEX('Medini threats'!$A$2:$A$226,MATCH(G21,'Medini threats'!$M$2:$M$226,0)),"not in model")</f>
        <v>T167</v>
      </c>
      <c r="G21" s="21" t="str">
        <f aca="false">D21&amp;"|"&amp;E21</f>
        <v>Verify, warning logic|Elevation of Privilege</v>
      </c>
      <c r="H21" s="21" t="s">
        <v>1392</v>
      </c>
      <c r="I21" s="24"/>
    </row>
    <row r="22" customFormat="false" ht="45" hidden="false" customHeight="true" outlineLevel="0" collapsed="false">
      <c r="A22" s="21" t="n">
        <v>22</v>
      </c>
      <c r="B22" s="21" t="str">
        <f aca="false">'AI threat scenarios'!A22</f>
        <v>11. OBU (V2X stack and ASN.1 decoder)</v>
      </c>
      <c r="C22" s="21" t="str">
        <f aca="false">'AI threat scenarios'!B22</f>
        <v>Denial of service</v>
      </c>
      <c r="D22" s="21" t="s">
        <v>1182</v>
      </c>
      <c r="E22" s="21" t="s">
        <v>854</v>
      </c>
      <c r="F22" s="21" t="str">
        <f aca="false">IFERROR(INDEX('Medini threats'!$A$2:$A$226,MATCH(G22,'Medini threats'!$M$2:$M$226,0)),"not in model")</f>
        <v>T141</v>
      </c>
      <c r="G22" s="21" t="str">
        <f aca="false">D22&amp;"|"&amp;E22</f>
        <v>PC5 + Uumodem|Denial of Service</v>
      </c>
      <c r="H22" s="21" t="s">
        <v>1392</v>
      </c>
      <c r="I22" s="24"/>
    </row>
    <row r="23" customFormat="false" ht="45" hidden="false" customHeight="true" outlineLevel="0" collapsed="false">
      <c r="A23" s="21" t="n">
        <v>23</v>
      </c>
      <c r="B23" s="21" t="str">
        <f aca="false">'AI threat scenarios'!A23</f>
        <v>13. Driver HMI</v>
      </c>
      <c r="C23" s="21" t="str">
        <f aca="false">'AI threat scenarios'!B23</f>
        <v>Denial of service</v>
      </c>
      <c r="D23" s="21" t="s">
        <v>1274</v>
      </c>
      <c r="E23" s="21" t="s">
        <v>854</v>
      </c>
      <c r="F23" s="21" t="str">
        <f aca="false">IFERROR(INDEX('Medini threats'!$A$2:$A$226,MATCH(G23,'Medini threats'!$M$2:$M$226,0)),"not in model")</f>
        <v>T180</v>
      </c>
      <c r="G23" s="21" t="str">
        <f aca="false">D23&amp;"|"&amp;E23</f>
        <v>Visual + audio alert|Denial of Service</v>
      </c>
      <c r="H23" s="21" t="s">
        <v>1392</v>
      </c>
      <c r="I23" s="24"/>
    </row>
    <row r="24" customFormat="false" ht="45" hidden="false" customHeight="true" outlineLevel="0" collapsed="false">
      <c r="A24" s="21" t="n">
        <v>24</v>
      </c>
      <c r="B24" s="21" t="str">
        <f aca="false">'AI threat scenarios'!A24</f>
        <v>1. Cameras (mono + stereo)</v>
      </c>
      <c r="C24" s="21" t="str">
        <f aca="false">'AI threat scenarios'!B24</f>
        <v>Information disclosure</v>
      </c>
      <c r="D24" s="21" t="s">
        <v>851</v>
      </c>
      <c r="E24" s="21" t="s">
        <v>850</v>
      </c>
      <c r="F24" s="1" t="str">
        <f aca="false">IFERROR(INDEX('Medini threats'!$A$2:$A$226,MATCH(G24,'Medini threats'!$M$2:$M$226,0)),"not in model")</f>
        <v>T001</v>
      </c>
      <c r="G24" s="21" t="str">
        <f aca="false">D24&amp;"|"&amp;E24</f>
        <v>Mono + Stereo|Information Disclosure</v>
      </c>
      <c r="H24" s="21" t="s">
        <v>1392</v>
      </c>
      <c r="I24" s="24"/>
    </row>
    <row r="25" customFormat="false" ht="45" hidden="false" customHeight="true" outlineLevel="0" collapsed="false">
      <c r="A25" s="21" t="n">
        <v>25</v>
      </c>
      <c r="B25" s="21" t="str">
        <f aca="false">'AI threat scenarios'!A25</f>
        <v>1. Cameras (mono + stereo)</v>
      </c>
      <c r="C25" s="21" t="str">
        <f aca="false">'AI threat scenarios'!B25</f>
        <v>Tampering</v>
      </c>
      <c r="D25" s="21" t="s">
        <v>851</v>
      </c>
      <c r="E25" s="21" t="s">
        <v>53</v>
      </c>
      <c r="F25" s="1" t="str">
        <f aca="false">IFERROR(INDEX('Medini threats'!$A$2:$A$226,MATCH(G25,'Medini threats'!$M$2:$M$226,0)),"not in model")</f>
        <v>T002</v>
      </c>
      <c r="G25" s="21" t="str">
        <f aca="false">D25&amp;"|"&amp;E25</f>
        <v>Mono + Stereo|Tampering</v>
      </c>
      <c r="H25" s="21" t="s">
        <v>1392</v>
      </c>
      <c r="I25" s="24"/>
    </row>
    <row r="26" customFormat="false" ht="45" hidden="false" customHeight="true" outlineLevel="0" collapsed="false">
      <c r="A26" s="21" t="n">
        <v>26</v>
      </c>
      <c r="B26" s="21" t="str">
        <f aca="false">'AI threat scenarios'!A26</f>
        <v>2. Edge detector, YOLOv5 (roadside computing unit)</v>
      </c>
      <c r="C26" s="21" t="str">
        <f aca="false">'AI threat scenarios'!B26</f>
        <v>Denial of service</v>
      </c>
      <c r="D26" s="21" t="s">
        <v>881</v>
      </c>
      <c r="E26" s="21" t="s">
        <v>854</v>
      </c>
      <c r="F26" s="1" t="str">
        <f aca="false">IFERROR(INDEX('Medini threats'!$A$2:$A$226,MATCH(G26,'Medini threats'!$M$2:$M$226,0)),"not in model")</f>
        <v>T015</v>
      </c>
      <c r="G26" s="21" t="str">
        <f aca="false">D26&amp;"|"&amp;E26</f>
        <v>YOLOv5 fast path|Denial of Service</v>
      </c>
      <c r="H26" s="21" t="s">
        <v>1392</v>
      </c>
      <c r="I26" s="24"/>
    </row>
    <row r="27" customFormat="false" ht="45" hidden="false" customHeight="true" outlineLevel="0" collapsed="false">
      <c r="A27" s="21" t="n">
        <v>27</v>
      </c>
      <c r="B27" s="21" t="str">
        <f aca="false">'AI threat scenarios'!A27</f>
        <v>3. Situation detection agent (MLLM call)</v>
      </c>
      <c r="C27" s="21" t="str">
        <f aca="false">'AI threat scenarios'!B27</f>
        <v>Denial of service</v>
      </c>
      <c r="D27" s="21" t="s">
        <v>919</v>
      </c>
      <c r="E27" s="21" t="s">
        <v>854</v>
      </c>
      <c r="F27" s="1" t="str">
        <f aca="false">IFERROR(INDEX('Medini threats'!$A$2:$A$226,MATCH(G27,'Medini threats'!$M$2:$M$226,0)),"not in model")</f>
        <v>T030</v>
      </c>
      <c r="G27" s="21" t="str">
        <f aca="false">D27&amp;"|"&amp;E27</f>
        <v>Agent 1, MLLM call|Denial of Service</v>
      </c>
      <c r="H27" s="21" t="s">
        <v>1392</v>
      </c>
      <c r="I27" s="24"/>
    </row>
    <row r="28" customFormat="false" ht="45" hidden="false" customHeight="true" outlineLevel="0" collapsed="false">
      <c r="A28" s="21" t="n">
        <v>28</v>
      </c>
      <c r="B28" s="21" t="str">
        <f aca="false">'AI threat scenarios'!A28</f>
        <v>5. Distance estimate agent (Depth Pro)</v>
      </c>
      <c r="C28" s="21" t="str">
        <f aca="false">'AI threat scenarios'!B28</f>
        <v>Tampering</v>
      </c>
      <c r="D28" s="21" t="s">
        <v>984</v>
      </c>
      <c r="E28" s="21" t="s">
        <v>53</v>
      </c>
      <c r="F28" s="1" t="str">
        <f aca="false">IFERROR(INDEX('Medini threats'!$A$2:$A$226,MATCH(G28,'Medini threats'!$M$2:$M$226,0)),"not in model")</f>
        <v>T056</v>
      </c>
      <c r="G28" s="21" t="str">
        <f aca="false">D28&amp;"|"&amp;E28</f>
        <v>Agent 2, Depth Pro|Tampering</v>
      </c>
      <c r="H28" s="21" t="s">
        <v>1392</v>
      </c>
      <c r="I28" s="24"/>
    </row>
    <row r="29" customFormat="false" ht="45" hidden="false" customHeight="true" outlineLevel="0" collapsed="false">
      <c r="A29" s="21" t="n">
        <v>29</v>
      </c>
      <c r="B29" s="21" t="str">
        <f aca="false">'AI threat scenarios'!A29</f>
        <v>6. Message generation agent (MLLM call)</v>
      </c>
      <c r="C29" s="21" t="str">
        <f aca="false">'AI threat scenarios'!B29</f>
        <v>Tampering</v>
      </c>
      <c r="D29" s="21" t="s">
        <v>1018</v>
      </c>
      <c r="E29" s="21" t="s">
        <v>53</v>
      </c>
      <c r="F29" s="1" t="str">
        <f aca="false">IFERROR(INDEX('Medini threats'!$A$2:$A$226,MATCH(G29,'Medini threats'!$M$2:$M$226,0)),"not in model")</f>
        <v>T071</v>
      </c>
      <c r="G29" s="21" t="str">
        <f aca="false">D29&amp;"|"&amp;E29</f>
        <v>Agent 3, MLLM call|Tampering</v>
      </c>
      <c r="H29" s="21" t="s">
        <v>1392</v>
      </c>
      <c r="I29" s="24"/>
    </row>
    <row r="30" customFormat="false" ht="45" hidden="false" customHeight="true" outlineLevel="0" collapsed="false">
      <c r="A30" s="21" t="n">
        <v>30</v>
      </c>
      <c r="B30" s="21" t="str">
        <f aca="false">'AI threat scenarios'!A30</f>
        <v>8. DENM encoder (ASN.1 UPER payload)</v>
      </c>
      <c r="C30" s="21" t="str">
        <f aca="false">'AI threat scenarios'!B30</f>
        <v>Tampering</v>
      </c>
      <c r="D30" s="21" t="s">
        <v>1081</v>
      </c>
      <c r="E30" s="21" t="s">
        <v>53</v>
      </c>
      <c r="F30" s="1" t="str">
        <f aca="false">IFERROR(INDEX('Medini threats'!$A$2:$A$226,MATCH(G30,'Medini threats'!$M$2:$M$226,0)),"not in model")</f>
        <v>T098</v>
      </c>
      <c r="G30" s="21" t="str">
        <f aca="false">D30&amp;"|"&amp;E30</f>
        <v>ASN.1 UPER payload|Tampering</v>
      </c>
      <c r="H30" s="21" t="s">
        <v>1392</v>
      </c>
      <c r="I30" s="24"/>
    </row>
    <row r="31" customFormat="false" ht="45" hidden="false" customHeight="true" outlineLevel="0" collapsed="false">
      <c r="A31" s="21" t="n">
        <v>31</v>
      </c>
      <c r="B31" s="21" t="str">
        <f aca="false">'AI threat scenarios'!A31</f>
        <v>8. DENM encoder records</v>
      </c>
      <c r="C31" s="21" t="str">
        <f aca="false">'AI threat scenarios'!B31</f>
        <v>Repudiation</v>
      </c>
      <c r="D31" s="21" t="s">
        <v>1081</v>
      </c>
      <c r="E31" s="21" t="s">
        <v>307</v>
      </c>
      <c r="F31" s="1" t="str">
        <f aca="false">IFERROR(INDEX('Medini threats'!$A$2:$A$226,MATCH(G31,'Medini threats'!$M$2:$M$226,0)),"not in model")</f>
        <v>T102</v>
      </c>
      <c r="G31" s="21" t="str">
        <f aca="false">D31&amp;"|"&amp;E31</f>
        <v>ASN.1 UPER payload|Repudiation</v>
      </c>
      <c r="H31" s="21" t="s">
        <v>1392</v>
      </c>
      <c r="I31" s="24"/>
    </row>
    <row r="32" customFormat="false" ht="45" hidden="false" customHeight="true" outlineLevel="0" collapsed="false">
      <c r="A32" s="21" t="n">
        <v>32</v>
      </c>
      <c r="B32" s="21" t="str">
        <f aca="false">'AI threat scenarios'!A32</f>
        <v>9. RSU (services and radio front end)</v>
      </c>
      <c r="C32" s="21" t="str">
        <f aca="false">'AI threat scenarios'!B32</f>
        <v>Denial of service</v>
      </c>
      <c r="D32" s="21" t="s">
        <v>1116</v>
      </c>
      <c r="E32" s="21" t="s">
        <v>854</v>
      </c>
      <c r="F32" s="1" t="str">
        <f aca="false">IFERROR(INDEX('Medini threats'!$A$2:$A$226,MATCH(G32,'Medini threats'!$M$2:$M$226,0)),"not in model")</f>
        <v>T114</v>
      </c>
      <c r="G32" s="21" t="str">
        <f aca="false">D32&amp;"|"&amp;E32</f>
        <v>Signs, PC5, HSM|Denial of Service</v>
      </c>
      <c r="H32" s="21" t="s">
        <v>1392</v>
      </c>
      <c r="I32" s="24"/>
    </row>
    <row r="33" customFormat="false" ht="45" hidden="false" customHeight="true" outlineLevel="0" collapsed="false">
      <c r="A33" s="21" t="n">
        <v>33</v>
      </c>
      <c r="B33" s="21" t="str">
        <f aca="false">'AI threat scenarios'!A33</f>
        <v>9 -&gt; 10. Link RSU to central ITS-S (5G Uu)</v>
      </c>
      <c r="C33" s="21" t="str">
        <f aca="false">'AI threat scenarios'!B33</f>
        <v>Tampering</v>
      </c>
      <c r="D33" s="21" t="s">
        <v>1174</v>
      </c>
      <c r="E33" s="21" t="s">
        <v>53</v>
      </c>
      <c r="F33" s="1" t="str">
        <f aca="false">IFERROR(INDEX('Medini threats'!$A$2:$A$226,MATCH(G33,'Medini threats'!$M$2:$M$226,0)),"not in model")</f>
        <v>T137</v>
      </c>
      <c r="G33" s="21" t="str">
        <f aca="false">D33&amp;"|"&amp;E33</f>
        <v>uu_link ↔ uu_link_rsu|Tampering</v>
      </c>
      <c r="H33" s="21" t="s">
        <v>1392</v>
      </c>
      <c r="I33" s="24"/>
    </row>
    <row r="34" customFormat="false" ht="45" hidden="false" customHeight="true" outlineLevel="0" collapsed="false">
      <c r="A34" s="21" t="n">
        <v>34</v>
      </c>
      <c r="B34" s="21" t="str">
        <f aca="false">'AI threat scenarios'!A34</f>
        <v>10. Central ITS-S (operator console, PKI services)</v>
      </c>
      <c r="C34" s="21" t="str">
        <f aca="false">'AI threat scenarios'!B34</f>
        <v>Elevation of privilege</v>
      </c>
      <c r="D34" s="21" t="s">
        <v>1338</v>
      </c>
      <c r="E34" s="21" t="s">
        <v>857</v>
      </c>
      <c r="F34" s="1" t="str">
        <f aca="false">IFERROR(INDEX('Medini threats'!$A$2:$A$226,MATCH(G34,'Medini threats'!$M$2:$M$226,0)),"not in model")</f>
        <v>T209</v>
      </c>
      <c r="G34" s="21" t="str">
        <f aca="false">D34&amp;"|"&amp;E34</f>
        <v>PKI, operator|Elevation of Privilege</v>
      </c>
      <c r="H34" s="21" t="s">
        <v>1392</v>
      </c>
      <c r="I34" s="24"/>
    </row>
    <row r="35" customFormat="false" ht="45" hidden="false" customHeight="true" outlineLevel="0" collapsed="false">
      <c r="A35" s="21" t="n">
        <v>35</v>
      </c>
      <c r="B35" s="21" t="str">
        <f aca="false">'AI threat scenarios'!A35</f>
        <v>10. Central ITS-S (PKI and distribution services)</v>
      </c>
      <c r="C35" s="21" t="str">
        <f aca="false">'AI threat scenarios'!B35</f>
        <v>Denial of service</v>
      </c>
      <c r="D35" s="21" t="s">
        <v>1338</v>
      </c>
      <c r="E35" s="21" t="s">
        <v>854</v>
      </c>
      <c r="F35" s="1" t="str">
        <f aca="false">IFERROR(INDEX('Medini threats'!$A$2:$A$226,MATCH(G35,'Medini threats'!$M$2:$M$226,0)),"not in model")</f>
        <v>T207</v>
      </c>
      <c r="G35" s="21" t="str">
        <f aca="false">D35&amp;"|"&amp;E35</f>
        <v>PKI, operator|Denial of Service</v>
      </c>
      <c r="H35" s="21" t="s">
        <v>1392</v>
      </c>
      <c r="I35" s="24"/>
    </row>
    <row r="36" customFormat="false" ht="45" hidden="false" customHeight="true" outlineLevel="0" collapsed="false">
      <c r="A36" s="21" t="n">
        <v>36</v>
      </c>
      <c r="B36" s="21" t="str">
        <f aca="false">'AI threat scenarios'!A36</f>
        <v>10. Central ITS-S (event records and certificate data)</v>
      </c>
      <c r="C36" s="21" t="str">
        <f aca="false">'AI threat scenarios'!B36</f>
        <v>Information disclosure</v>
      </c>
      <c r="D36" s="21" t="s">
        <v>1338</v>
      </c>
      <c r="E36" s="21" t="s">
        <v>850</v>
      </c>
      <c r="F36" s="1" t="str">
        <f aca="false">IFERROR(INDEX('Medini threats'!$A$2:$A$226,MATCH(G36,'Medini threats'!$M$2:$M$226,0)),"not in model")</f>
        <v>T205</v>
      </c>
      <c r="G36" s="21" t="str">
        <f aca="false">D36&amp;"|"&amp;E36</f>
        <v>PKI, operator|Information Disclosure</v>
      </c>
      <c r="H36" s="21" t="s">
        <v>1392</v>
      </c>
      <c r="I36" s="24"/>
    </row>
    <row r="37" customFormat="false" ht="45" hidden="false" customHeight="true" outlineLevel="0" collapsed="false">
      <c r="A37" s="21" t="n">
        <v>37</v>
      </c>
      <c r="B37" s="21" t="str">
        <f aca="false">'AI threat scenarios'!A37</f>
        <v>10. Central ITS-S (audit log)</v>
      </c>
      <c r="C37" s="21" t="str">
        <f aca="false">'AI threat scenarios'!B37</f>
        <v>Repudiation</v>
      </c>
      <c r="D37" s="21" t="s">
        <v>1338</v>
      </c>
      <c r="E37" s="21" t="s">
        <v>307</v>
      </c>
      <c r="F37" s="1" t="str">
        <f aca="false">IFERROR(INDEX('Medini threats'!$A$2:$A$226,MATCH(G37,'Medini threats'!$M$2:$M$226,0)),"not in model")</f>
        <v>T210</v>
      </c>
      <c r="G37" s="21" t="str">
        <f aca="false">D37&amp;"|"&amp;E37</f>
        <v>PKI, operator|Repudiation</v>
      </c>
      <c r="H37" s="21" t="s">
        <v>1392</v>
      </c>
      <c r="I37" s="24"/>
    </row>
    <row r="38" customFormat="false" ht="45" hidden="false" customHeight="true" outlineLevel="0" collapsed="false">
      <c r="A38" s="21" t="n">
        <v>38</v>
      </c>
      <c r="B38" s="21" t="str">
        <f aca="false">'AI threat scenarios'!A38</f>
        <v>4 &amp; 7. Cloud MLLM (model behind the Gemini API)</v>
      </c>
      <c r="C38" s="21" t="str">
        <f aca="false">'AI threat scenarios'!B38</f>
        <v>Tampering</v>
      </c>
      <c r="D38" s="21" t="s">
        <v>1294</v>
      </c>
      <c r="E38" s="21" t="s">
        <v>53</v>
      </c>
      <c r="F38" s="1" t="str">
        <f aca="false">IFERROR(INDEX('Medini threats'!$A$2:$A$226,MATCH(G38,'Medini threats'!$M$2:$M$226,0)),"not in model")</f>
        <v>T188</v>
      </c>
      <c r="G38" s="21" t="str">
        <f aca="false">D38&amp;"|"&amp;E38</f>
        <v>Gemini API|Tampering</v>
      </c>
      <c r="H38" s="21" t="s">
        <v>1392</v>
      </c>
      <c r="I38" s="24"/>
    </row>
    <row r="39" customFormat="false" ht="45" hidden="false" customHeight="true" outlineLevel="0" collapsed="false">
      <c r="A39" s="21" t="n">
        <v>39</v>
      </c>
      <c r="B39" s="21" t="str">
        <f aca="false">'AI threat scenarios'!A39</f>
        <v>4 &amp; 7. Cloud MLLM (provider-side processing)</v>
      </c>
      <c r="C39" s="21" t="str">
        <f aca="false">'AI threat scenarios'!B39</f>
        <v>Repudiation</v>
      </c>
      <c r="D39" s="21" t="s">
        <v>1294</v>
      </c>
      <c r="E39" s="21" t="s">
        <v>307</v>
      </c>
      <c r="F39" s="1" t="str">
        <f aca="false">IFERROR(INDEX('Medini threats'!$A$2:$A$226,MATCH(G39,'Medini threats'!$M$2:$M$226,0)),"not in model")</f>
        <v>T192</v>
      </c>
      <c r="G39" s="21" t="str">
        <f aca="false">D39&amp;"|"&amp;E39</f>
        <v>Gemini API|Repudiation</v>
      </c>
      <c r="H39" s="21" t="s">
        <v>1392</v>
      </c>
      <c r="I39" s="24"/>
    </row>
    <row r="40" customFormat="false" ht="45" hidden="false" customHeight="true" outlineLevel="0" collapsed="false">
      <c r="A40" s="21" t="n">
        <v>40</v>
      </c>
      <c r="B40" s="21" t="str">
        <f aca="false">'AI threat scenarios'!A40</f>
        <v>11. OBU (firmware and V2X stack)</v>
      </c>
      <c r="C40" s="21" t="str">
        <f aca="false">'AI threat scenarios'!B40</f>
        <v>Tampering</v>
      </c>
      <c r="D40" s="21" t="s">
        <v>1182</v>
      </c>
      <c r="E40" s="21" t="s">
        <v>53</v>
      </c>
      <c r="F40" s="1" t="str">
        <f aca="false">IFERROR(INDEX('Medini threats'!$A$2:$A$226,MATCH(G40,'Medini threats'!$M$2:$M$226,0)),"not in model")</f>
        <v>T140</v>
      </c>
      <c r="G40" s="21" t="str">
        <f aca="false">D40&amp;"|"&amp;E40</f>
        <v>PC5 + Uumodem|Tampering</v>
      </c>
      <c r="H40" s="21" t="s">
        <v>1392</v>
      </c>
      <c r="I40" s="24"/>
    </row>
    <row r="41" customFormat="false" ht="45" hidden="false" customHeight="true" outlineLevel="0" collapsed="false">
      <c r="A41" s="21" t="n">
        <v>41</v>
      </c>
      <c r="B41" s="21" t="str">
        <f aca="false">'AI threat scenarios'!A41</f>
        <v>11. OBU (station identity)</v>
      </c>
      <c r="C41" s="21" t="str">
        <f aca="false">'AI threat scenarios'!B41</f>
        <v>Spoofing</v>
      </c>
      <c r="D41" s="21" t="s">
        <v>1182</v>
      </c>
      <c r="E41" s="21" t="s">
        <v>33</v>
      </c>
      <c r="F41" s="1" t="str">
        <f aca="false">IFERROR(INDEX('Medini threats'!$A$2:$A$226,MATCH(G41,'Medini threats'!$M$2:$M$226,0)),"not in model")</f>
        <v>T142</v>
      </c>
      <c r="G41" s="21" t="str">
        <f aca="false">D41&amp;"|"&amp;E41</f>
        <v>PC5 + Uumodem|Spoofing</v>
      </c>
      <c r="H41" s="21" t="s">
        <v>1392</v>
      </c>
      <c r="I41" s="24"/>
    </row>
    <row r="42" customFormat="false" ht="45" hidden="false" customHeight="true" outlineLevel="0" collapsed="false">
      <c r="A42" s="21" t="n">
        <v>42</v>
      </c>
      <c r="B42" s="21" t="str">
        <f aca="false">'AI threat scenarios'!A42</f>
        <v>13. Driver HMI (displayed content)</v>
      </c>
      <c r="C42" s="21" t="str">
        <f aca="false">'AI threat scenarios'!B42</f>
        <v>Tampering</v>
      </c>
      <c r="D42" s="21" t="s">
        <v>1274</v>
      </c>
      <c r="E42" s="21" t="s">
        <v>53</v>
      </c>
      <c r="F42" s="1" t="str">
        <f aca="false">IFERROR(INDEX('Medini threats'!$A$2:$A$226,MATCH(G42,'Medini threats'!$M$2:$M$226,0)),"not in model")</f>
        <v>T179</v>
      </c>
      <c r="G42" s="21" t="str">
        <f aca="false">D42&amp;"|"&amp;E42</f>
        <v>Visual + audio alert|Tampering</v>
      </c>
      <c r="H42" s="21" t="s">
        <v>1392</v>
      </c>
      <c r="I42" s="24"/>
    </row>
    <row r="43" customFormat="false" ht="45" hidden="false" customHeight="true" outlineLevel="0" collapsed="false">
      <c r="A43" s="21" t="n">
        <v>43</v>
      </c>
      <c r="B43" s="21" t="str">
        <f aca="false">'AI threat scenarios'!A43</f>
        <v>1 -&gt; 2. Video link cameras to computing unit</v>
      </c>
      <c r="C43" s="21" t="str">
        <f aca="false">'AI threat scenarios'!B43</f>
        <v>Information disclosure</v>
      </c>
      <c r="D43" s="21" t="s">
        <v>871</v>
      </c>
      <c r="E43" s="21" t="s">
        <v>850</v>
      </c>
      <c r="F43" s="1" t="str">
        <f aca="false">IFERROR(INDEX('Medini threats'!$A$2:$A$226,MATCH(G43,'Medini threats'!$M$2:$M$226,0)),"not in model")</f>
        <v>T010</v>
      </c>
      <c r="G43" s="21" t="str">
        <f aca="false">D43&amp;"|"&amp;E43</f>
        <v>image_out ↔ image_in|Information Disclosure</v>
      </c>
      <c r="H43" s="21" t="s">
        <v>1392</v>
      </c>
      <c r="I43" s="24"/>
    </row>
    <row r="44" customFormat="false" ht="45" hidden="false" customHeight="true" outlineLevel="0" collapsed="false">
      <c r="A44" s="21" t="n">
        <v>44</v>
      </c>
      <c r="B44" s="21" t="str">
        <f aca="false">'AI threat scenarios'!A44</f>
        <v>11 -&gt; 12. Link OBU to vehicle computer (Ethernet/UDP)</v>
      </c>
      <c r="C44" s="21" t="str">
        <f aca="false">'AI threat scenarios'!B44</f>
        <v>Tampering</v>
      </c>
      <c r="D44" s="21" t="s">
        <v>1221</v>
      </c>
      <c r="E44" s="21" t="s">
        <v>53</v>
      </c>
      <c r="F44" s="1" t="str">
        <f aca="false">IFERROR(INDEX('Medini threats'!$A$2:$A$226,MATCH(G44,'Medini threats'!$M$2:$M$226,0)),"not in model")</f>
        <v>T158</v>
      </c>
      <c r="G44" s="21" t="str">
        <f aca="false">D44&amp;"|"&amp;E44</f>
        <v>warning_out ↔ warning_in|Tampering</v>
      </c>
      <c r="H44" s="21" t="s">
        <v>1392</v>
      </c>
      <c r="I44" s="24"/>
    </row>
  </sheetData>
  <autoFilter ref="A1:I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5" min="2" style="1" width="17"/>
    <col collapsed="false" customWidth="true" hidden="false" outlineLevel="0" max="6" min="6" style="1" width="60"/>
  </cols>
  <sheetData>
    <row r="1" customFormat="false" ht="15" hidden="false" customHeight="true" outlineLevel="0" collapsed="false">
      <c r="A1" s="20" t="s">
        <v>1403</v>
      </c>
    </row>
    <row r="3" customFormat="false" ht="15" hidden="false" customHeight="true" outlineLevel="0" collapsed="false">
      <c r="A3" s="20" t="s">
        <v>1404</v>
      </c>
      <c r="B3" s="20" t="s">
        <v>1405</v>
      </c>
    </row>
    <row r="4" customFormat="false" ht="15" hidden="false" customHeight="true" outlineLevel="0" collapsed="false">
      <c r="A4" s="21" t="s">
        <v>1406</v>
      </c>
      <c r="B4" s="21" t="n">
        <f aca="false">COUNTA('Medini threats'!$A$2:$A$226)</f>
        <v>225</v>
      </c>
    </row>
    <row r="5" customFormat="false" ht="15" hidden="false" customHeight="true" outlineLevel="0" collapsed="false">
      <c r="A5" s="21" t="s">
        <v>1407</v>
      </c>
      <c r="B5" s="21" t="n">
        <f aca="false">COUNTA('AI threat scenarios'!$A$2:$A$44)</f>
        <v>43</v>
      </c>
    </row>
    <row r="6" customFormat="false" ht="15" hidden="false" customHeight="true" outlineLevel="0" collapsed="false">
      <c r="A6" s="21" t="s">
        <v>1408</v>
      </c>
      <c r="B6" s="21" t="n">
        <f aca="false">COUNTIF('Medini threats'!$Q$2:$Q$226,"Yes")</f>
        <v>42</v>
      </c>
    </row>
    <row r="7" customFormat="false" ht="15" hidden="false" customHeight="true" outlineLevel="0" collapsed="false">
      <c r="A7" s="21" t="s">
        <v>1409</v>
      </c>
      <c r="B7" s="21" t="n">
        <f aca="false">COUNTIF('Medini threats'!$Q$2:$Q$226,"No")</f>
        <v>183</v>
      </c>
    </row>
    <row r="8" customFormat="false" ht="15" hidden="false" customHeight="true" outlineLevel="0" collapsed="false">
      <c r="A8" s="21" t="s">
        <v>1410</v>
      </c>
      <c r="B8" s="23" t="n">
        <f aca="false">ROUND(COUNTIF('Medini threats'!$Q$2:$Q$226,"Yes")/COUNTA('Medini threats'!$A$2:$A$226)*100,1)</f>
        <v>18.7</v>
      </c>
      <c r="C8" s="21" t="s">
        <v>1411</v>
      </c>
    </row>
    <row r="9" customFormat="false" ht="15" hidden="false" customHeight="true" outlineLevel="0" collapsed="false">
      <c r="A9" s="21" t="s">
        <v>1412</v>
      </c>
      <c r="B9" s="21" t="n">
        <f aca="false">COUNTIF(Mapping!$F$2:$F$44,"not in model")</f>
        <v>1</v>
      </c>
    </row>
    <row r="10" customFormat="false" ht="15" hidden="false" customHeight="true" outlineLevel="0" collapsed="false">
      <c r="A10" s="21" t="s">
        <v>1413</v>
      </c>
      <c r="B10" s="21" t="n">
        <f aca="false">COUNTIF(Mapping!$H$2:$H$44,"Category adapted")</f>
        <v>5</v>
      </c>
    </row>
    <row r="13" customFormat="false" ht="15" hidden="false" customHeight="true" outlineLevel="0" collapsed="false">
      <c r="A13" s="20" t="s">
        <v>1414</v>
      </c>
      <c r="B13" s="20" t="s">
        <v>1415</v>
      </c>
      <c r="C13" s="20" t="s">
        <v>1416</v>
      </c>
      <c r="D13" s="20" t="s">
        <v>844</v>
      </c>
    </row>
    <row r="14" customFormat="false" ht="15" hidden="false" customHeight="true" outlineLevel="0" collapsed="false">
      <c r="A14" s="21" t="s">
        <v>33</v>
      </c>
      <c r="B14" s="21" t="n">
        <f aca="false">COUNTIF('Medini threats'!$E$2:$E$226,$A14)</f>
        <v>12</v>
      </c>
      <c r="C14" s="21" t="n">
        <f aca="false">COUNTIFS('Medini threats'!$E$2:$E$226,$A14,'Medini threats'!$Q$2:$Q$226,"Yes")</f>
        <v>6</v>
      </c>
      <c r="D14" s="21" t="n">
        <f aca="false">COUNTIF(Mapping!$E$2:$E$44,$A14)</f>
        <v>6</v>
      </c>
    </row>
    <row r="15" customFormat="false" ht="15" hidden="false" customHeight="true" outlineLevel="0" collapsed="false">
      <c r="A15" s="21" t="s">
        <v>53</v>
      </c>
      <c r="B15" s="21" t="n">
        <f aca="false">COUNTIF('Medini threats'!$E$2:$E$226,$A15)</f>
        <v>63</v>
      </c>
      <c r="C15" s="21" t="n">
        <f aca="false">COUNTIFS('Medini threats'!$E$2:$E$226,$A15,'Medini threats'!$Q$2:$Q$226,"Yes")</f>
        <v>14</v>
      </c>
      <c r="D15" s="21" t="n">
        <f aca="false">COUNTIF(Mapping!$E$2:$E$44,$A15)</f>
        <v>14</v>
      </c>
    </row>
    <row r="16" customFormat="false" ht="15" hidden="false" customHeight="true" outlineLevel="0" collapsed="false">
      <c r="A16" s="21" t="s">
        <v>307</v>
      </c>
      <c r="B16" s="21" t="n">
        <f aca="false">COUNTIF('Medini threats'!$E$2:$E$226,$A16)</f>
        <v>12</v>
      </c>
      <c r="C16" s="21" t="n">
        <f aca="false">COUNTIFS('Medini threats'!$E$2:$E$226,$A16,'Medini threats'!$Q$2:$Q$226,"Yes")</f>
        <v>5</v>
      </c>
      <c r="D16" s="21" t="n">
        <f aca="false">COUNTIF(Mapping!$E$2:$E$44,$A16)</f>
        <v>5</v>
      </c>
    </row>
    <row r="17" customFormat="false" ht="15" hidden="false" customHeight="true" outlineLevel="0" collapsed="false">
      <c r="A17" s="21" t="s">
        <v>850</v>
      </c>
      <c r="B17" s="21" t="n">
        <f aca="false">COUNTIF('Medini threats'!$E$2:$E$226,$A17)</f>
        <v>63</v>
      </c>
      <c r="C17" s="21" t="n">
        <f aca="false">COUNTIFS('Medini threats'!$E$2:$E$226,$A17,'Medini threats'!$Q$2:$Q$226,"Yes")</f>
        <v>5</v>
      </c>
      <c r="D17" s="21" t="n">
        <f aca="false">COUNTIF(Mapping!$E$2:$E$44,$A17)</f>
        <v>5</v>
      </c>
    </row>
    <row r="18" customFormat="false" ht="15" hidden="false" customHeight="true" outlineLevel="0" collapsed="false">
      <c r="A18" s="21" t="s">
        <v>854</v>
      </c>
      <c r="B18" s="21" t="n">
        <f aca="false">COUNTIF('Medini threats'!$E$2:$E$226,$A18)</f>
        <v>63</v>
      </c>
      <c r="C18" s="21" t="n">
        <f aca="false">COUNTIFS('Medini threats'!$E$2:$E$226,$A18,'Medini threats'!$Q$2:$Q$226,"Yes")</f>
        <v>9</v>
      </c>
      <c r="D18" s="21" t="n">
        <f aca="false">COUNTIF(Mapping!$E$2:$E$44,$A18)</f>
        <v>9</v>
      </c>
    </row>
    <row r="19" customFormat="false" ht="15" hidden="false" customHeight="true" outlineLevel="0" collapsed="false">
      <c r="A19" s="21" t="s">
        <v>857</v>
      </c>
      <c r="B19" s="21" t="n">
        <f aca="false">COUNTIF('Medini threats'!$E$2:$E$226,$A19)</f>
        <v>12</v>
      </c>
      <c r="C19" s="21" t="n">
        <f aca="false">COUNTIFS('Medini threats'!$E$2:$E$226,$A19,'Medini threats'!$Q$2:$Q$226,"Yes")</f>
        <v>3</v>
      </c>
      <c r="D19" s="21" t="n">
        <f aca="false">COUNTIF(Mapping!$E$2:$E$44,$A19)</f>
        <v>3</v>
      </c>
    </row>
    <row r="21" customFormat="false" ht="15" hidden="false" customHeight="true" outlineLevel="0" collapsed="false">
      <c r="A21" s="20" t="s">
        <v>1417</v>
      </c>
      <c r="B21" s="20" t="s">
        <v>1415</v>
      </c>
      <c r="C21" s="20" t="s">
        <v>1416</v>
      </c>
    </row>
    <row r="22" customFormat="false" ht="15" hidden="false" customHeight="true" outlineLevel="0" collapsed="false">
      <c r="A22" s="21" t="s">
        <v>842</v>
      </c>
      <c r="B22" s="21" t="n">
        <f aca="false">COUNTIF('Medini threats'!$O$2:$O$226,$A22)</f>
        <v>72</v>
      </c>
      <c r="C22" s="21" t="n">
        <f aca="false">COUNTIFS('Medini threats'!$O$2:$O$226,$A22,'Medini threats'!$Q$2:$Q$226,"Yes")</f>
        <v>35</v>
      </c>
    </row>
    <row r="23" customFormat="false" ht="15" hidden="false" customHeight="true" outlineLevel="0" collapsed="false">
      <c r="A23" s="21" t="s">
        <v>863</v>
      </c>
      <c r="B23" s="21" t="n">
        <f aca="false">COUNTIF('Medini threats'!$O$2:$O$226,$A23)</f>
        <v>102</v>
      </c>
      <c r="C23" s="21" t="n">
        <f aca="false">COUNTIFS('Medini threats'!$O$2:$O$226,$A23,'Medini threats'!$Q$2:$Q$226,"Yes")</f>
        <v>0</v>
      </c>
    </row>
    <row r="24" customFormat="false" ht="15" hidden="false" customHeight="true" outlineLevel="0" collapsed="false">
      <c r="A24" s="21" t="s">
        <v>873</v>
      </c>
      <c r="B24" s="21" t="n">
        <f aca="false">COUNTIF('Medini threats'!$O$2:$O$226,$A24)</f>
        <v>51</v>
      </c>
      <c r="C24" s="21" t="n">
        <f aca="false">COUNTIFS('Medini threats'!$O$2:$O$226,$A24,'Medini threats'!$Q$2:$Q$226,"Yes")</f>
        <v>7</v>
      </c>
    </row>
    <row r="26" customFormat="false" ht="15" hidden="false" customHeight="true" outlineLevel="0" collapsed="false">
      <c r="A26" s="20" t="s">
        <v>1418</v>
      </c>
      <c r="B26" s="20" t="s">
        <v>1415</v>
      </c>
      <c r="C26" s="20" t="s">
        <v>1416</v>
      </c>
    </row>
    <row r="27" customFormat="false" ht="15" hidden="false" customHeight="true" outlineLevel="0" collapsed="false">
      <c r="A27" s="21" t="s">
        <v>851</v>
      </c>
      <c r="B27" s="21" t="n">
        <f aca="false">COUNTIF('Medini threats'!$N$2:$N$226,$A27)</f>
        <v>9</v>
      </c>
      <c r="C27" s="21" t="n">
        <f aca="false">COUNTIFS('Medini threats'!$N$2:$N$226,$A27,'Medini threats'!$Q$2:$Q$226,"Yes")</f>
        <v>3</v>
      </c>
    </row>
    <row r="28" customFormat="false" ht="15" hidden="false" customHeight="true" outlineLevel="0" collapsed="false">
      <c r="A28" s="21" t="s">
        <v>881</v>
      </c>
      <c r="B28" s="21" t="n">
        <f aca="false">COUNTIF('Medini threats'!$N$2:$N$226,$A28)</f>
        <v>12</v>
      </c>
      <c r="C28" s="21" t="n">
        <f aca="false">COUNTIFS('Medini threats'!$N$2:$N$226,$A28,'Medini threats'!$Q$2:$Q$226,"Yes")</f>
        <v>3</v>
      </c>
    </row>
    <row r="29" customFormat="false" ht="15" hidden="false" customHeight="true" outlineLevel="0" collapsed="false">
      <c r="A29" s="21" t="s">
        <v>919</v>
      </c>
      <c r="B29" s="21" t="n">
        <f aca="false">COUNTIF('Medini threats'!$N$2:$N$226,$A29)</f>
        <v>18</v>
      </c>
      <c r="C29" s="21" t="n">
        <f aca="false">COUNTIFS('Medini threats'!$N$2:$N$226,$A29,'Medini threats'!$Q$2:$Q$226,"Yes")</f>
        <v>3</v>
      </c>
    </row>
    <row r="30" customFormat="false" ht="15" hidden="false" customHeight="true" outlineLevel="0" collapsed="false">
      <c r="A30" s="21" t="s">
        <v>984</v>
      </c>
      <c r="B30" s="21" t="n">
        <f aca="false">COUNTIF('Medini threats'!$N$2:$N$226,$A30)</f>
        <v>12</v>
      </c>
      <c r="C30" s="21" t="n">
        <f aca="false">COUNTIFS('Medini threats'!$N$2:$N$226,$A30,'Medini threats'!$Q$2:$Q$226,"Yes")</f>
        <v>1</v>
      </c>
    </row>
    <row r="31" customFormat="false" ht="15" hidden="false" customHeight="true" outlineLevel="0" collapsed="false">
      <c r="A31" s="21" t="s">
        <v>1018</v>
      </c>
      <c r="B31" s="21" t="n">
        <f aca="false">COUNTIF('Medini threats'!$N$2:$N$226,$A31)</f>
        <v>18</v>
      </c>
      <c r="C31" s="21" t="n">
        <f aca="false">COUNTIFS('Medini threats'!$N$2:$N$226,$A31,'Medini threats'!$Q$2:$Q$226,"Yes")</f>
        <v>1</v>
      </c>
    </row>
    <row r="32" customFormat="false" ht="15" hidden="false" customHeight="true" outlineLevel="0" collapsed="false">
      <c r="A32" s="21" t="s">
        <v>1081</v>
      </c>
      <c r="B32" s="21" t="n">
        <f aca="false">COUNTIF('Medini threats'!$N$2:$N$226,$A32)</f>
        <v>12</v>
      </c>
      <c r="C32" s="21" t="n">
        <f aca="false">COUNTIFS('Medini threats'!$N$2:$N$226,$A32,'Medini threats'!$Q$2:$Q$226,"Yes")</f>
        <v>2</v>
      </c>
    </row>
    <row r="33" customFormat="false" ht="15" hidden="false" customHeight="true" outlineLevel="0" collapsed="false">
      <c r="A33" s="21" t="s">
        <v>1116</v>
      </c>
      <c r="B33" s="21" t="n">
        <f aca="false">COUNTIF('Medini threats'!$N$2:$N$226,$A33)</f>
        <v>18</v>
      </c>
      <c r="C33" s="21" t="n">
        <f aca="false">COUNTIFS('Medini threats'!$N$2:$N$226,$A33,'Medini threats'!$Q$2:$Q$226,"Yes")</f>
        <v>5</v>
      </c>
    </row>
    <row r="34" customFormat="false" ht="15" hidden="false" customHeight="true" outlineLevel="0" collapsed="false">
      <c r="A34" s="21" t="s">
        <v>1182</v>
      </c>
      <c r="B34" s="21" t="n">
        <f aca="false">COUNTIF('Medini threats'!$N$2:$N$226,$A34)</f>
        <v>18</v>
      </c>
      <c r="C34" s="21" t="n">
        <f aca="false">COUNTIFS('Medini threats'!$N$2:$N$226,$A34,'Medini threats'!$Q$2:$Q$226,"Yes")</f>
        <v>3</v>
      </c>
    </row>
    <row r="35" customFormat="false" ht="15" hidden="false" customHeight="true" outlineLevel="0" collapsed="false">
      <c r="A35" s="21" t="s">
        <v>1237</v>
      </c>
      <c r="B35" s="21" t="n">
        <f aca="false">COUNTIF('Medini threats'!$N$2:$N$226,$A35)</f>
        <v>12</v>
      </c>
      <c r="C35" s="21" t="n">
        <f aca="false">COUNTIFS('Medini threats'!$N$2:$N$226,$A35,'Medini threats'!$Q$2:$Q$226,"Yes")</f>
        <v>2</v>
      </c>
    </row>
    <row r="36" customFormat="false" ht="15" hidden="false" customHeight="true" outlineLevel="0" collapsed="false">
      <c r="A36" s="21" t="s">
        <v>1274</v>
      </c>
      <c r="B36" s="21" t="n">
        <f aca="false">COUNTIF('Medini threats'!$N$2:$N$226,$A36)</f>
        <v>9</v>
      </c>
      <c r="C36" s="21" t="n">
        <f aca="false">COUNTIFS('Medini threats'!$N$2:$N$226,$A36,'Medini threats'!$Q$2:$Q$226,"Yes")</f>
        <v>2</v>
      </c>
    </row>
    <row r="37" customFormat="false" ht="15" hidden="false" customHeight="true" outlineLevel="0" collapsed="false">
      <c r="A37" s="21" t="s">
        <v>1294</v>
      </c>
      <c r="B37" s="21" t="n">
        <f aca="false">COUNTIF('Medini threats'!$N$2:$N$226,$A37)</f>
        <v>18</v>
      </c>
      <c r="C37" s="21" t="n">
        <f aca="false">COUNTIFS('Medini threats'!$N$2:$N$226,$A37,'Medini threats'!$Q$2:$Q$226,"Yes")</f>
        <v>5</v>
      </c>
    </row>
    <row r="38" customFormat="false" ht="15" hidden="false" customHeight="true" outlineLevel="0" collapsed="false">
      <c r="A38" s="21" t="s">
        <v>1338</v>
      </c>
      <c r="B38" s="21" t="n">
        <f aca="false">COUNTIF('Medini threats'!$N$2:$N$226,$A38)</f>
        <v>18</v>
      </c>
      <c r="C38" s="21" t="n">
        <f aca="false">COUNTIFS('Medini threats'!$N$2:$N$226,$A38,'Medini threats'!$Q$2:$Q$226,"Yes")</f>
        <v>5</v>
      </c>
    </row>
    <row r="39" customFormat="false" ht="15" hidden="false" customHeight="true" outlineLevel="0" collapsed="false">
      <c r="A39" s="21" t="s">
        <v>872</v>
      </c>
      <c r="B39" s="21" t="n">
        <f aca="false">COUNTIF('Medini threats'!$N$2:$N$226,$A39)</f>
        <v>51</v>
      </c>
      <c r="C39" s="21" t="n">
        <f aca="false">COUNTIFS('Medini threats'!$N$2:$N$226,$A39,'Medini threats'!$Q$2:$Q$226,"Yes")</f>
        <v>7</v>
      </c>
    </row>
    <row r="41" customFormat="false" ht="15" hidden="false" customHeight="true" outlineLevel="0" collapsed="false">
      <c r="A41" s="20" t="s">
        <v>1419</v>
      </c>
    </row>
    <row r="42" customFormat="false" ht="60" hidden="false" customHeight="true" outlineLevel="0" collapsed="false">
      <c r="A42" s="22" t="s">
        <v>1420</v>
      </c>
      <c r="B42" s="25" t="s">
        <v>1421</v>
      </c>
      <c r="C42" s="25"/>
      <c r="D42" s="25"/>
      <c r="E42" s="25"/>
      <c r="F42" s="25"/>
    </row>
    <row r="43" customFormat="false" ht="60" hidden="false" customHeight="true" outlineLevel="0" collapsed="false">
      <c r="A43" s="22" t="s">
        <v>1422</v>
      </c>
      <c r="B43" s="25" t="s">
        <v>1423</v>
      </c>
      <c r="C43" s="25"/>
      <c r="D43" s="25"/>
      <c r="E43" s="25"/>
      <c r="F43" s="25"/>
    </row>
    <row r="44" customFormat="false" ht="60" hidden="false" customHeight="true" outlineLevel="0" collapsed="false">
      <c r="A44" s="22" t="s">
        <v>1424</v>
      </c>
      <c r="B44" s="25" t="s">
        <v>1425</v>
      </c>
      <c r="C44" s="25"/>
      <c r="D44" s="25"/>
      <c r="E44" s="25"/>
      <c r="F44" s="25"/>
    </row>
    <row r="45" customFormat="false" ht="60" hidden="false" customHeight="true" outlineLevel="0" collapsed="false">
      <c r="A45" s="22" t="s">
        <v>1426</v>
      </c>
      <c r="B45" s="25" t="s">
        <v>1427</v>
      </c>
      <c r="C45" s="25"/>
      <c r="D45" s="25"/>
      <c r="E45" s="25"/>
      <c r="F45" s="25"/>
    </row>
    <row r="46" customFormat="false" ht="60" hidden="false" customHeight="true" outlineLevel="0" collapsed="false">
      <c r="A46" s="22" t="s">
        <v>1428</v>
      </c>
      <c r="B46" s="25" t="s">
        <v>1429</v>
      </c>
      <c r="C46" s="25"/>
      <c r="D46" s="25"/>
      <c r="E46" s="25"/>
      <c r="F46" s="25"/>
    </row>
    <row r="49" customFormat="false" ht="15" hidden="false" customHeight="true" outlineLevel="0" collapsed="false">
      <c r="A49" s="20" t="s">
        <v>1430</v>
      </c>
      <c r="B49" s="20" t="s">
        <v>1405</v>
      </c>
    </row>
    <row r="50" customFormat="false" ht="15" hidden="false" customHeight="true" outlineLevel="0" collapsed="false">
      <c r="A50" s="21" t="s">
        <v>1431</v>
      </c>
      <c r="B50" s="21" t="n">
        <f aca="false">COUNTA('TARA strict intersection'!$A$2:$A$23)</f>
        <v>22</v>
      </c>
    </row>
    <row r="51" customFormat="false" ht="15" hidden="false" customHeight="true" outlineLevel="0" collapsed="false">
      <c r="A51" s="21" t="s">
        <v>816</v>
      </c>
      <c r="B51" s="21" t="n">
        <f aca="false">COUNTIF('TARA strict intersection'!$R$2:$R$23,"Critical")</f>
        <v>9</v>
      </c>
    </row>
    <row r="52" customFormat="false" ht="15" hidden="false" customHeight="true" outlineLevel="0" collapsed="false">
      <c r="A52" s="21" t="s">
        <v>817</v>
      </c>
      <c r="B52" s="21" t="n">
        <f aca="false">COUNTIF('TARA strict intersection'!$R$2:$R$23,"High")</f>
        <v>5</v>
      </c>
    </row>
    <row r="53" customFormat="false" ht="15" hidden="false" customHeight="true" outlineLevel="0" collapsed="false">
      <c r="A53" s="21" t="s">
        <v>818</v>
      </c>
      <c r="B53" s="21" t="n">
        <f aca="false">COUNTIF('TARA strict intersection'!$R$2:$R$23,"Medium")</f>
        <v>5</v>
      </c>
    </row>
    <row r="54" customFormat="false" ht="15" hidden="false" customHeight="true" outlineLevel="0" collapsed="false">
      <c r="A54" s="21" t="s">
        <v>819</v>
      </c>
      <c r="B54" s="21" t="n">
        <f aca="false">COUNTIF('TARA strict intersection'!$R$2:$R$23,"Low")</f>
        <v>3</v>
      </c>
    </row>
    <row r="55" customFormat="false" ht="15" hidden="false" customHeight="true" outlineLevel="0" collapsed="false">
      <c r="A55" s="21" t="s">
        <v>824</v>
      </c>
      <c r="B55" s="21" t="n">
        <f aca="false">ROUND(AVERAGE('TARA strict intersection'!$AE$2:$AE$23),1)</f>
        <v>80.7</v>
      </c>
    </row>
    <row r="56" customFormat="false" ht="15" hidden="false" customHeight="true" outlineLevel="0" collapsed="false">
      <c r="A56" s="21" t="s">
        <v>1432</v>
      </c>
      <c r="B56" s="21" t="s">
        <v>1433</v>
      </c>
    </row>
    <row r="57" customFormat="false" ht="15" hidden="false" customHeight="true" outlineLevel="0" collapsed="false">
      <c r="A57" s="21" t="s">
        <v>1434</v>
      </c>
      <c r="B57" s="21" t="s">
        <v>1435</v>
      </c>
    </row>
    <row r="58" customFormat="false" ht="15" hidden="false" customHeight="true" outlineLevel="0" collapsed="false">
      <c r="A58" s="22" t="s">
        <v>1436</v>
      </c>
      <c r="B58" s="21" t="s">
        <v>1437</v>
      </c>
    </row>
    <row r="61" customFormat="false" ht="15" hidden="false" customHeight="false" outlineLevel="0" collapsed="false">
      <c r="A61" s="26" t="s">
        <v>1438</v>
      </c>
      <c r="B61" s="26" t="s">
        <v>1405</v>
      </c>
    </row>
    <row r="62" customFormat="false" ht="15" hidden="false" customHeight="false" outlineLevel="0" collapsed="false">
      <c r="A62" s="27" t="s">
        <v>1439</v>
      </c>
      <c r="B62" s="27" t="n">
        <f aca="false">COUNTA('Rare findings (1-2 models)'!$A$2:$A$14)</f>
        <v>13</v>
      </c>
    </row>
    <row r="63" customFormat="false" ht="15" hidden="false" customHeight="false" outlineLevel="0" collapsed="false">
      <c r="A63" s="27" t="s">
        <v>1440</v>
      </c>
      <c r="B63" s="27" t="s">
        <v>1441</v>
      </c>
    </row>
    <row r="64" customFormat="false" ht="15" hidden="false" customHeight="false" outlineLevel="0" collapsed="false">
      <c r="A64" s="27" t="s">
        <v>1442</v>
      </c>
      <c r="B64" s="27" t="s">
        <v>1443</v>
      </c>
    </row>
    <row r="65" customFormat="false" ht="15" hidden="false" customHeight="false" outlineLevel="0" collapsed="false">
      <c r="A65" s="27" t="s">
        <v>1444</v>
      </c>
      <c r="B65" s="27" t="s">
        <v>1445</v>
      </c>
    </row>
    <row r="66" customFormat="false" ht="15" hidden="false" customHeight="false" outlineLevel="0" collapsed="false">
      <c r="A66" s="27" t="s">
        <v>1446</v>
      </c>
      <c r="B66" s="27" t="s">
        <v>1447</v>
      </c>
    </row>
    <row r="67" customFormat="false" ht="15" hidden="false" customHeight="false" outlineLevel="0" collapsed="false">
      <c r="A67" s="27" t="s">
        <v>816</v>
      </c>
      <c r="B67" s="27" t="n">
        <f aca="false">COUNTIF('Rare findings (1-2 models)'!$R$2:$R$14,"Critical")</f>
        <v>3</v>
      </c>
    </row>
    <row r="68" customFormat="false" ht="15" hidden="false" customHeight="false" outlineLevel="0" collapsed="false">
      <c r="A68" s="27" t="s">
        <v>817</v>
      </c>
      <c r="B68" s="27" t="n">
        <f aca="false">COUNTIF('Rare findings (1-2 models)'!$R$2:$R$14,"High")</f>
        <v>2</v>
      </c>
    </row>
    <row r="69" customFormat="false" ht="15" hidden="false" customHeight="false" outlineLevel="0" collapsed="false">
      <c r="A69" s="27" t="s">
        <v>818</v>
      </c>
      <c r="B69" s="27" t="n">
        <f aca="false">COUNTIF('Rare findings (1-2 models)'!$R$2:$R$14,"Medium")</f>
        <v>7</v>
      </c>
    </row>
    <row r="70" customFormat="false" ht="15" hidden="false" customHeight="false" outlineLevel="0" collapsed="false">
      <c r="A70" s="27" t="s">
        <v>819</v>
      </c>
      <c r="B70" s="27" t="n">
        <f aca="false">COUNTIF('Rare findings (1-2 models)'!$R$2:$R$14,"Low")</f>
        <v>1</v>
      </c>
    </row>
    <row r="71" customFormat="false" ht="15" hidden="false" customHeight="false" outlineLevel="0" collapsed="false">
      <c r="A71" s="27" t="s">
        <v>824</v>
      </c>
      <c r="B71" s="27" t="n">
        <f aca="false">ROUND(AVERAGE('Rare findings (1-2 models)'!$AE$2:$AE$14),1)</f>
        <v>63.7</v>
      </c>
    </row>
    <row r="72" customFormat="false" ht="15" hidden="false" customHeight="false" outlineLevel="0" collapsed="false">
      <c r="A72" s="28" t="s">
        <v>827</v>
      </c>
      <c r="B72" s="27" t="s">
        <v>1448</v>
      </c>
    </row>
  </sheetData>
  <mergeCells count="5">
    <mergeCell ref="B42:F42"/>
    <mergeCell ref="B43:F43"/>
    <mergeCell ref="B44:F44"/>
    <mergeCell ref="B45:F45"/>
    <mergeCell ref="B46:F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false" showRowColHeaders="true" showZeros="true" rightToLeft="false" tabSelected="false" showOutlineSymbols="true" defaultGridColor="true" view="normal" topLeftCell="D4" colorId="64" zoomScale="100" zoomScaleNormal="100" zoomScalePageLayoutView="100" workbookViewId="0">
      <selection pane="topLeft" activeCell="B42" activeCellId="0" sqref="B42"/>
    </sheetView>
  </sheetViews>
  <sheetFormatPr defaultColWidth="12.71484375" defaultRowHeight="15.75" zeroHeight="false" outlineLevelRow="0" outlineLevelCol="0"/>
  <cols>
    <col collapsed="false" customWidth="true" hidden="false" outlineLevel="0" max="1" min="1" style="1" width="24.42"/>
    <col collapsed="false" customWidth="true" hidden="false" outlineLevel="0" max="2" min="2" style="1" width="44.42"/>
    <col collapsed="false" customWidth="true" hidden="false" outlineLevel="0" max="3" min="3" style="1" width="19"/>
    <col collapsed="false" customWidth="true" hidden="false" outlineLevel="0" max="4" min="4" style="1" width="14.42"/>
    <col collapsed="false" customWidth="true" hidden="false" outlineLevel="0" max="5" min="5" style="1" width="27"/>
    <col collapsed="false" customWidth="true" hidden="false" outlineLevel="0" max="6" min="6" style="1" width="7.42"/>
    <col collapsed="false" customWidth="true" hidden="false" outlineLevel="0" max="7" min="7" style="1" width="13.29"/>
    <col collapsed="false" customWidth="true" hidden="false" outlineLevel="0" max="8" min="8" style="1" width="15"/>
    <col collapsed="false" customWidth="true" hidden="false" outlineLevel="0" max="26" min="9" style="1" width="12.42"/>
  </cols>
  <sheetData>
    <row r="1" customFormat="false" ht="15" hidden="false" customHeight="true" outlineLevel="0" collapsed="false">
      <c r="A1" s="29" t="s">
        <v>1449</v>
      </c>
      <c r="B1" s="29" t="s">
        <v>1450</v>
      </c>
      <c r="C1" s="30"/>
      <c r="D1" s="31" t="s">
        <v>1451</v>
      </c>
      <c r="E1" s="29" t="s">
        <v>1452</v>
      </c>
      <c r="F1" s="32"/>
      <c r="G1" s="29" t="s">
        <v>1453</v>
      </c>
      <c r="H1" s="29" t="s">
        <v>1454</v>
      </c>
    </row>
    <row r="2" customFormat="false" ht="12.75" hidden="false" customHeight="true" outlineLevel="0" collapsed="false">
      <c r="A2" s="33" t="s">
        <v>1455</v>
      </c>
      <c r="B2" s="34" t="n">
        <v>5</v>
      </c>
      <c r="C2" s="35"/>
      <c r="D2" s="36" t="n">
        <v>100</v>
      </c>
      <c r="E2" s="36" t="s">
        <v>816</v>
      </c>
      <c r="F2" s="32"/>
      <c r="G2" s="36" t="s">
        <v>76</v>
      </c>
      <c r="H2" s="34" t="n">
        <v>8.3</v>
      </c>
    </row>
    <row r="3" customFormat="false" ht="12.75" hidden="false" customHeight="true" outlineLevel="0" collapsed="false">
      <c r="A3" s="33" t="s">
        <v>1456</v>
      </c>
      <c r="B3" s="34" t="n">
        <v>1</v>
      </c>
      <c r="C3" s="35"/>
      <c r="D3" s="36" t="n">
        <v>49</v>
      </c>
      <c r="E3" s="36" t="s">
        <v>817</v>
      </c>
      <c r="F3" s="32"/>
      <c r="G3" s="36" t="s">
        <v>39</v>
      </c>
      <c r="H3" s="34" t="n">
        <v>5.1</v>
      </c>
    </row>
    <row r="4" customFormat="false" ht="12.75" hidden="false" customHeight="true" outlineLevel="0" collapsed="false">
      <c r="A4" s="33" t="s">
        <v>1457</v>
      </c>
      <c r="B4" s="34" t="n">
        <v>0.5</v>
      </c>
      <c r="C4" s="35"/>
      <c r="D4" s="36" t="n">
        <v>16</v>
      </c>
      <c r="E4" s="36" t="s">
        <v>818</v>
      </c>
      <c r="F4" s="32"/>
      <c r="G4" s="36" t="s">
        <v>41</v>
      </c>
      <c r="H4" s="34" t="n">
        <v>2.5</v>
      </c>
    </row>
    <row r="5" customFormat="false" ht="12.75" hidden="false" customHeight="true" outlineLevel="0" collapsed="false">
      <c r="A5" s="33" t="s">
        <v>1458</v>
      </c>
      <c r="B5" s="34" t="n">
        <v>0.25</v>
      </c>
      <c r="C5" s="35"/>
      <c r="D5" s="36" t="n">
        <v>1</v>
      </c>
      <c r="E5" s="36" t="s">
        <v>819</v>
      </c>
      <c r="F5" s="32"/>
      <c r="G5" s="36" t="s">
        <v>44</v>
      </c>
      <c r="H5" s="34" t="n">
        <v>1</v>
      </c>
    </row>
    <row r="6" customFormat="false" ht="12.75" hidden="false" customHeight="true" outlineLevel="0" collapsed="false">
      <c r="A6" s="37"/>
      <c r="B6" s="35"/>
      <c r="C6" s="35"/>
      <c r="D6" s="36" t="n">
        <v>0</v>
      </c>
      <c r="E6" s="36" t="s">
        <v>820</v>
      </c>
      <c r="F6" s="32"/>
      <c r="G6" s="32"/>
      <c r="H6" s="32"/>
    </row>
    <row r="7" customFormat="false" ht="12.75" hidden="false" customHeight="true" outlineLevel="0" collapsed="false">
      <c r="A7" s="38" t="s">
        <v>1459</v>
      </c>
      <c r="B7" s="39"/>
      <c r="C7" s="39"/>
      <c r="D7" s="35"/>
      <c r="E7" s="35"/>
      <c r="F7" s="32"/>
      <c r="G7" s="32"/>
      <c r="H7" s="32"/>
    </row>
    <row r="8" customFormat="false" ht="12.75" hidden="false" customHeight="true" outlineLevel="0" collapsed="false">
      <c r="A8" s="40" t="s">
        <v>1453</v>
      </c>
      <c r="B8" s="29" t="s">
        <v>1460</v>
      </c>
      <c r="C8" s="29" t="s">
        <v>1405</v>
      </c>
      <c r="D8" s="35"/>
      <c r="E8" s="35"/>
      <c r="F8" s="32"/>
      <c r="G8" s="32"/>
      <c r="H8" s="32"/>
    </row>
    <row r="9" customFormat="false" ht="26.25" hidden="false" customHeight="true" outlineLevel="0" collapsed="false">
      <c r="A9" s="38" t="s">
        <v>76</v>
      </c>
      <c r="B9" s="39" t="s">
        <v>1461</v>
      </c>
      <c r="C9" s="38" t="n">
        <v>10</v>
      </c>
      <c r="D9" s="35"/>
      <c r="E9" s="35"/>
      <c r="F9" s="32"/>
      <c r="G9" s="41" t="s">
        <v>1462</v>
      </c>
      <c r="H9" s="42"/>
      <c r="I9" s="42"/>
      <c r="J9" s="42"/>
      <c r="K9" s="42"/>
      <c r="L9" s="42"/>
    </row>
    <row r="10" customFormat="false" ht="27" hidden="false" customHeight="true" outlineLevel="0" collapsed="false">
      <c r="A10" s="38" t="s">
        <v>39</v>
      </c>
      <c r="B10" s="39" t="s">
        <v>1463</v>
      </c>
      <c r="C10" s="38" t="n">
        <v>7</v>
      </c>
      <c r="D10" s="35"/>
      <c r="E10" s="43" t="s">
        <v>1464</v>
      </c>
      <c r="F10" s="32"/>
      <c r="G10" s="44" t="s">
        <v>819</v>
      </c>
      <c r="H10" s="44" t="s">
        <v>819</v>
      </c>
      <c r="I10" s="44" t="s">
        <v>819</v>
      </c>
      <c r="J10" s="45" t="s">
        <v>818</v>
      </c>
      <c r="K10" s="46" t="s">
        <v>44</v>
      </c>
      <c r="L10" s="47" t="s">
        <v>1465</v>
      </c>
    </row>
    <row r="11" customFormat="false" ht="27" hidden="false" customHeight="true" outlineLevel="0" collapsed="false">
      <c r="A11" s="38" t="s">
        <v>41</v>
      </c>
      <c r="B11" s="39" t="s">
        <v>1466</v>
      </c>
      <c r="C11" s="38" t="n">
        <v>4</v>
      </c>
      <c r="D11" s="35"/>
      <c r="E11" s="39" t="s">
        <v>1467</v>
      </c>
      <c r="F11" s="32"/>
      <c r="G11" s="44" t="s">
        <v>819</v>
      </c>
      <c r="H11" s="45" t="s">
        <v>818</v>
      </c>
      <c r="I11" s="45" t="s">
        <v>818</v>
      </c>
      <c r="J11" s="45" t="s">
        <v>818</v>
      </c>
      <c r="K11" s="46" t="s">
        <v>41</v>
      </c>
      <c r="L11" s="47"/>
    </row>
    <row r="12" customFormat="false" ht="14.25" hidden="false" customHeight="true" outlineLevel="0" collapsed="false">
      <c r="A12" s="38" t="s">
        <v>44</v>
      </c>
      <c r="B12" s="39" t="s">
        <v>1468</v>
      </c>
      <c r="C12" s="38" t="n">
        <v>1</v>
      </c>
      <c r="D12" s="35"/>
      <c r="E12" s="43" t="s">
        <v>1469</v>
      </c>
      <c r="F12" s="32"/>
      <c r="G12" s="44" t="s">
        <v>819</v>
      </c>
      <c r="H12" s="45" t="s">
        <v>818</v>
      </c>
      <c r="I12" s="48" t="s">
        <v>817</v>
      </c>
      <c r="J12" s="48" t="s">
        <v>817</v>
      </c>
      <c r="K12" s="46" t="s">
        <v>39</v>
      </c>
      <c r="L12" s="47"/>
    </row>
    <row r="13" customFormat="false" ht="14.25" hidden="false" customHeight="true" outlineLevel="0" collapsed="false">
      <c r="A13" s="37"/>
      <c r="B13" s="35"/>
      <c r="C13" s="35"/>
      <c r="D13" s="35"/>
      <c r="E13" s="42" t="s">
        <v>1470</v>
      </c>
      <c r="F13" s="32"/>
      <c r="G13" s="45" t="s">
        <v>818</v>
      </c>
      <c r="H13" s="48" t="s">
        <v>817</v>
      </c>
      <c r="I13" s="48" t="s">
        <v>817</v>
      </c>
      <c r="J13" s="49" t="s">
        <v>816</v>
      </c>
      <c r="K13" s="46" t="s">
        <v>76</v>
      </c>
      <c r="L13" s="47"/>
    </row>
    <row r="14" customFormat="false" ht="14.25" hidden="false" customHeight="true" outlineLevel="0" collapsed="false">
      <c r="A14" s="37"/>
      <c r="B14" s="35"/>
      <c r="C14" s="35"/>
      <c r="D14" s="35"/>
      <c r="E14" s="35"/>
      <c r="F14" s="32"/>
      <c r="G14" s="46" t="s">
        <v>820</v>
      </c>
      <c r="H14" s="46" t="s">
        <v>819</v>
      </c>
      <c r="I14" s="46" t="s">
        <v>818</v>
      </c>
      <c r="J14" s="46" t="s">
        <v>817</v>
      </c>
      <c r="K14" s="46"/>
      <c r="L14" s="47"/>
    </row>
    <row r="15" customFormat="false" ht="14.25" hidden="false" customHeight="true" outlineLevel="0" collapsed="false">
      <c r="A15" s="38" t="s">
        <v>1471</v>
      </c>
      <c r="B15" s="39"/>
      <c r="C15" s="39"/>
      <c r="D15" s="35"/>
      <c r="E15" s="35"/>
      <c r="F15" s="32"/>
      <c r="G15" s="50" t="s">
        <v>1472</v>
      </c>
      <c r="H15" s="50"/>
      <c r="I15" s="50"/>
      <c r="J15" s="50"/>
      <c r="K15" s="50"/>
      <c r="L15" s="47"/>
    </row>
    <row r="16" customFormat="false" ht="12.75" hidden="false" customHeight="true" outlineLevel="0" collapsed="false">
      <c r="A16" s="40" t="s">
        <v>1453</v>
      </c>
      <c r="B16" s="31" t="s">
        <v>1473</v>
      </c>
      <c r="C16" s="29" t="s">
        <v>1405</v>
      </c>
      <c r="D16" s="35"/>
      <c r="E16" s="40" t="s">
        <v>1474</v>
      </c>
      <c r="F16" s="32"/>
      <c r="G16" s="32"/>
      <c r="H16" s="32"/>
    </row>
    <row r="17" customFormat="false" ht="39" hidden="false" customHeight="true" outlineLevel="0" collapsed="false">
      <c r="A17" s="38" t="s">
        <v>76</v>
      </c>
      <c r="B17" s="39" t="s">
        <v>1475</v>
      </c>
      <c r="C17" s="38" t="n">
        <v>10</v>
      </c>
      <c r="D17" s="35"/>
      <c r="E17" s="51" t="s">
        <v>33</v>
      </c>
      <c r="F17" s="32"/>
      <c r="G17" s="52" t="s">
        <v>1476</v>
      </c>
      <c r="H17" s="53" t="s">
        <v>1477</v>
      </c>
    </row>
    <row r="18" customFormat="false" ht="39" hidden="false" customHeight="true" outlineLevel="0" collapsed="false">
      <c r="A18" s="38" t="s">
        <v>39</v>
      </c>
      <c r="B18" s="39" t="s">
        <v>1478</v>
      </c>
      <c r="C18" s="38" t="n">
        <v>7</v>
      </c>
      <c r="D18" s="35"/>
      <c r="E18" s="33" t="s">
        <v>53</v>
      </c>
      <c r="F18" s="32"/>
      <c r="G18" s="52" t="s">
        <v>1479</v>
      </c>
      <c r="H18" s="53" t="s">
        <v>819</v>
      </c>
    </row>
    <row r="19" customFormat="false" ht="39" hidden="false" customHeight="true" outlineLevel="0" collapsed="false">
      <c r="A19" s="38" t="s">
        <v>41</v>
      </c>
      <c r="B19" s="39" t="s">
        <v>1480</v>
      </c>
      <c r="C19" s="38" t="n">
        <v>4</v>
      </c>
      <c r="D19" s="35"/>
      <c r="E19" s="51" t="s">
        <v>307</v>
      </c>
      <c r="F19" s="32"/>
      <c r="G19" s="54" t="s">
        <v>1481</v>
      </c>
      <c r="H19" s="55" t="s">
        <v>1482</v>
      </c>
    </row>
    <row r="20" customFormat="false" ht="39" hidden="false" customHeight="true" outlineLevel="0" collapsed="false">
      <c r="A20" s="38" t="s">
        <v>44</v>
      </c>
      <c r="B20" s="39" t="s">
        <v>1483</v>
      </c>
      <c r="C20" s="38" t="n">
        <v>1</v>
      </c>
      <c r="D20" s="35"/>
      <c r="E20" s="33" t="s">
        <v>1484</v>
      </c>
      <c r="F20" s="32"/>
      <c r="G20" s="32"/>
      <c r="H20" s="32"/>
    </row>
    <row r="21" customFormat="false" ht="12.75" hidden="false" customHeight="true" outlineLevel="0" collapsed="false">
      <c r="A21" s="37"/>
      <c r="B21" s="35"/>
      <c r="C21" s="35"/>
      <c r="D21" s="35"/>
      <c r="E21" s="51" t="s">
        <v>854</v>
      </c>
      <c r="F21" s="32"/>
      <c r="G21" s="32"/>
      <c r="H21" s="32"/>
    </row>
    <row r="22" customFormat="false" ht="12.75" hidden="false" customHeight="true" outlineLevel="0" collapsed="false">
      <c r="A22" s="37"/>
      <c r="B22" s="35"/>
      <c r="C22" s="35"/>
      <c r="D22" s="35"/>
      <c r="E22" s="33" t="s">
        <v>1485</v>
      </c>
      <c r="F22" s="32"/>
      <c r="G22" s="32"/>
      <c r="H22" s="32"/>
    </row>
    <row r="23" customFormat="false" ht="12.75" hidden="false" customHeight="true" outlineLevel="0" collapsed="false">
      <c r="A23" s="38" t="s">
        <v>1486</v>
      </c>
      <c r="B23" s="30"/>
      <c r="C23" s="30"/>
      <c r="D23" s="35"/>
      <c r="E23" s="35"/>
      <c r="F23" s="32"/>
      <c r="G23" s="32"/>
      <c r="H23" s="32"/>
    </row>
    <row r="24" customFormat="false" ht="12.75" hidden="false" customHeight="true" outlineLevel="0" collapsed="false">
      <c r="A24" s="40" t="s">
        <v>1453</v>
      </c>
      <c r="B24" s="31" t="s">
        <v>1487</v>
      </c>
      <c r="C24" s="31" t="s">
        <v>1405</v>
      </c>
      <c r="D24" s="35"/>
      <c r="E24" s="35"/>
      <c r="F24" s="32"/>
      <c r="G24" s="32"/>
      <c r="H24" s="32"/>
    </row>
    <row r="25" customFormat="false" ht="92.25" hidden="false" customHeight="true" outlineLevel="0" collapsed="false">
      <c r="A25" s="38" t="s">
        <v>76</v>
      </c>
      <c r="B25" s="39" t="s">
        <v>1488</v>
      </c>
      <c r="C25" s="38" t="n">
        <v>10</v>
      </c>
      <c r="D25" s="35"/>
      <c r="E25" s="35"/>
      <c r="F25" s="32"/>
      <c r="G25" s="32"/>
      <c r="H25" s="32"/>
    </row>
    <row r="26" customFormat="false" ht="52.5" hidden="false" customHeight="true" outlineLevel="0" collapsed="false">
      <c r="A26" s="38" t="s">
        <v>39</v>
      </c>
      <c r="B26" s="39" t="s">
        <v>1489</v>
      </c>
      <c r="C26" s="38" t="n">
        <v>7</v>
      </c>
      <c r="D26" s="35"/>
      <c r="E26" s="35"/>
      <c r="F26" s="32"/>
      <c r="G26" s="32"/>
      <c r="H26" s="32"/>
    </row>
    <row r="27" customFormat="false" ht="52.5" hidden="false" customHeight="true" outlineLevel="0" collapsed="false">
      <c r="A27" s="38" t="s">
        <v>41</v>
      </c>
      <c r="B27" s="39" t="s">
        <v>1490</v>
      </c>
      <c r="C27" s="38" t="n">
        <v>4</v>
      </c>
      <c r="D27" s="35"/>
      <c r="E27" s="35"/>
      <c r="F27" s="32"/>
      <c r="G27" s="32"/>
      <c r="H27" s="32"/>
    </row>
    <row r="28" customFormat="false" ht="26.25" hidden="false" customHeight="true" outlineLevel="0" collapsed="false">
      <c r="A28" s="38" t="s">
        <v>44</v>
      </c>
      <c r="B28" s="39" t="s">
        <v>1491</v>
      </c>
      <c r="C28" s="38" t="n">
        <v>1</v>
      </c>
      <c r="D28" s="35"/>
      <c r="E28" s="35"/>
      <c r="F28" s="32"/>
      <c r="G28" s="32"/>
      <c r="H28" s="32"/>
    </row>
    <row r="29" customFormat="false" ht="12.75" hidden="false" customHeight="true" outlineLevel="0" collapsed="false">
      <c r="A29" s="37"/>
      <c r="B29" s="35"/>
      <c r="C29" s="35"/>
      <c r="D29" s="35"/>
      <c r="E29" s="35"/>
      <c r="F29" s="32"/>
      <c r="G29" s="32"/>
      <c r="H29" s="32"/>
    </row>
    <row r="30" customFormat="false" ht="12.75" hidden="false" customHeight="true" outlineLevel="0" collapsed="false">
      <c r="A30" s="37"/>
      <c r="B30" s="35"/>
      <c r="C30" s="35"/>
      <c r="D30" s="35"/>
      <c r="E30" s="35"/>
      <c r="F30" s="32"/>
      <c r="G30" s="32"/>
      <c r="H30" s="32"/>
    </row>
    <row r="31" customFormat="false" ht="12.75" hidden="false" customHeight="true" outlineLevel="0" collapsed="false">
      <c r="A31" s="38" t="s">
        <v>1492</v>
      </c>
      <c r="B31" s="35"/>
      <c r="C31" s="35"/>
      <c r="D31" s="35"/>
      <c r="E31" s="35"/>
      <c r="F31" s="32"/>
      <c r="G31" s="32"/>
      <c r="H31" s="32"/>
    </row>
    <row r="32" customFormat="false" ht="12.75" hidden="false" customHeight="true" outlineLevel="0" collapsed="false">
      <c r="A32" s="40" t="s">
        <v>1453</v>
      </c>
      <c r="B32" s="31" t="s">
        <v>1493</v>
      </c>
      <c r="C32" s="40" t="s">
        <v>1405</v>
      </c>
      <c r="D32" s="35"/>
      <c r="E32" s="35"/>
      <c r="F32" s="32"/>
      <c r="G32" s="32"/>
      <c r="H32" s="32"/>
    </row>
    <row r="33" customFormat="false" ht="52.5" hidden="false" customHeight="true" outlineLevel="0" collapsed="false">
      <c r="A33" s="38" t="s">
        <v>76</v>
      </c>
      <c r="B33" s="56" t="s">
        <v>1494</v>
      </c>
      <c r="C33" s="38" t="n">
        <v>10</v>
      </c>
      <c r="D33" s="35"/>
      <c r="E33" s="35"/>
      <c r="F33" s="32"/>
      <c r="G33" s="32"/>
      <c r="H33" s="32"/>
    </row>
    <row r="34" customFormat="false" ht="66" hidden="false" customHeight="true" outlineLevel="0" collapsed="false">
      <c r="A34" s="38" t="s">
        <v>39</v>
      </c>
      <c r="B34" s="56" t="s">
        <v>1495</v>
      </c>
      <c r="C34" s="38" t="n">
        <v>7</v>
      </c>
      <c r="D34" s="35"/>
      <c r="E34" s="35"/>
      <c r="F34" s="32"/>
      <c r="G34" s="32"/>
      <c r="H34" s="32"/>
    </row>
    <row r="35" customFormat="false" ht="66" hidden="false" customHeight="true" outlineLevel="0" collapsed="false">
      <c r="A35" s="38" t="s">
        <v>41</v>
      </c>
      <c r="B35" s="56" t="s">
        <v>1496</v>
      </c>
      <c r="C35" s="38" t="n">
        <v>4</v>
      </c>
      <c r="D35" s="35"/>
      <c r="E35" s="35"/>
      <c r="F35" s="32"/>
      <c r="G35" s="32"/>
      <c r="H35" s="32"/>
    </row>
    <row r="36" customFormat="false" ht="52.5" hidden="false" customHeight="true" outlineLevel="0" collapsed="false">
      <c r="A36" s="38" t="s">
        <v>44</v>
      </c>
      <c r="B36" s="56" t="s">
        <v>1497</v>
      </c>
      <c r="C36" s="38" t="n">
        <v>1</v>
      </c>
      <c r="D36" s="35"/>
      <c r="E36" s="35"/>
      <c r="F36" s="32"/>
      <c r="G36" s="32"/>
      <c r="H36" s="32"/>
    </row>
    <row r="37" customFormat="false" ht="12.75" hidden="false" customHeight="true" outlineLevel="0" collapsed="false">
      <c r="A37" s="35"/>
      <c r="B37" s="35"/>
      <c r="C37" s="35"/>
      <c r="D37" s="35"/>
      <c r="E37" s="35"/>
      <c r="F37" s="32"/>
      <c r="G37" s="32"/>
      <c r="H37" s="32"/>
    </row>
    <row r="38" customFormat="false" ht="15.75" hidden="false" customHeight="true" outlineLevel="0" collapsed="false">
      <c r="A38" s="35"/>
      <c r="B38" s="35" t="s">
        <v>1498</v>
      </c>
      <c r="C38" s="35"/>
      <c r="D38" s="35"/>
      <c r="E38" s="35"/>
      <c r="F38" s="32"/>
      <c r="G38" s="32"/>
      <c r="H38" s="32"/>
    </row>
    <row r="39" customFormat="false" ht="15.75" hidden="false" customHeight="true" outlineLevel="0" collapsed="false">
      <c r="A39" s="57" t="s">
        <v>1499</v>
      </c>
      <c r="B39" s="35"/>
      <c r="C39" s="35"/>
      <c r="D39" s="35"/>
      <c r="E39" s="35"/>
      <c r="F39" s="32"/>
      <c r="G39" s="32"/>
      <c r="H39" s="32"/>
    </row>
    <row r="40" customFormat="false" ht="15.75" hidden="false" customHeight="true" outlineLevel="0" collapsed="false">
      <c r="A40" s="29" t="s">
        <v>1500</v>
      </c>
      <c r="B40" s="31" t="s">
        <v>834</v>
      </c>
      <c r="C40" s="29" t="s">
        <v>1501</v>
      </c>
      <c r="D40" s="29" t="s">
        <v>1405</v>
      </c>
      <c r="E40" s="32"/>
      <c r="F40" s="32"/>
      <c r="G40" s="32"/>
      <c r="H40" s="32"/>
    </row>
    <row r="41" customFormat="false" ht="32.25" hidden="false" customHeight="true" outlineLevel="0" collapsed="false">
      <c r="A41" s="38" t="s">
        <v>100</v>
      </c>
      <c r="B41" s="39" t="s">
        <v>1502</v>
      </c>
      <c r="C41" s="38" t="s">
        <v>817</v>
      </c>
      <c r="D41" s="38" t="n">
        <v>10</v>
      </c>
      <c r="E41" s="32"/>
      <c r="F41" s="32"/>
      <c r="G41" s="32"/>
      <c r="H41" s="32"/>
    </row>
    <row r="42" customFormat="false" ht="27.75" hidden="false" customHeight="true" outlineLevel="0" collapsed="false">
      <c r="A42" s="38" t="s">
        <v>37</v>
      </c>
      <c r="B42" s="39" t="s">
        <v>1503</v>
      </c>
      <c r="C42" s="38" t="s">
        <v>818</v>
      </c>
      <c r="D42" s="38" t="n">
        <v>7</v>
      </c>
      <c r="E42" s="32"/>
      <c r="F42" s="32"/>
      <c r="G42" s="32"/>
      <c r="H42" s="32"/>
    </row>
    <row r="43" customFormat="false" ht="45" hidden="false" customHeight="true" outlineLevel="0" collapsed="false">
      <c r="A43" s="38" t="s">
        <v>193</v>
      </c>
      <c r="B43" s="39" t="s">
        <v>1504</v>
      </c>
      <c r="C43" s="38" t="s">
        <v>819</v>
      </c>
      <c r="D43" s="38" t="n">
        <v>4</v>
      </c>
      <c r="E43" s="32"/>
      <c r="F43" s="32"/>
      <c r="G43" s="32"/>
      <c r="H43" s="32"/>
    </row>
    <row r="44" customFormat="false" ht="31.5" hidden="false" customHeight="true" outlineLevel="0" collapsed="false">
      <c r="A44" s="38" t="s">
        <v>57</v>
      </c>
      <c r="B44" s="39" t="s">
        <v>1505</v>
      </c>
      <c r="C44" s="38" t="s">
        <v>1506</v>
      </c>
      <c r="D44" s="38" t="n">
        <v>1</v>
      </c>
      <c r="E44" s="32"/>
      <c r="F44" s="32"/>
      <c r="G44" s="32"/>
      <c r="H44" s="32"/>
    </row>
    <row r="45" customFormat="false" ht="15.75" hidden="false" customHeight="true" outlineLevel="0" collapsed="false">
      <c r="A45" s="32"/>
      <c r="B45" s="32"/>
      <c r="C45" s="32"/>
      <c r="D45" s="32"/>
      <c r="E45" s="32"/>
      <c r="F45" s="32"/>
      <c r="G45" s="32"/>
      <c r="H45" s="32"/>
    </row>
    <row r="46" customFormat="false" ht="15.75" hidden="false" customHeight="true" outlineLevel="0" collapsed="false">
      <c r="A46" s="58" t="s">
        <v>1507</v>
      </c>
      <c r="B46" s="32"/>
      <c r="C46" s="32"/>
      <c r="D46" s="32"/>
      <c r="E46" s="32"/>
      <c r="F46" s="32"/>
      <c r="G46" s="32"/>
      <c r="H46" s="32"/>
    </row>
    <row r="47" customFormat="false" ht="15.75" hidden="false" customHeight="true" outlineLevel="0" collapsed="false">
      <c r="A47" s="59" t="s">
        <v>1508</v>
      </c>
      <c r="B47" s="31" t="s">
        <v>834</v>
      </c>
      <c r="C47" s="32"/>
      <c r="D47" s="32"/>
      <c r="E47" s="32"/>
      <c r="F47" s="32"/>
      <c r="G47" s="32"/>
      <c r="H47" s="32"/>
    </row>
    <row r="48" customFormat="false" ht="69.75" hidden="false" customHeight="true" outlineLevel="0" collapsed="false">
      <c r="A48" s="9" t="s">
        <v>1482</v>
      </c>
      <c r="B48" s="56" t="s">
        <v>1509</v>
      </c>
      <c r="C48" s="32"/>
      <c r="D48" s="32"/>
      <c r="E48" s="32"/>
      <c r="F48" s="32"/>
      <c r="G48" s="32"/>
      <c r="H48" s="32"/>
    </row>
    <row r="49" customFormat="false" ht="39" hidden="false" customHeight="true" outlineLevel="0" collapsed="false">
      <c r="A49" s="9" t="s">
        <v>1510</v>
      </c>
      <c r="B49" s="56" t="s">
        <v>1511</v>
      </c>
      <c r="C49" s="32"/>
      <c r="D49" s="32"/>
      <c r="E49" s="32"/>
      <c r="F49" s="32"/>
      <c r="G49" s="32"/>
      <c r="H49" s="32"/>
    </row>
    <row r="50" customFormat="false" ht="102" hidden="false" customHeight="true" outlineLevel="0" collapsed="false">
      <c r="A50" s="9" t="s">
        <v>1512</v>
      </c>
      <c r="B50" s="56" t="s">
        <v>1513</v>
      </c>
      <c r="C50" s="32"/>
      <c r="D50" s="32"/>
      <c r="E50" s="32"/>
      <c r="F50" s="32"/>
      <c r="G50" s="32"/>
      <c r="H50" s="32"/>
    </row>
    <row r="51" customFormat="false" ht="90.75" hidden="false" customHeight="true" outlineLevel="0" collapsed="false">
      <c r="A51" s="9" t="s">
        <v>1514</v>
      </c>
      <c r="B51" s="56" t="s">
        <v>1515</v>
      </c>
      <c r="C51" s="32"/>
      <c r="D51" s="32"/>
      <c r="E51" s="32"/>
      <c r="F51" s="32"/>
      <c r="G51" s="32"/>
      <c r="H51" s="32"/>
    </row>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2">
    <mergeCell ref="L10:L15"/>
    <mergeCell ref="G15:K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5"/>
  </cols>
  <sheetData>
    <row r="1" customFormat="false" ht="30" hidden="false" customHeight="true" outlineLevel="0" collapsed="false">
      <c r="A1" s="20" t="s">
        <v>1516</v>
      </c>
      <c r="B1" s="24"/>
    </row>
    <row r="2" customFormat="false" ht="60" hidden="false" customHeight="true" outlineLevel="0" collapsed="false">
      <c r="A2" s="21" t="s">
        <v>1517</v>
      </c>
      <c r="B2" s="24" t="s">
        <v>1518</v>
      </c>
    </row>
    <row r="3" customFormat="false" ht="60" hidden="false" customHeight="true" outlineLevel="0" collapsed="false">
      <c r="A3" s="21" t="s">
        <v>1519</v>
      </c>
      <c r="B3" s="24" t="s">
        <v>1520</v>
      </c>
    </row>
    <row r="4" customFormat="false" ht="30" hidden="false" customHeight="true" outlineLevel="0" collapsed="false">
      <c r="A4" s="21"/>
      <c r="B4" s="24"/>
    </row>
    <row r="5" customFormat="false" ht="30" hidden="false" customHeight="true" outlineLevel="0" collapsed="false">
      <c r="A5" s="22" t="s">
        <v>1521</v>
      </c>
      <c r="B5" s="24" t="s">
        <v>1522</v>
      </c>
    </row>
    <row r="6" customFormat="false" ht="30" hidden="false" customHeight="true" outlineLevel="0" collapsed="false">
      <c r="A6" s="22" t="s">
        <v>1523</v>
      </c>
      <c r="B6" s="24" t="s">
        <v>1524</v>
      </c>
    </row>
    <row r="7" customFormat="false" ht="30" hidden="false" customHeight="true" outlineLevel="0" collapsed="false">
      <c r="A7" s="21"/>
      <c r="B7" s="24"/>
    </row>
    <row r="8" customFormat="false" ht="30" hidden="false" customHeight="true" outlineLevel="0" collapsed="false">
      <c r="A8" s="21" t="s">
        <v>1525</v>
      </c>
      <c r="B8" s="24" t="s">
        <v>1526</v>
      </c>
    </row>
    <row r="9" customFormat="false" ht="30" hidden="false" customHeight="true" outlineLevel="0" collapsed="false">
      <c r="A9" s="21" t="s">
        <v>1527</v>
      </c>
      <c r="B9" s="24" t="s">
        <v>1528</v>
      </c>
    </row>
    <row r="10" customFormat="false" ht="30" hidden="false" customHeight="true" outlineLevel="0" collapsed="false">
      <c r="A10" s="21" t="s">
        <v>823</v>
      </c>
      <c r="B10" s="24" t="s">
        <v>1529</v>
      </c>
    </row>
    <row r="11" customFormat="false" ht="60" hidden="false" customHeight="true" outlineLevel="0" collapsed="false">
      <c r="A11" s="21" t="s">
        <v>1530</v>
      </c>
      <c r="B11" s="24" t="s">
        <v>1531</v>
      </c>
    </row>
    <row r="12" customFormat="false" ht="30" hidden="false" customHeight="true" outlineLevel="0" collapsed="false">
      <c r="A12" s="21" t="s">
        <v>30</v>
      </c>
      <c r="B12" s="24" t="s">
        <v>1532</v>
      </c>
    </row>
    <row r="13" customFormat="false" ht="30" hidden="false" customHeight="true" outlineLevel="0" collapsed="false">
      <c r="A13" s="21"/>
      <c r="B13" s="24"/>
    </row>
    <row r="14" customFormat="false" ht="60" hidden="false" customHeight="true" outlineLevel="0" collapsed="false">
      <c r="A14" s="22" t="s">
        <v>1533</v>
      </c>
      <c r="B14" s="24" t="s">
        <v>1534</v>
      </c>
    </row>
    <row r="15" customFormat="false" ht="30" hidden="false" customHeight="true" outlineLevel="0" collapsed="false">
      <c r="A15" s="21"/>
      <c r="B15" s="24"/>
    </row>
    <row r="16" customFormat="false" ht="60" hidden="false" customHeight="true" outlineLevel="0" collapsed="false">
      <c r="A16" s="21" t="s">
        <v>1535</v>
      </c>
      <c r="B16" s="24" t="s">
        <v>1536</v>
      </c>
    </row>
    <row r="17" customFormat="false" ht="60" hidden="false" customHeight="true" outlineLevel="0" collapsed="false">
      <c r="A17" s="21" t="s">
        <v>1537</v>
      </c>
      <c r="B17" s="24" t="s">
        <v>1538</v>
      </c>
    </row>
    <row r="18" customFormat="false" ht="30" hidden="false" customHeight="true" outlineLevel="0" collapsed="false">
      <c r="A18" s="21" t="s">
        <v>1539</v>
      </c>
      <c r="B18" s="24" t="s">
        <v>1540</v>
      </c>
    </row>
    <row r="20" customFormat="false" ht="45" hidden="false" customHeight="true" outlineLevel="0" collapsed="false">
      <c r="A20" s="22" t="s">
        <v>1541</v>
      </c>
      <c r="B20" s="24" t="s">
        <v>1542</v>
      </c>
    </row>
    <row r="22" customFormat="false" ht="45" hidden="false" customHeight="true" outlineLevel="0" collapsed="false">
      <c r="A22" s="22" t="s">
        <v>1543</v>
      </c>
      <c r="B22" s="24" t="s">
        <v>1544</v>
      </c>
    </row>
    <row r="23" customFormat="false" ht="45" hidden="false" customHeight="true" outlineLevel="0" collapsed="false">
      <c r="A23" s="22" t="s">
        <v>1545</v>
      </c>
      <c r="B23" s="24" t="s">
        <v>1546</v>
      </c>
    </row>
    <row r="25" customFormat="false" ht="15" hidden="false" customHeight="true" outlineLevel="0" collapsed="false">
      <c r="A25" s="20" t="s">
        <v>1547</v>
      </c>
    </row>
    <row r="26" customFormat="false" ht="30" hidden="false" customHeight="true" outlineLevel="0" collapsed="false">
      <c r="A26" s="21" t="s">
        <v>33</v>
      </c>
      <c r="B26" s="24" t="s">
        <v>1548</v>
      </c>
    </row>
    <row r="27" customFormat="false" ht="30" hidden="false" customHeight="true" outlineLevel="0" collapsed="false">
      <c r="A27" s="21" t="s">
        <v>53</v>
      </c>
      <c r="B27" s="24" t="s">
        <v>1549</v>
      </c>
    </row>
    <row r="28" customFormat="false" ht="45" hidden="false" customHeight="true" outlineLevel="0" collapsed="false">
      <c r="A28" s="21" t="s">
        <v>307</v>
      </c>
      <c r="B28" s="24" t="s">
        <v>1550</v>
      </c>
    </row>
    <row r="29" customFormat="false" ht="30" hidden="false" customHeight="true" outlineLevel="0" collapsed="false">
      <c r="A29" s="21" t="s">
        <v>125</v>
      </c>
      <c r="B29" s="24" t="s">
        <v>240</v>
      </c>
    </row>
    <row r="30" customFormat="false" ht="30" hidden="false" customHeight="true" outlineLevel="0" collapsed="false">
      <c r="A30" s="21" t="s">
        <v>69</v>
      </c>
      <c r="B30" s="24" t="s">
        <v>161</v>
      </c>
    </row>
    <row r="31" customFormat="false" ht="30" hidden="false" customHeight="true" outlineLevel="0" collapsed="false">
      <c r="A31" s="21" t="s">
        <v>323</v>
      </c>
      <c r="B31" s="24" t="s">
        <v>1551</v>
      </c>
    </row>
    <row r="32" customFormat="false" ht="45" hidden="false" customHeight="true" outlineLevel="0" collapsed="false">
      <c r="A32" s="22" t="s">
        <v>827</v>
      </c>
      <c r="B32" s="24" t="s">
        <v>1552</v>
      </c>
    </row>
    <row r="34" customFormat="false" ht="60" hidden="false" customHeight="true" outlineLevel="0" collapsed="false">
      <c r="A34" s="22" t="s">
        <v>23</v>
      </c>
      <c r="B34" s="24" t="s">
        <v>1553</v>
      </c>
    </row>
    <row r="36" customFormat="false" ht="45" hidden="false" customHeight="true" outlineLevel="0" collapsed="false">
      <c r="A36" s="28" t="s">
        <v>1554</v>
      </c>
      <c r="B36" s="24" t="s">
        <v>1555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2025-01-29T15:33:49Z</dcterms:created>
  <dc:creator>User</dc:creator>
  <dc:description/>
  <dc:language>en-US</dc:language>
  <cp:lastModifiedBy>AMBROS Iulius-Stefan</cp:lastModifiedBy>
  <dcterms:modified xsi:type="dcterms:W3CDTF">2026-09-24T13:15:54Z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